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MIG4" sheetId="1" r:id="rId5"/>
    <sheet state="visible" name="TAEE11" sheetId="2" r:id="rId6"/>
    <sheet state="visible" name="ISAE4" sheetId="3" r:id="rId7"/>
    <sheet state="visible" name="SAPR4" sheetId="4" r:id="rId8"/>
    <sheet state="visible" name="WEGE3" sheetId="5" r:id="rId9"/>
    <sheet state="visible" name="Petr4" sheetId="6" r:id="rId10"/>
    <sheet state="visible" name="Vale3" sheetId="7" r:id="rId11"/>
    <sheet state="visible" name="BBAS3" sheetId="8" r:id="rId12"/>
    <sheet state="visible" name="ITUB3" sheetId="9" r:id="rId13"/>
    <sheet state="visible" name="BBSE3" sheetId="10" r:id="rId14"/>
    <sheet state="visible" name="ITSA4" sheetId="11" r:id="rId15"/>
    <sheet state="visible" name="Indicadores_Ações" sheetId="12" r:id="rId16"/>
    <sheet state="visible" name="Status_Script" sheetId="13" r:id="rId17"/>
    <sheet state="visible" name="BRBI11"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3">
      <text>
        <t xml:space="preserve">ROA = Retorno sobre o Ativo
Mede a eficiência com que uma empresa utiliza seus ativos para gerar lucro. Quanto maior este indicador, melhor é a eficiência em gerar lucro a partir dos ativos. Valores acima de 10% geralmente são considerados bons.
Cálculo: lucro líquido / ativo total</t>
      </text>
    </comment>
    <comment authorId="0" ref="A96">
      <text>
        <t xml:space="preserve">O que é: Pagamentos aos acionistas (JCP + dividendos).
O que mede: Saída de caixa para remuneração do capital próprio.
Interpretação:
Alto = empresa distribuindo caixa
Baixo = retendo para investir ou porque lucrou pouco
Texto para planilha: Caixa pago aos acionistas como dividendos e JCP.</t>
      </text>
    </comment>
    <comment authorId="0" ref="A92">
      <text>
        <t xml:space="preserve">O que é: Todo caixa gasto ou recebido em investimentos (inclui CAPEX + aplicações financeiras + resgates).
O que mede: A movimentação total de caixa nas atividades de investimento.
Interpretação:
Normalmente negativo = empresa investiu
Positivo = vendeu ativos ou resgatou aplicações
Texto para planilha: Caixa líquido consumido ou gerado por investimentos.</t>
      </text>
    </comment>
    <comment authorId="0" ref="A26">
      <text>
        <t xml:space="preserve">Parte dos lucros acumulados que não foi distribuída.
Quanto maior, melhor, indica lucro sustentável.</t>
      </text>
    </comment>
    <comment authorId="0" ref="M5">
      <text>
        <t xml:space="preserve">Mede a produtividade e serve como comparação de lucratividade operacional entre empresas do mesmo segmento. É um indicador de margem considerando depreciação e amortização.
Cálculo: EBIT / receita líquida</t>
      </text>
    </comment>
    <comment authorId="0" ref="A88">
      <text>
        <t xml:space="preserve">O que é: Gastos com bens físicos de longo prazo (máquinas, redes, prédios, equipamentos).
O que mede: Investimento para manter ou expandir operações físicas.
Interpretação:
Moderado = saudável
Muito alto = expansão ou manutenção pesada
Muito baixo = pode indicar subinvestimento
Texto para planilha: Investimento em ativos físicos de longo prazo.</t>
      </text>
    </comment>
    <comment authorId="0" ref="A84">
      <text>
        <t xml:space="preserve">O que é: Valor de imposto de renda e contribuição social pagos em caixa.
O que mede: Tributos efetivamente desembolsados.
Interpretação: Quanto menor, melhor — mas valores altos podem indicar alta lucratividade.
Texto para planilha: Impostos pagos em caixa sobre o lucro.</t>
      </text>
    </comment>
    <comment authorId="0" ref="A80">
      <text>
        <t xml:space="preserve">O que é: Entradas de caixa vindas de aplicações financeiras.
O que mede: Rendimento financeiro recebido no período.
Interpretação: Quanto maior, melhor — porém depende da política de caixa da empresa.
Texto para planilha: Rendimentos financeiros recebidos em caixa.</t>
      </text>
    </comment>
    <comment authorId="0" ref="A76">
      <text>
        <t xml:space="preserve">O que é: Ajustes do lucro para excluir itens que não mexem no caixa.
O que mede: Diferença entre lucro contábil e impacto real no caixa.
Interpretação: Pode variar — valores positivos indicam que o lucro contábil subestimou o caixa operacional.
Ajustes que corrigem o lucro para refletir caixa real.</t>
      </text>
    </comment>
    <comment authorId="0" ref="M18">
      <text>
        <t xml:space="preserve">EBIT / Despesa Financeira.
Quanto maior/melhor: Maior = melhor.
Capacidade de pagar juros com lucro operacional.</t>
      </text>
    </comment>
    <comment authorId="0" ref="A68">
      <text>
        <t xml:space="preserve">Resultado final após todos os custos.
Quanto maior/melhor: Maior = melhor.
Resultado final do trimestre.</t>
      </text>
    </comment>
    <comment authorId="0" ref="A97">
      <text>
        <t xml:space="preserve">O que é: Pagamento de principal de dívidas (exclui juros).
O que mede: Redução do saldo da dívida ao longo do tempo.
Interpretação:
Alto = reduz alavancagem, mas consome caixa
Baixo = empresa mantém dívidas por mais tempo
Texto para planilha: Pagamentos do principal das dívidas, reduzindo o endividamento.</t>
      </text>
    </comment>
    <comment authorId="0" ref="M10">
      <text>
        <t xml:space="preserve">Mede a capacidade da empresa em gerar receita com seus ativos e a eficiência de seu modelo de negócio.
Cálculo: receita líquida / total de ativos</t>
      </text>
    </comment>
    <comment authorId="0" ref="A60">
      <text>
        <t xml:space="preserve">Ganhos com juros, aplicações, caixa.
Quanto maior/melhor: Maior = melhor.
Indica rendimento financeiro da empresa.</t>
      </text>
    </comment>
    <comment authorId="0" ref="A27">
      <text>
        <t xml:space="preserve">Lucros não distribuídos nem reservados.
Se for negativo → problema.
Positivo é saudável.</t>
      </text>
    </comment>
    <comment authorId="0" ref="M6">
      <text>
        <t xml:space="preserve">Mede a produtividade e serve como comparação de lucratividade operacional entre empresas do mesmo segmento. É um indicador da margem desconsiderando depreciação e amortização.
Cálculo: EBITDA / receita líquida</t>
      </text>
    </comment>
    <comment authorId="0" ref="A89">
      <text>
        <t xml:space="preserve">O que é: Gastos com ativos não físicos (software, licenças, marcas, direitos).
O que mede: Investimentos que aumentam a capacidade operacional sem envolver bens físicos.
Interpretação: Nem alto nem baixo é bom por si só — depende do setor.
Texto para planilha: Investimentos em ativos não físicos, como softwares e licenças.</t>
      </text>
    </comment>
    <comment authorId="0" ref="A81">
      <text>
        <t xml:space="preserve">O que é: Dinheiro recebido de empresas investidas.
O que mede: Retorno em caixa das participações societárias.
Interpretação: Quanto maior, melhor — indica boa geração das controladas/coligadas.
Texto para planilha: Dividendos recebidos de investidas.</t>
      </text>
    </comment>
    <comment authorId="0" ref="A77">
      <text>
        <t xml:space="preserve">O que é: Mudança em contas operacionais do ativo (clientes, estoques, impostos a recuperar etc.).
O que mede: Quanto a empresa “prendeu” ou “liberou” caixa nos ativos.
Interpretação:
Negativo → empresa usou caixa no ciclo operacional.
Positivo → empresa liberou caixa.
Consumo ou liberação de caixa pelos ativos operacionais.</t>
      </text>
    </comment>
    <comment authorId="0" ref="A73">
      <text>
        <t xml:space="preserve">Detalha como o dinheiro entrou e saiu da empresa durante um período, mostrando a liquidez e a capacidade de gerar caixa.
Comparativo: 1T2025 x 1T2024</t>
      </text>
    </comment>
    <comment authorId="0" ref="M19">
      <text>
        <t xml:space="preserve">Alavancagem Financeira (Ativo Total / Patrimônio Líquido)
Mostra quanto a empresa utiliza capital de terceiros para ampliar seus ativos.
Quanto maior, pior, pois indica maior dependência de dívida e maior risco financeiro.</t>
      </text>
    </comment>
    <comment authorId="0" ref="A98">
      <text>
        <t xml:space="preserve">O que é: Pagamentos de contratos de leasing (IFRS 16).
O que mede: Saída de caixa para uso de ativos arrendados (máquinas, imóveis, veículos).
Interpretação: Valor normal depende do setor.
Texto para planilha: Pagamentos relacionados a contratos de arrendamento (leasing).</t>
      </text>
    </comment>
    <comment authorId="0" ref="A65">
      <text>
        <t xml:space="preserve">Lucro antes de juros, impostos, depreciação e amortização.
Quanto maior/melhor: Maior = melhor.
Força operacional “pura”.</t>
      </text>
    </comment>
    <comment authorId="0" ref="A61">
      <text>
        <t xml:space="preserve">Juros pagos em dívidas.
Quanto maior/melhor: Menor = melhor.
Custo das dívidas.</t>
      </text>
    </comment>
    <comment authorId="0" ref="A90">
      <text>
        <t xml:space="preserve">O que é: Investimentos exigidos pelas concessões (ex.: infraestrutura da rede elétrica).
O que mede: CAPEX obrigatório para manter e expandir a concessão, reconhecido como ativo regulatório.
Interpretação:
Alto = ciclo de investimentos/concessões
Baixo = período mais estável da concessão
Texto para planilha: Investimentos exigidos pela concessão (infraestrutura regulatória).</t>
      </text>
    </comment>
    <comment authorId="0" ref="M3">
      <text>
        <t xml:space="preserve">Indica quanto da receita é convertida em lucro.
Cálculo: lucro líquido / receita líquida</t>
      </text>
    </comment>
    <comment authorId="0" ref="N3">
      <text>
        <t xml:space="preserve">Pegue no DFs em PDF</t>
      </text>
    </comment>
    <comment authorId="0" ref="A86">
      <text>
        <t xml:space="preserve">O que é: Quanto o negócio gerou de caixa após operações, juros e impostos.
O que mede: Capacidade real da empresa de gerar caixa recorrente.
Interpretação: Quanto maior, melhor — é a base do valor da empresa.
Texto para planilha: Caixa líquido gerado pelas operações.</t>
      </text>
    </comment>
    <comment authorId="0" ref="A53">
      <text>
        <t xml:space="preserve">Perda contábil de ativos ao longo do tempo.
Quanto maior/melhor: Menor = melhor (mas normal em setores com muitos ativos).
Desgaste dos ativos.</t>
      </text>
    </comment>
    <comment authorId="0" ref="A82">
      <text>
        <t xml:space="preserve">O que é: Saídas de caixa com pagamento de juros de dívidas e debêntures.
O que mede: Custo financeiro efetivamente pago.
Interpretação: Quanto menor, melhor — indica menor peso financeiro.
Texto para planilha: Juros efetivamente pagos no período.</t>
      </text>
    </comment>
    <comment authorId="0" ref="A78">
      <text>
        <t xml:space="preserve">O que é: Mudança em fornecedores, impostos a pagar, salários etc.
O que mede: Alterações nos passivos operacionais que afetam caixa.
Interpretação:
Positivo → entrada de caixa (postergou pagamentos).
Negativo → saída de caixa (quitou obrigações).
Impacto de fornecedores e obrigações no caixa.</t>
      </text>
    </comment>
    <comment authorId="0" ref="A103">
      <text>
        <t xml:space="preserve">Valor que se encontra no BP em Caixa</t>
      </text>
    </comment>
    <comment authorId="0" ref="A70">
      <text>
        <t xml:space="preserve">Pegue na ABA LAJIDA PLANILHA
TOTAL</t>
      </text>
    </comment>
    <comment authorId="0" ref="M16">
      <text>
        <t xml:space="preserve">Dívida Líquida sobre EBITDA
Mede a relação entre a dívida líquida de uma empresa e seu lucro antes de juros, impostos, depreciação e amortização (EBITDA). Quanto maior, maior é a carga de dívida da empresa.
Cálculo: dívida líquida / EBITDA</t>
      </text>
    </comment>
    <comment authorId="0" ref="A99">
      <text>
        <t xml:space="preserve">O que é: Resultado líquido das operações de financiamento da empresa.
Fórmula:
Captações – Amortizações – Dividendos/JCP – Arrendamentos
O que mede: Quanto de caixa entrou ou saiu por causa do financiamento.
Interpretação:
Positivo = empresa captou mais do que pagou
Negativo = empresa pagou dívidas/dividendos mais do que captou
Texto para planilha: Caixa líquido gerado ou consumido pelas atividades de financiamento.</t>
      </text>
    </comment>
    <comment authorId="0" ref="A66">
      <text>
        <t xml:space="preserve">EBIT + resultado financeiro.
Quanto maior/melhor: Maior = melhor.
Lucro antes dos impostos.</t>
      </text>
    </comment>
    <comment authorId="0" ref="M12">
      <text>
        <t xml:space="preserve">ROIC = Retorno sobre o Capital Investido
Mede o retorno sobre o capital investido em uma empresa. Quanto maior este indicador, melhor é o retorno que os investidores estão recebendo sobre o investimento. Valores acima de 10% geralmente são considerados bons.
Cálculo: EBIT / capital investido</t>
      </text>
    </comment>
    <comment authorId="0" ref="A95">
      <text>
        <t xml:space="preserve">O que é: Empréstimos, financiamentos, debêntures ou qualquer nova dívida tomada.
O que mede: Entrada de caixa vinda de dívida nova.
Interpretação:
Moderado = financiamento saudável
Muito alto = pode indicar aumento de alavancagem
Texto para planilha: Entradas de caixa provenientes de novos empréstimos e financiamentos.</t>
      </text>
    </comment>
    <comment authorId="0" ref="A62">
      <text>
        <t xml:space="preserve">Soma de receitas financeiras menos despesas financeiras.
Quanto maior/melhor: Maior = melhor, mas geralmente é negativo.
Mostra o impacto dos juros (dívidas e aplicações).</t>
      </text>
    </comment>
    <comment authorId="0" ref="A29">
      <text>
        <t xml:space="preserve">Mostra o desempenho da empresa ao longo de um período, detalhando receitas, custos e despesas, resultando no lucrou ou prejuízo. 
Comparativo: 1T2025 x 1T2024</t>
      </text>
    </comment>
    <comment authorId="0" ref="A91">
      <text>
        <t xml:space="preserve">O que é: Somatório dos investimentos em imobilizado, intangível e ativos de contrato.
O que mede: O tamanho do investimento de longo prazo do período.
Interpretação:
CAPEX alto = expansão, manutenção forte ou ciclo de investimentos
CAPEX baixo = operação madura, menos necessidades
Texto para planilha: Total investido em ativos de longo prazo (expansão e manutenção).</t>
      </text>
    </comment>
    <comment authorId="0" ref="A58">
      <text>
        <t xml:space="preserve">(Lucro Antes de Juros e Impostos)
EBITDA – Depreciação e Amortização.
Quanto maior/melhor: Maior = melhor.
Lucro da operação real.</t>
      </text>
    </comment>
    <comment authorId="0" ref="A25">
      <text>
        <t xml:space="preserve">Valores de aportes dos acionistas que não vão para lucro.
Normalmente estável.
Se teve aumento teve bonificação de ações.</t>
      </text>
    </comment>
    <comment authorId="0" ref="M4">
      <text>
        <t xml:space="preserve">Indica a eficiência da empresa em transformar suas vendas em lucro, excluindo os custos variáveis.
Cálculo: lucro bruto / receita líquida</t>
      </text>
    </comment>
    <comment authorId="0" ref="A79">
      <text>
        <t xml:space="preserve">O que é: Caixa gerado pelas operações antes de considerar juros e impostos pagos.
O que mede: A força do negócio sem efeitos financeiros e tributários.
Interpretação: Quanto maior, melhor — indica forte geração de caixa operacional.
Texto para planilha: Caixa operacional puro, antes de juros e impostos.</t>
      </text>
    </comment>
    <comment authorId="0" ref="A75">
      <text>
        <t xml:space="preserve">O que é: Resultado final após todas as receitas, despesas, impostos e efeitos financeiros.
O que mede: A lucratividade final do período.
Interpretação: Quanto maior, melhor — desde que sustentável e recorrente.
Lucro final da empresa após todos os custos.</t>
      </text>
    </comment>
    <comment authorId="0" ref="A71">
      <text>
        <t xml:space="preserve">Pegue No Release
Pag 5
Tabela: Lucro Ajustado</t>
      </text>
    </comment>
    <comment authorId="0" ref="M17">
      <text>
        <t xml:space="preserve">Mede a capacidade de uma empresa de pagar suas dívidas correntes (a vencer em um ano ou menos) usando apenas seus ativos correntes (disponíveis em um ano ou menos). Indica se há recursos suficientes para cobrir obrigações de curto prazo.
Cálculo: ativos correntes / passivos correntes</t>
      </text>
    </comment>
    <comment authorId="0" ref="A67">
      <text>
        <t xml:space="preserve">Tributos pagos sobre o lucro.
Quanto maior/melhor: Menor = melhor.
Carga tributária sobre o resultado.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3">
      <text>
        <t xml:space="preserve">ROA = Retorno sobre o Ativo
Mede a eficiência com que uma empresa utiliza seus ativos para gerar lucro. Quanto maior este indicador, melhor é a eficiência em gerar lucro a partir dos ativos. Valores acima de 10% geralmente são considerados bons.
Cálculo: lucro líquido / ativo total</t>
      </text>
    </comment>
    <comment authorId="0" ref="M12">
      <text>
        <t xml:space="preserve">ROIC = Retorno sobre o Capital Investido
Mede o retorno sobre o capital investido em uma empresa. Quanto maior este indicador, melhor é o retorno que os investidores estão recebendo sobre o investimento. Valores acima de 10% geralmente são considerados bons.
Cálculo: EBIT / capital investido</t>
      </text>
    </comment>
    <comment authorId="0" ref="M11">
      <text>
        <t xml:space="preserve">DuPont (ROE Decomposto)
Método que decompõe o ROE em margem, giro do ativo e alavancagem, explicando a origem da rentabilidade.
Não há “melhor ou pior” isolado: o ideal é ROE alto sustentado por margem e eficiência, não apenas por alavancagem.</t>
      </text>
    </comment>
    <comment authorId="0" ref="M10">
      <text>
        <t xml:space="preserve">Mede a capacidade da empresa em gerar receita com seus ativos e a eficiência de seu modelo de negócio.
Cálculo: receita líquida / total de ativos</t>
      </text>
    </comment>
    <comment authorId="0" ref="A29">
      <text>
        <t xml:space="preserve">Pegue tudo na planilha REG.</t>
      </text>
    </comment>
    <comment authorId="0" ref="M7">
      <text>
        <t xml:space="preserve">LPA = Lucro por Ação
Indicador que mostra se a empresa é lucrativa. Quando o número é negativo, indica que a empresa está operando com geração de prejuízo ao invés de lucro.
Cálculo: lucro líquido / número de ações em circulação</t>
      </text>
    </comment>
    <comment authorId="0" ref="A27">
      <text>
        <t xml:space="preserve">Lucros não distribuídos nem reservados.
Se for negativo → problema.
Positivo é saudável.</t>
      </text>
    </comment>
    <comment authorId="0" ref="M6">
      <text>
        <t xml:space="preserve">Mede a produtividade e serve como comparação de lucratividade operacional entre empresas do mesmo segmento. É um indicador da margem desconsiderando depreciação e amortização.
Cálculo: EBITDA / receita líquida</t>
      </text>
    </comment>
    <comment authorId="0" ref="A26">
      <text>
        <t xml:space="preserve">Parte dos lucros acumulados que não foi distribuída.
Quanto maior, melhor, indica lucro sustentável.</t>
      </text>
    </comment>
    <comment authorId="0" ref="M5">
      <text>
        <t xml:space="preserve">Mede a produtividade e serve como comparação de lucratividade operacional entre empresas do mesmo segmento. É um indicador de margem considerando depreciação e amortização.
Cálculo: EBIT / receita líquida</t>
      </text>
    </comment>
    <comment authorId="0" ref="A25">
      <text>
        <t xml:space="preserve">Valores de aportes dos acionistas que não vão para lucro.
Normalmente estável.</t>
      </text>
    </comment>
    <comment authorId="0" ref="M4">
      <text>
        <t xml:space="preserve">Indica a eficiência da empresa em transformar suas vendas em lucro, excluindo os custos variáveis.
Cálculo: lucro bruto / receita líquida</t>
      </text>
    </comment>
    <comment authorId="0" ref="M3">
      <text>
        <t xml:space="preserve">Indica quanto da receita é convertida em lucro.
Cálculo: lucro líquido / receita líquida</t>
      </text>
    </comment>
    <comment authorId="0" ref="N3">
      <text>
        <t xml:space="preserve">Arq: Demonstrações Financeiras (ITR/DFP)
Pag:11</t>
      </text>
    </comment>
    <comment authorId="0" ref="A45">
      <text>
        <t xml:space="preserve">Lucro antes de juros, impostos, depreciação e amortização.
Quanto maior/melhor: Maior = melhor.
Força operacional “pura”.</t>
      </text>
    </comment>
    <comment authorId="0" ref="M19">
      <text>
        <t xml:space="preserve">Alavancagem Financeira (Ativo Total / Patrimônio Líquido)
Mostra quanto a empresa utiliza capital de terceiros para ampliar seus ativos.
Quanto maior, pior, pois indica maior dependência de dívida e maior risco financeiro.</t>
      </text>
    </comment>
    <comment authorId="0" ref="A39">
      <text>
        <t xml:space="preserve">(Lucro Antes de Juros e Impostos)
EBITDA – Depreciação e Amortização.
Quanto maior/melhor: Maior = melhor.
Lucro da operação real.</t>
      </text>
    </comment>
    <comment authorId="0" ref="M18">
      <text>
        <t xml:space="preserve">EBIT / Despesa Financeira.
Quanto maior/melhor: Maior = melhor.
Capacidade de pagar juros com lucro operacional.</t>
      </text>
    </comment>
    <comment authorId="0" ref="M17">
      <text>
        <t xml:space="preserve">Mede a capacidade de uma empresa de pagar suas dívidas correntes (a vencer em um ano ou menos) usando apenas seus ativos correntes (disponíveis em um ano ou menos). Indica se há recursos suficientes para cobrir obrigações de curto prazo.
Cálculo: ativos correntes / passivos correntes</t>
      </text>
    </comment>
    <comment authorId="0" ref="M16">
      <text>
        <t xml:space="preserve">Dívida Líquida sobre EBITDA
Mede a relação entre a dívida líquida de uma empresa e seu lucro antes de juros, impostos, depreciação e amortização (EBITDA). Quanto maior, maior é a carga de dívida da empresa.
Cálculo: dívida líquida / EBITDA</t>
      </text>
    </comment>
    <comment authorId="0" ref="A2">
      <text>
        <t xml:space="preserve">Arquivo planilha REG.</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3">
      <text>
        <t xml:space="preserve">ROA = Retorno sobre o Ativo
Mede a eficiência com que uma empresa utiliza seus ativos para gerar lucro. Quanto maior este indicador, melhor é a eficiência em gerar lucro a partir dos ativos. Valores acima de 10% geralmente são considerados bons.
Cálculo: lucro líquido / ativo total</t>
      </text>
    </comment>
    <comment authorId="0" ref="A30">
      <text>
        <t xml:space="preserve">Resultado da atividade principal da empresa antes do financeiro.
Quanto maior/melhor: Maior = melhor.
Mede a força da operação principal.</t>
      </text>
    </comment>
    <comment authorId="0" ref="A59">
      <text>
        <t xml:space="preserve">O que é: Gastos com bens físicos de longo prazo (máquinas, redes, prédios, equipamentos).
O que mede: Investimento para manter ou expandir operações físicas.
Interpretação:
Moderado = saudável
Muito alto = expansão ou manutenção pesada
Muito baixo = pode indicar subinvestimento
Texto para planilha: Investimento em ativos físicos de longo prazo.</t>
      </text>
    </comment>
    <comment authorId="0" ref="A26">
      <text>
        <t xml:space="preserve">Parte dos lucros acumulados que não foi distribuída.
Quanto maior, melhor, indica lucro sustentável.</t>
      </text>
    </comment>
    <comment authorId="0" ref="M5">
      <text>
        <t xml:space="preserve">Mede a produtividade e serve como comparação de lucratividade operacional entre empresas do mesmo segmento. É um indicador de margem considerando depreciação e amortização.
Cálculo: EBIT / receita líquida</t>
      </text>
    </comment>
    <comment authorId="0" ref="A80">
      <text>
        <t xml:space="preserve">Valor que se encontra no BP em Caixa</t>
      </text>
    </comment>
    <comment authorId="0" ref="A47">
      <text>
        <t xml:space="preserve">Tributos pagos sobre o lucro.
Quanto maior/melhor: Menor = melhor.
Carga tributária sobre o resultado.</t>
      </text>
    </comment>
    <comment authorId="0" ref="A14">
      <text>
        <t xml:space="preserve">Dívidas que vencem em até 12 meses.
Quanto menor melhor, pois pressiona o caixa.</t>
      </text>
    </comment>
    <comment authorId="0" ref="A76">
      <text>
        <t xml:space="preserve">O que é: Resultado líquido das operações de financiamento da empresa.
Fórmula:
Captações – Amortizações – Dividendos/JCP – Arrendamentos
O que mede: Quanto de caixa entrou ou saiu por causa do financiamento.
Interpretação:
Positivo = empresa captou mais do que pagou
Negativo = empresa pagou dívidas/dividendos mais do que captou
Texto para planilha: Caixa líquido gerado ou consumido pelas atividades de financiamento.</t>
      </text>
    </comment>
    <comment authorId="0" ref="A72">
      <text>
        <t xml:space="preserve">O que é: Pagamento de principal de dívidas (exclui juros).
O que mede: Redução do saldo da dívida ao longo do tempo.
Interpretação:
Alto = reduz alavancagem, mas consome caixa
Baixo = empresa mantém dívidas por mais tempo
Texto para planilha: Pagamentos do principal das dívidas, reduzindo o endividamento.</t>
      </text>
    </comment>
    <comment authorId="0" ref="A6">
      <text>
        <t xml:space="preserve">Ativos de longo prazo (imobilizado, investimentos, ativos fixos).
Quanto maior melhor? Sinaliza base operacional forte, mas pode indicar empresa pesada demais.</t>
      </text>
    </comment>
    <comment authorId="0" ref="M18">
      <text>
        <t xml:space="preserve">EBIT / Despesa Financeira.
Quanto maior/melhor: Maior = melhor.
Capacidade de pagar juros com lucro operacional.</t>
      </text>
    </comment>
    <comment authorId="0" ref="A2">
      <text>
        <t xml:space="preserve">É um retrato da saúde financeira da empresa em um determinado momento.
Mostra os ativos/passivo e o 
PL.</t>
      </text>
    </comment>
    <comment authorId="0" ref="M10">
      <text>
        <t xml:space="preserve">Mede a capacidade da empresa em gerar receita com seus ativos e a eficiência de seu modelo de negócio.
Cálculo: receita líquida / total de ativos</t>
      </text>
    </comment>
    <comment authorId="0" ref="A60">
      <text>
        <t xml:space="preserve">O que é: Gastos com ativos não físicos (software, licenças, marcas, direitos).
O que mede: Investimentos que aumentam a capacidade operacional sem envolver bens físicos.
Interpretação: Nem alto nem baixo é bom por si só — depende do setor.
Texto para planilha: Investimentos em ativos não físicos, como softwares e licenças.</t>
      </text>
    </comment>
    <comment authorId="0" ref="M6">
      <text>
        <t xml:space="preserve">Mede a produtividade e serve como comparação de lucratividade operacional entre empresas do mesmo segmento. É um indicador da margem desconsiderando depreciação e amortização.
Cálculo: EBITDA / receita líquida</t>
      </text>
    </comment>
    <comment authorId="0" ref="A56">
      <text>
        <t xml:space="preserve">O que é: Quanto o negócio gerou de caixa após operações, juros e impostos.
O que mede: Capacidade real da empresa de gerar caixa recorrente.
Interpretação: Quanto maior, melhor — é a base do valor da empresa.
Texto para planilha: Caixa líquido gerado pelas operações.</t>
      </text>
    </comment>
    <comment authorId="0" ref="A23">
      <text>
        <t xml:space="preserve">Valor líquido da empresa (ativos - passivos).
Crescimento constante é ótimo, mostra fortalecimento.</t>
      </text>
    </comment>
    <comment authorId="0" ref="A52">
      <text>
        <t xml:space="preserve">O que é: Resultado final após todas as receitas, despesas, impostos e efeitos financeiros.
O que mede: A lucratividade final do período.
Interpretação: Quanto maior, melhor — desde que sustentável e recorrente.
Lucro final da empresa após todos os custos.</t>
      </text>
    </comment>
    <comment authorId="0" ref="A48">
      <text>
        <t xml:space="preserve">Resultado final após todos os custos.
Quanto maior/melhor: Maior = melhor.
Resultado final do trimestre.</t>
      </text>
    </comment>
    <comment authorId="0" ref="A15">
      <text>
        <t xml:space="preserve">Dívidas acima de 12 meses.
Pode ser positivo, pois alonga o perfil da dívida.</t>
      </text>
    </comment>
    <comment authorId="0" ref="A44">
      <text>
        <t xml:space="preserve">Esta na ABA: Custos e Despesas</t>
      </text>
    </comment>
    <comment authorId="0" ref="A11">
      <text>
        <t xml:space="preserve">Dinheiro imediato (caixa + bancos + aplicações de liquidez diária).
Quanto maior melhor? Sim, normalmente aumenta segurança.</t>
      </text>
    </comment>
    <comment authorId="0" ref="A73">
      <text>
        <t xml:space="preserve">O que é: Pagamentos de contratos de leasing (IFRS 16).
O que mede: Saída de caixa para uso de ativos arrendados (máquinas, imóveis, veículos).
Interpretação: Valor normal depende do setor.
Texto para planilha: Pagamentos relacionados a contratos de arrendamento (leasing).</t>
      </text>
    </comment>
    <comment authorId="0" ref="M19">
      <text>
        <t xml:space="preserve">Alavancagem Financeira (Ativo Total / Patrimônio Líquido)
Mostra quanto a empresa utiliza capital de terceiros para ampliar seus ativos.
Quanto maior, pior, pois indica maior dependência de dívida e maior risco financeiro.</t>
      </text>
    </comment>
    <comment authorId="0" ref="A69">
      <text>
        <t xml:space="preserve">O que é: Empréstimos, financiamentos, debêntures ou qualquer nova dívida tomada.
O que mede: Entrada de caixa vinda de dívida nova.
Interpretação:
Moderado = financiamento saudável
Muito alto = pode indicar aumento de alavancagem
Texto para planilha: Entradas de caixa provenientes de novos empréstimos e financiamentos.</t>
      </text>
    </comment>
    <comment authorId="0" ref="A36">
      <text>
        <t xml:space="preserve">Ganhos com juros, aplicações, caixa.
Quanto maior/melhor: Maior = melhor.
Indica rendimento financeiro da empresa.</t>
      </text>
    </comment>
    <comment authorId="0" ref="A32">
      <text>
        <t xml:space="preserve">Receita após impostos e devoluções.
Quanto maior/melhor: Maior = melhor.
Receita real que a empresa recebe.</t>
      </text>
    </comment>
    <comment authorId="0" ref="M11">
      <text>
        <t xml:space="preserve">DuPont (ROE Decomposto)
Método que decompõe o ROE em margem, giro do ativo e alavancagem, explicando a origem da rentabilidade.
Não há “melhor ou pior” isolado: o ideal é ROE alto sustentado por margem e eficiência, não apenas por alavancagem.</t>
      </text>
    </comment>
    <comment authorId="0" ref="A61">
      <text>
        <t xml:space="preserve">O que é: Investimentos exigidos pelas concessões (ex.: infraestrutura da rede elétrica).
O que mede: CAPEX obrigatório para manter e expandir a concessão, reconhecido como ativo regulatório.
Interpretação:
Alto = ciclo de investimentos/concessões
Baixo = período mais estável da concessão
Texto para planilha: Investimentos exigidos pela concessão (infraestrutura regulatória).</t>
      </text>
    </comment>
    <comment authorId="0" ref="A28">
      <text>
        <t xml:space="preserve">Mostra o desempenho da empresa ao longo de um período, detalhando receitas, custos e despesas, resultando no lucrou ou prejuízo. 
Comparativo: 1T2025 x 1T2024</t>
      </text>
    </comment>
    <comment authorId="0" ref="M7">
      <text>
        <t xml:space="preserve">LPA = Lucro por Ação
Indicador que mostra se a empresa é lucrativa. Quando o número é negativo, indica que a empresa está operando com geração de prejuízo ao invés de lucro.
Cálculo: lucro líquido / número de ações em circulação</t>
      </text>
    </comment>
    <comment authorId="0" ref="M3">
      <text>
        <t xml:space="preserve">Indica quanto da receita é convertida em lucro.
Cálculo: lucro líquido / receita líquida</t>
      </text>
    </comment>
    <comment authorId="0" ref="A53">
      <text>
        <t xml:space="preserve">O que é: Ajustes do lucro para excluir itens que não mexem no caixa.
O que mede: Diferença entre lucro contábil e impacto real no caixa.
Interpretação: Pode variar — valores positivos indicam que o lucro contábil subestimou o caixa operacional.
Ajustes que corrigem o lucro para refletir caixa real.</t>
      </text>
    </comment>
    <comment authorId="0" ref="A20">
      <text>
        <t xml:space="preserve">Total de empréstimos/financiamentos.
Quanto maior/melhor: Menor = melhor.
Endividamento total.</t>
      </text>
    </comment>
    <comment authorId="0" ref="A16">
      <text>
        <t xml:space="preserve">Dívidas bancárias de curto prazo.
Quanto menor melhor, pois são juros mais altos e pressionam o caixa.</t>
      </text>
    </comment>
    <comment authorId="0" ref="A45">
      <text>
        <t xml:space="preserve">Lucro antes de juros, impostos, depreciação e amortização.
Quanto maior/melhor: Maior = melhor.
Força operacional “pura”.</t>
      </text>
    </comment>
    <comment authorId="0" ref="A8">
      <text>
        <t xml:space="preserve">Valor do estoque.
Maior = melhor? Não necessariamente.
Alta demais = risco de obsolescência. Baixa demais = risco de ruptura e perda de vendas.</t>
      </text>
    </comment>
    <comment authorId="0" ref="A37">
      <text>
        <t xml:space="preserve">Juros pagos em dívidas.
Quanto maior/melhor: Menor = melhor.
Custo das dívidas.</t>
      </text>
    </comment>
    <comment authorId="0" ref="A4">
      <text>
        <t xml:space="preserve">Tudo que a empresa possui (bens + direitos).
Interpretação: crescimento constante normalmente é positivo (expansão com controle).</t>
      </text>
    </comment>
    <comment authorId="0" ref="M16">
      <text>
        <t xml:space="preserve">Dívida Líquida sobre EBITDA
Mede a relação entre a dívida líquida de uma empresa e seu lucro antes de juros, impostos, depreciação e amortização (EBITDA). Quanto maior, maior é a carga de dívida da empresa.
Cálculo: dívida líquida / EBITDA</t>
      </text>
    </comment>
    <comment authorId="0" ref="A66">
      <text>
        <t xml:space="preserve">O que é: Todo caixa gasto ou recebido em investimentos (inclui CAPEX + aplicações financeiras + resgates).
O que mede: A movimentação total de caixa nas atividades de investimento.
Interpretação:
Normalmente negativo = empresa investiu
Positivo = vendeu ativos ou resgatou aplicações
Texto para planilha: Caixa líquido consumido ou gerado por investimentos.</t>
      </text>
    </comment>
    <comment authorId="0" ref="A33">
      <text>
        <t xml:space="preserve">Custo para produzir/entregar o serviço.
Quanto maior/melhor: Menor = melhor.
Custo direto do negócio.</t>
      </text>
    </comment>
    <comment authorId="0" ref="M12">
      <text>
        <t xml:space="preserve">ROIC = Retorno sobre o Capital Investido
Mede o retorno sobre o capital investido em uma empresa. Quanto maior este indicador, melhor é o retorno que os investidores estão recebendo sobre o investimento. Valores acima de 10% geralmente são considerados bons.
Cálculo: EBIT / capital investido</t>
      </text>
    </comment>
    <comment authorId="0" ref="A62">
      <text>
        <t xml:space="preserve">O que é: Somatório dos investimentos em imobilizado, intangível e ativos de contrato.
O que mede: O tamanho do investimento de longo prazo do período.
Interpretação:
CAPEX alto = expansão, manutenção forte ou ciclo de investimentos
CAPEX baixo = operação madura, menos necessidades
Texto para planilha: Total investido em ativos de longo prazo (expansão e manutenção).</t>
      </text>
    </comment>
    <comment authorId="0" ref="A25">
      <text>
        <t xml:space="preserve">Valores de aportes dos acionistas que não vão para lucro.
Normalmente estável.</t>
      </text>
    </comment>
    <comment authorId="0" ref="M4">
      <text>
        <t xml:space="preserve">Indica a eficiência da empresa em transformar suas vendas em lucro, excluindo os custos variáveis.
Cálculo: lucro bruto / receita líquida</t>
      </text>
    </comment>
    <comment authorId="0" ref="A54">
      <text>
        <t xml:space="preserve">O que é: Mudança em contas operacionais do ativo (clientes, estoques, impostos a recuperar etc.).
O que mede: Quanto a empresa “prendeu” ou “liberou” caixa nos ativos.
Interpretação:
Negativo → empresa usou caixa no ciclo operacional.
Positivo → empresa liberou caixa.
Consumo ou liberação de caixa pelos ativos operacionais.</t>
      </text>
    </comment>
    <comment authorId="0" ref="A21">
      <text>
        <t xml:space="preserve">Dívida bruta – caixa.
Quanto maior/melhor: Menor = melhor.
Endividamento real da empresa.</t>
      </text>
    </comment>
    <comment authorId="0" ref="A50">
      <text>
        <t xml:space="preserve">Detalha como o dinheiro entrou e saiu da empresa durante um período, mostrando a liquidez e a capacidade de gerar caixa.
Comparativo: 1T2025 x 1T2024</t>
      </text>
    </comment>
    <comment authorId="0" ref="A17">
      <text>
        <t xml:space="preserve">Financiamentos e debêntures com vencimento acima de 12 meses.
Bom quando predomina, pois dívida longa é mais saudável.</t>
      </text>
    </comment>
    <comment authorId="0" ref="A46">
      <text>
        <t xml:space="preserve">EBIT + resultado financeiro.
Quanto maior/melhor: Maior = melhor.
Lucro antes dos impostos.</t>
      </text>
    </comment>
    <comment authorId="0" ref="A13">
      <text>
        <t xml:space="preserve">Tudo o que a empresa deve (curto + longo prazo).
Maior = pior. Mas pode fazer sentido se financiar crescimento.</t>
      </text>
    </comment>
    <comment authorId="0" ref="A75">
      <text>
        <t xml:space="preserve">O que é: Pagamentos aos acionistas (JCP + dividendos).
O que mede: Saída de caixa para remuneração do capital próprio.
Interpretação:
Alto = empresa distribuindo caixa
Baixo = retendo para investir ou porque lucrou pouco
Texto para planilha: Caixa pago aos acionistas como dividendos e JCP.</t>
      </text>
    </comment>
    <comment authorId="0" ref="A42">
      <text>
        <t xml:space="preserve">(Lucro Antes de Juros e Impostos)
EBITDA – Depreciação e Amortização.
Quanto maior/melhor: Maior = melhor.
Lucro da operação real.</t>
      </text>
    </comment>
    <comment authorId="0" ref="A9">
      <text>
        <t xml:space="preserve">Valor se encontra em DFC Caixa Final</t>
      </text>
    </comment>
    <comment authorId="0" ref="A38">
      <text>
        <t xml:space="preserve">Soma de receitas financeiras menos despesas financeiras.
Quanto maior/melhor: Maior = melhor, mas geralmente é negativo.
Mostra o impacto dos juros (dívidas e aplicações).</t>
      </text>
    </comment>
    <comment authorId="0" ref="A5">
      <text>
        <t xml:space="preserve">Ativos que viram dinheiro em até 12 meses (caixa, estoques, contas a receber).
Quanto maior melhor? Depende. Um circulante maior aumenta a liquidez, mas pode indicar ineficiência se estiver inchado.</t>
      </text>
    </comment>
    <comment authorId="0" ref="M17">
      <text>
        <t xml:space="preserve">Mede a capacidade de uma empresa de pagar suas dívidas correntes (a vencer em um ano ou menos) usando apenas seus ativos correntes (disponíveis em um ano ou menos). Indica se há recursos suficientes para cobrir obrigações de curto prazo.
Cálculo: ativos correntes / passivos correntes</t>
      </text>
    </comment>
    <comment authorId="0" ref="A34">
      <text>
        <t xml:space="preserve">Receita líquida – CMV.
Quanto maior/melhor: Maior = melhor.
Lucro após pagar o custo direto do serviço.</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3">
      <text>
        <t xml:space="preserve">ROA = Retorno sobre o Ativo
Mede a eficiência com que uma empresa utiliza seus ativos para gerar lucro. Quanto maior este indicador, melhor é a eficiência em gerar lucro a partir dos ativos. Valores acima de 10% geralmente são considerados bons.
Cálculo: lucro líquido / ativo total</t>
      </text>
    </comment>
    <comment authorId="0" ref="A96">
      <text>
        <t xml:space="preserve">Ganhos com juros, aplicações, caixa.
Quanto maior/melhor: Maior = melhor.
Indica rendimento financeiro da empresa.</t>
      </text>
    </comment>
    <comment authorId="0" ref="A63">
      <text>
        <t xml:space="preserve">O que é: Somatório dos investimentos em imobilizado, intangível e ativos de contrato.
O que mede: O tamanho do investimento de longo prazo do período.
Interpretação:
CAPEX alto = expansão, manutenção forte ou ciclo de investimentos
CAPEX baixo = operação madura, menos necessidades
Texto para planilha: Total investido em ativos de longo prazo (expansão e manutenção).</t>
      </text>
    </comment>
    <comment authorId="0" ref="A59">
      <text>
        <t xml:space="preserve">O que é: Quanto o negócio gerou de caixa após operações, juros e impostos.
O que mede: Capacidade real da empresa de gerar caixa recorrente.
Interpretação: Quanto maior, melhor — é a base do valor da empresa.
Texto para planilha: Caixa líquido gerado pelas operações.</t>
      </text>
    </comment>
    <comment authorId="0" ref="A26">
      <text>
        <t xml:space="preserve">Parte dos lucros acumulados que não foi distribuída.
Quanto maior, melhor, indica lucro sustentável.</t>
      </text>
    </comment>
    <comment authorId="0" ref="M5">
      <text>
        <t xml:space="preserve">Mede a produtividade e serve como comparação de lucratividade operacional entre empresas do mesmo segmento. É um indicador de margem considerando depreciação e amortização.
Cálculo: EBIT / receita líquida</t>
      </text>
    </comment>
    <comment authorId="0" ref="A88">
      <text>
        <t xml:space="preserve">Custos de administração, gestão, suporte.
Quanto maior/melhor: Menor = melhor, mas sem cortar demais.
Eficiência administrativa.</t>
      </text>
    </comment>
    <comment authorId="0" ref="A84">
      <text>
        <t xml:space="preserve">Custo para produzir/entregar o serviço.
Quanto maior/melhor: Menor = melhor.
Custo direto do negócio.</t>
      </text>
    </comment>
    <comment authorId="0" ref="A51">
      <text>
        <t xml:space="preserve">Tributos pagos sobre o lucro.
Quanto maior/melhor: Menor = melhor.
Carga tributária sobre o resultado.</t>
      </text>
    </comment>
    <comment authorId="0" ref="A80">
      <text>
        <t xml:space="preserve">Valor que se encontra no BP em Caixa</t>
      </text>
    </comment>
    <comment authorId="0" ref="A14">
      <text>
        <t xml:space="preserve">Dívidas que vencem em até 12 meses.
Quanto menor melhor, pois pressiona o caixa.</t>
      </text>
    </comment>
    <comment authorId="0" ref="A76">
      <text>
        <t xml:space="preserve">O que é: Resultado líquido das operações de financiamento da empresa.
Fórmula:
Captações – Amortizações – Dividendos/JCP – Arrendamentos
O que mede: Quanto de caixa entrou ou saiu por causa do financiamento.
Interpretação:
Positivo = empresa captou mais do que pagou
Negativo = empresa pagou dívidas/dividendos mais do que captou
Texto para planilha: Caixa líquido gerado ou consumido pelas atividades de financiamento.</t>
      </text>
    </comment>
    <comment authorId="0" ref="A39">
      <text>
        <t xml:space="preserve">Perda contábil de ativos ao longo do tempo.
Quanto maior/melhor: Menor = melhor (mas normal em setores com muitos ativos).
Desgaste dos ativos.</t>
      </text>
    </comment>
    <comment authorId="0" ref="A6">
      <text>
        <t xml:space="preserve">Ativos de longo prazo (imobilizado, investimentos, ativos fixos).
Quanto maior melhor? Sinaliza base operacional forte, mas pode indicar empresa pesada demais.</t>
      </text>
    </comment>
    <comment authorId="0" ref="M18">
      <text>
        <t xml:space="preserve">EBIT / Despesa Financeira.
Quanto maior/melhor: Maior = melhor.
Capacidade de pagar juros com lucro operacional.</t>
      </text>
    </comment>
    <comment authorId="0" ref="A101">
      <text>
        <t xml:space="preserve">Lucro antes de juros, impostos, depreciação e amortização.
Quanto maior/melhor: Maior = melhor.
Força operacional “pura”.</t>
      </text>
    </comment>
    <comment authorId="0" ref="A2">
      <text>
        <t xml:space="preserve">pag 3</t>
      </text>
    </comment>
    <comment authorId="0" ref="A97">
      <text>
        <t xml:space="preserve">Juros pagos em dívidas.
Quanto maior/melhor: Menor = melhor.
Custo das dívidas.</t>
      </text>
    </comment>
    <comment authorId="0" ref="A64">
      <text>
        <t xml:space="preserve">O que é: Todo caixa gasto ou recebido em investimentos (inclui CAPEX + aplicações financeiras + resgates).
O que mede: A movimentação total de caixa nas atividades de investimento.
Interpretação:
Normalmente negativo = empresa investiu
Positivo = vendeu ativos ou resgatou aplicações
Texto para planilha: Caixa líquido consumido ou gerado por investimentos.</t>
      </text>
    </comment>
    <comment authorId="0" ref="A31">
      <text>
        <t xml:space="preserve">Receita após impostos e devoluções.
Quanto maior/melhor: Maior = melhor.
Receita real que a empresa recebe.</t>
      </text>
    </comment>
    <comment authorId="0" ref="M10">
      <text>
        <t xml:space="preserve">Mede a capacidade da empresa em gerar receita com seus ativos e a eficiência de seu modelo de negócio.
Cálculo: receita líquida / total de ativos</t>
      </text>
    </comment>
    <comment authorId="0" ref="A27">
      <text>
        <t xml:space="preserve">Lucros não distribuídos nem reservados.
Se for negativo → problema.
Positivo é saudável.</t>
      </text>
    </comment>
    <comment authorId="0" ref="M6">
      <text>
        <t xml:space="preserve">Mede a produtividade e serve como comparação de lucratividade operacional entre empresas do mesmo segmento. É um indicador da margem desconsiderando depreciação e amortização.
Cálculo: EBITDA / receita líquida</t>
      </text>
    </comment>
    <comment authorId="0" ref="A89">
      <text>
        <t xml:space="preserve">Peso das despesas administrativas sobre a receita.
Quanto maior/melhor: Menor = melhor.
Quanto a empresa gasta para se administrar.</t>
      </text>
    </comment>
    <comment authorId="0" ref="A56">
      <text>
        <t xml:space="preserve">O que é: Resultado final após todas as receitas, despesas, impostos e efeitos financeiros.
O que mede: A lucratividade final do período.
Interpretação: Quanto maior, melhor — desde que sustentável e recorrente.
Lucro final da empresa após todos os custos.</t>
      </text>
    </comment>
    <comment authorId="0" ref="A23">
      <text>
        <t xml:space="preserve">Valor líquido da empresa (ativos - passivos).
Crescimento constante é ótimo, mostra fortalecimento.</t>
      </text>
    </comment>
    <comment authorId="0" ref="A85">
      <text>
        <t xml:space="preserve">Receita líquida – CMV.
Quanto maior/melhor: Maior = melhor.
Lucro após pagar o custo direto do serviço.</t>
      </text>
    </comment>
    <comment authorId="0" ref="A52">
      <text>
        <t xml:space="preserve">Resultado final após todos os custos.
Quanto maior/melhor: Maior = melhor.
Resultado final do trimestre.</t>
      </text>
    </comment>
    <comment authorId="0" ref="A48">
      <text>
        <t xml:space="preserve">Filtra por "Depreciações e Amortizações" no DFs mesmo
4T é anual la em baixo. </t>
      </text>
    </comment>
    <comment authorId="0" ref="A15">
      <text>
        <t xml:space="preserve">Dívidas acima de 12 meses.
Pode ser positivo, pois alonga o perfil da dívida.</t>
      </text>
    </comment>
    <comment authorId="0" ref="A44">
      <text>
        <t xml:space="preserve">Ganhos com juros, aplicações, caixa.
Quanto maior/melhor: Maior = melhor.
Indica rendimento financeiro da empresa.</t>
      </text>
    </comment>
    <comment authorId="0" ref="A11">
      <text>
        <t xml:space="preserve">Dinheiro imediato (caixa + bancos + aplicações de liquidez diária).
Quanto maior melhor? Sim, normalmente aumenta segurança.</t>
      </text>
    </comment>
    <comment authorId="0" ref="M19">
      <text>
        <t xml:space="preserve">Alavancagem Financeira (Ativo Total / Patrimônio Líquido)
Mostra quanto a empresa utiliza capital de terceiros para ampliar seus ativos.
Quanto maior, pior, pois indica maior dependência de dívida e maior risco financeiro.</t>
      </text>
    </comment>
    <comment authorId="0" ref="A102">
      <text>
        <t xml:space="preserve">EBIT + resultado financeiro.
Quanto maior/melhor: Maior = melhor.
Lucro antes dos impostos.</t>
      </text>
    </comment>
    <comment authorId="0" ref="A36">
      <text>
        <t xml:space="preserve">Custos de administração, gestão, suporte.
Quanto maior/melhor: Menor = melhor, mas sem cortar demais.
Eficiência administrativa.</t>
      </text>
    </comment>
    <comment authorId="0" ref="A98">
      <text>
        <t xml:space="preserve">Soma de receitas financeiras menos despesas financeiras.
Quanto maior/melhor: Maior = melhor, mas geralmente é negativo.
Mostra o impacto dos juros (dívidas e aplicações).</t>
      </text>
    </comment>
    <comment authorId="0" ref="A32">
      <text>
        <t xml:space="preserve">Custo para produzir/entregar o serviço.
Quanto maior/melhor: Menor = melhor.
Custo direto do negócio.</t>
      </text>
    </comment>
    <comment authorId="0" ref="A94">
      <text>
        <t xml:space="preserve">(Lucro Antes de Juros e Impostos)
EBITDA – Depreciação e Amortização.
Quanto maior/melhor: Maior = melhor.
Lucro da operação real.</t>
      </text>
    </comment>
    <comment authorId="0" ref="A57">
      <text>
        <t xml:space="preserve">O que é: Ajustes do lucro para excluir itens que não mexem no caixa.
O que mede: Diferença entre lucro contábil e impacto real no caixa.
Interpretação: Pode variar — valores positivos indicam que o lucro contábil subestimou o caixa operacional.
Ajustes que corrigem o lucro para refletir caixa real.</t>
      </text>
    </comment>
    <comment authorId="0" ref="M3">
      <text>
        <t xml:space="preserve">Indica quanto da receita é convertida em lucro.
Cálculo: lucro líquido / receita líquida</t>
      </text>
    </comment>
    <comment authorId="0" ref="A86">
      <text>
        <t xml:space="preserve">Incluem despesas com vendas, administrativas e gerais.</t>
      </text>
    </comment>
    <comment authorId="0" ref="A20">
      <text>
        <t xml:space="preserve">Total de empréstimos/financiamentos.
Quanto maior/melhor: Menor = melhor.
Endividamento total.</t>
      </text>
    </comment>
    <comment authorId="0" ref="A49">
      <text>
        <t xml:space="preserve">Lucro antes de juros, impostos, depreciação e amortização.
Quanto maior/melhor: Maior = melhor.
Força operacional “pura”.</t>
      </text>
    </comment>
    <comment authorId="0" ref="A16">
      <text>
        <t xml:space="preserve">Dívidas bancárias de curto prazo.
Quanto menor melhor, pois são juros mais altos e pressionam o caixa.</t>
      </text>
    </comment>
    <comment authorId="0" ref="A45">
      <text>
        <t xml:space="preserve">Juros pagos em dívidas.
Quanto maior/melhor: Menor = melhor.
Custo das dívidas.</t>
      </text>
    </comment>
    <comment authorId="0" ref="A8">
      <text>
        <t xml:space="preserve">Valor do estoque.
Maior = melhor? Não necessariamente.
Alta demais = risco de obsolescência. Baixa demais = risco de ruptura e perda de vendas.</t>
      </text>
    </comment>
    <comment authorId="0" ref="A103">
      <text>
        <t xml:space="preserve">Tributos pagos sobre o lucro.
Quanto maior/melhor: Menor = melhor.
Carga tributária sobre o resultado.</t>
      </text>
    </comment>
    <comment authorId="0" ref="A70">
      <text>
        <t xml:space="preserve">O que é: Pagamento de principal de dívidas (exclui juros).
O que mede: Redução do saldo da dívida ao longo do tempo.
Interpretação:
Alto = reduz alavancagem, mas consome caixa
Baixo = empresa mantém dívidas por mais tempo
Texto para planilha: Pagamentos do principal das dívidas, reduzindo o endividamento.</t>
      </text>
    </comment>
    <comment authorId="0" ref="A37">
      <text>
        <t xml:space="preserve">Peso das despesas administrativas sobre a receita.
Quanto maior/melhor: Menor = melhor.
Quanto a empresa gasta para se administrar.</t>
      </text>
    </comment>
    <comment authorId="0" ref="A4">
      <text>
        <t xml:space="preserve">Tudo que a empresa possui (bens + direitos).
Interpretação: crescimento constante normalmente é positivo (expansão com controle).</t>
      </text>
    </comment>
    <comment authorId="0" ref="M16">
      <text>
        <t xml:space="preserve">Dívida Líquida sobre EBITDA
Mede a relação entre a dívida líquida de uma empresa e seu lucro antes de juros, impostos, depreciação e amortização (EBITDA). Quanto maior, maior é a carga de dívida da empresa.
Cálculo: dívida líquida / EBITDA</t>
      </text>
    </comment>
    <comment authorId="0" ref="A33">
      <text>
        <t xml:space="preserve">Receita líquida – CMV.
Quanto maior/melhor: Maior = melhor.
Lucro após pagar o custo direto do serviço.</t>
      </text>
    </comment>
    <comment authorId="0" ref="M12">
      <text>
        <t xml:space="preserve">ROIC = Retorno sobre o Capital Investido
Mede o retorno sobre o capital investido em uma empresa. Quanto maior este indicador, melhor é o retorno que os investidores estão recebendo sobre o investimento. Valores acima de 10% geralmente são considerados bons.
Cálculo: EBIT / capital investido</t>
      </text>
    </comment>
    <comment authorId="0" ref="A62">
      <text>
        <t xml:space="preserve">O que é: Gastos com bens físicos de longo prazo (máquinas, redes, prédios, equipamentos).
O que mede: Investimento para manter ou expandir operações físicas.
Interpretação:
Moderado = saudável
Muito alto = expansão ou manutenção pesada
Muito baixo = pode indicar subinvestimento
Texto para planilha: Investimento em ativos físicos de longo prazo.</t>
      </text>
    </comment>
    <comment authorId="0" ref="A29">
      <text>
        <t xml:space="preserve">pag 6</t>
      </text>
    </comment>
    <comment authorId="0" ref="A91">
      <text>
        <t xml:space="preserve">Perda contábil de ativos ao longo do tempo.
Quanto maior/melhor: Menor = melhor (mas normal em setores com muitos ativos).
Desgaste dos ativos.</t>
      </text>
    </comment>
    <comment authorId="0" ref="A58">
      <text>
        <t xml:space="preserve">O que é: Mudança em contas operacionais do ativo (clientes, estoques, impostos a recuperar etc.).
O que mede: Quanto a empresa “prendeu” ou “liberou” caixa nos ativos.
Interpretação:
Negativo → empresa usou caixa no ciclo operacional.
Positivo → empresa liberou caixa.
Consumo ou liberação de caixa pelos ativos operacionais.</t>
      </text>
    </comment>
    <comment authorId="0" ref="A25">
      <text>
        <t xml:space="preserve">Valores de aportes dos acionistas que não vão para lucro.
Normalmente estável.</t>
      </text>
    </comment>
    <comment authorId="0" ref="M4">
      <text>
        <t xml:space="preserve">Indica a eficiência da empresa em transformar suas vendas em lucro, excluindo os custos variáveis.
Cálculo: lucro bruto / receita líquida</t>
      </text>
    </comment>
    <comment authorId="0" ref="A54">
      <text>
        <t xml:space="preserve">pag 9</t>
      </text>
    </comment>
    <comment authorId="0" ref="A21">
      <text>
        <t xml:space="preserve">Dívida bruta – caixa.
Quanto maior/melhor: Menor = melhor.
Endividamento real da empresa.</t>
      </text>
    </comment>
    <comment authorId="0" ref="A83">
      <text>
        <t xml:space="preserve">Receita após impostos e devoluções.
Quanto maior/melhor: Maior = melhor.
Receita real que a empresa recebe.</t>
      </text>
    </comment>
    <comment authorId="0" ref="A50">
      <text>
        <t xml:space="preserve">EBIT + resultado financeiro.
Quanto maior/melhor: Maior = melhor.
Lucro antes dos impostos.</t>
      </text>
    </comment>
    <comment authorId="0" ref="A17">
      <text>
        <t xml:space="preserve">Financiamentos e debêntures com vencimento acima de 12 meses.
Bom quando predomina, pois dívida longa é mais saudável.</t>
      </text>
    </comment>
    <comment authorId="0" ref="A46">
      <text>
        <t xml:space="preserve">Soma de receitas financeiras menos despesas financeiras.
Quanto maior/melhor: Maior = melhor, mas geralmente é negativo.
Mostra o impacto dos juros (dívidas e aplicações).</t>
      </text>
    </comment>
    <comment authorId="0" ref="A13">
      <text>
        <t xml:space="preserve">Tudo o que a empresa deve (curto + longo prazo).
Maior = pior. Mas pode fazer sentido se financiar crescimento.</t>
      </text>
    </comment>
    <comment authorId="0" ref="A75">
      <text>
        <t xml:space="preserve">O que é: Pagamentos aos acionistas (JCP + dividendos).
O que mede: Saída de caixa para remuneração do capital próprio.
Interpretação:
Alto = empresa distribuindo caixa
Baixo = retendo para investir ou porque lucrou pouco
Texto para planilha: Caixa pago aos acionistas como dividendos e JCP.</t>
      </text>
    </comment>
    <comment authorId="0" ref="A42">
      <text>
        <t xml:space="preserve">(Lucro Antes de Juros e Impostos)
EBITDA – Depreciação e Amortização.
Quanto maior/melhor: Maior = melhor.
Lucro da operação real.</t>
      </text>
    </comment>
    <comment authorId="0" ref="A9">
      <text>
        <t xml:space="preserve">Valor se encontra em DFC Caixa Final</t>
      </text>
    </comment>
    <comment authorId="0" ref="A104">
      <text>
        <t xml:space="preserve">Resultado final após todos os custos.
Quanto maior/melhor: Maior = melhor.
Resultado final do trimestre.</t>
      </text>
    </comment>
    <comment authorId="0" ref="A71">
      <text>
        <t xml:space="preserve">O que é: Pagamentos de contratos de leasing (IFRS 16).
O que mede: Saída de caixa para uso de ativos arrendados (máquinas, imóveis, veículos).
Interpretação: Valor normal depende do setor.
Texto para planilha: Pagamentos relacionados a contratos de arrendamento (leasing).</t>
      </text>
    </comment>
    <comment authorId="0" ref="A5">
      <text>
        <t xml:space="preserve">Ativos que viram dinheiro em até 12 meses (caixa, estoques, contas a receber).
Quanto maior melhor? Depende. Um circulante maior aumenta a liquidez, mas pode indicar ineficiência se estiver inchado.</t>
      </text>
    </comment>
    <comment authorId="0" ref="M17">
      <text>
        <t xml:space="preserve">Mede a capacidade de uma empresa de pagar suas dívidas correntes (a vencer em um ano ou menos) usando apenas seus ativos correntes (disponíveis em um ano ou menos). Indica se há recursos suficientes para cobrir obrigações de curto prazo.
Cálculo: ativos correntes / passivos correntes</t>
      </text>
    </comment>
    <comment authorId="0" ref="A100">
      <text>
        <t xml:space="preserve">Filtra por "Depreciações e Amortizações" no DFs mesmo</t>
      </text>
    </comment>
    <comment authorId="0" ref="A67">
      <text>
        <t xml:space="preserve">O que é: Empréstimos, financiamentos, debêntures ou qualquer nova dívida tomada.
O que mede: Entrada de caixa vinda de dívida nova.
Interpretação:
Moderado = financiamento saudável
Muito alto = pode indicar aumento de alavancagem
Texto para planilha: Entradas de caixa provenientes de novos empréstimos e financiamentos.</t>
      </text>
    </comment>
    <comment authorId="0" ref="A34">
      <text>
        <t xml:space="preserve">Incluem despesas com vendas, administrativas e gerais.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3">
      <text>
        <t xml:space="preserve">ROA = Retorno sobre o Ativo
Mede a eficiência com que uma empresa utiliza seus ativos para gerar lucro. Quanto maior este indicador, melhor é a eficiência em gerar lucro a partir dos ativos. Valores acima de 10% geralmente são considerados bons.
Cálculo: lucro líquido / ativo total</t>
      </text>
    </comment>
    <comment authorId="0" ref="A96">
      <text>
        <t xml:space="preserve">Perda contábil de ativos ao longo do tempo.
Quanto maior/melhor: Menor = melhor (mas normal em setores com muitos ativos).
Desgaste dos ativos.</t>
      </text>
    </comment>
    <comment authorId="0" ref="A92">
      <text>
        <t xml:space="preserve">Custos de administração, gestão, suporte.
Quanto maior/melhor: Menor = melhor, mas sem cortar demais.
Eficiência administrativa.</t>
      </text>
    </comment>
    <comment authorId="0" ref="A59">
      <text>
        <t xml:space="preserve">O que é: Ajustes do lucro para excluir itens que não mexem no caixa.
O que mede: Diferença entre lucro contábil e impacto real no caixa.
Interpretação: Pode variar — valores positivos indicam que o lucro contábil subestimou o caixa operacional.
Ajustes que corrigem o lucro para refletir caixa real.</t>
      </text>
    </comment>
    <comment authorId="0" ref="A26">
      <text>
        <t xml:space="preserve">Parte dos lucros acumulados que não foi distribuída.
Quanto maior, melhor, indica lucro sustentável.</t>
      </text>
    </comment>
    <comment authorId="0" ref="M5">
      <text>
        <t xml:space="preserve">Mede a produtividade e serve como comparação de lucratividade operacional entre empresas do mesmo segmento. É um indicador de margem considerando depreciação e amortização.
Cálculo: EBIT / receita líquida</t>
      </text>
    </comment>
    <comment authorId="0" ref="A88">
      <text>
        <t xml:space="preserve">Custo para produzir/entregar o serviço.
Quanto maior/melhor: Menor = melhor.
Custo direto do negócio.</t>
      </text>
    </comment>
    <comment authorId="0" ref="A84">
      <text>
        <t xml:space="preserve">Valor que se encontra no BP em Caixa</t>
      </text>
    </comment>
    <comment authorId="0" ref="A51">
      <text>
        <t xml:space="preserve">EBIT + resultado financeiro.
Quanto maior/melhor: Maior = melhor.
Lucro antes dos impostos.</t>
      </text>
    </comment>
    <comment authorId="0" ref="A47">
      <text>
        <t xml:space="preserve">Soma de receitas financeiras menos despesas financeiras.
Quanto maior/melhor: Maior = melhor, mas geralmente é negativo.
Mostra o impacto dos juros (dívidas e aplicações).</t>
      </text>
    </comment>
    <comment authorId="0" ref="A14">
      <text>
        <t xml:space="preserve">Dívidas que vencem em até 12 meses.
Quanto menor melhor, pois pressiona o caixa.</t>
      </text>
    </comment>
    <comment authorId="0" ref="A109">
      <text>
        <t xml:space="preserve">Resultado final após todos os custos.
Quanto maior/melhor: Maior = melhor.
Resultado final do trimestre.</t>
      </text>
    </comment>
    <comment authorId="0" ref="A76">
      <text>
        <t xml:space="preserve">O que é: Pagamentos aos acionistas (JCP + dividendos).
O que mede: Saída de caixa para remuneração do capital próprio.
Interpretação:
Alto = empresa distribuindo caixa
Baixo = retendo para investir ou porque lucrou pouco
Texto para planilha: Caixa pago aos acionistas como dividendos e JCP.</t>
      </text>
    </comment>
    <comment authorId="0" ref="A43">
      <text>
        <t xml:space="preserve">(Lucro Antes de Juros e Impostos)
EBITDA – Depreciação e Amortização.
Quanto maior/melhor: Maior = melhor.
Lucro da operação real.</t>
      </text>
    </comment>
    <comment authorId="0" ref="A105">
      <text>
        <t xml:space="preserve">Filtra por EBITDA
Dentro do DFs</t>
      </text>
    </comment>
    <comment authorId="0" ref="A6">
      <text>
        <t xml:space="preserve">Ativos de longo prazo (imobilizado, investimentos, ativos fixos).
Quanto maior melhor? Sinaliza base operacional forte, mas pode indicar empresa pesada demais.</t>
      </text>
    </comment>
    <comment authorId="0" ref="M18">
      <text>
        <t xml:space="preserve">EBIT / Despesa Financeira.
Quanto maior/melhor: Maior = melhor.
Capacidade de pagar juros com lucro operacional.</t>
      </text>
    </comment>
    <comment authorId="0" ref="A101">
      <text>
        <t xml:space="preserve">Ganhos com juros, aplicações, caixa.
Quanto maior/melhor: Maior = melhor.
Indica rendimento financeiro da empresa.</t>
      </text>
    </comment>
    <comment authorId="0" ref="A2">
      <text>
        <t xml:space="preserve">É um retrato da saúde financeira da empresa em um determinado momento.
Mostra os ativos/passivo e o 
PL.</t>
      </text>
    </comment>
    <comment authorId="0" ref="A64">
      <text>
        <t xml:space="preserve">O que é: Gastos com bens físicos de longo prazo (máquinas, redes, prédios, equipamentos).
O que mede: Investimento para manter ou expandir operações físicas.
Interpretação:
Moderado = saudável
Muito alto = expansão ou manutenção pesada
Muito baixo = pode indicar subinvestimento
Texto para planilha: Investimento em ativos físicos de longo prazo.</t>
      </text>
    </comment>
    <comment authorId="0" ref="A31">
      <text>
        <t xml:space="preserve">Receita após impostos e devoluções.
Quanto maior/melhor: Maior = melhor.
Receita real que a empresa recebe.</t>
      </text>
    </comment>
    <comment authorId="0" ref="M10">
      <text>
        <t xml:space="preserve">Mede a capacidade da empresa em gerar receita com seus ativos e a eficiência de seu modelo de negócio.
Cálculo: receita líquida / total de ativos</t>
      </text>
    </comment>
    <comment authorId="0" ref="A93">
      <text>
        <t xml:space="preserve">Peso das despesas administrativas sobre a receita.
Quanto maior/melhor: Menor = melhor.
Quanto a empresa gasta para se administrar.</t>
      </text>
    </comment>
    <comment authorId="0" ref="A60">
      <text>
        <t xml:space="preserve">O que é: Mudança em contas operacionais do ativo (clientes, estoques, impostos a recuperar etc.).
O que mede: Quanto a empresa “prendeu” ou “liberou” caixa nos ativos.
Interpretação:
Negativo → empresa usou caixa no ciclo operacional.
Positivo → empresa liberou caixa.
Consumo ou liberação de caixa pelos ativos operacionais.</t>
      </text>
    </comment>
    <comment authorId="0" ref="A27">
      <text>
        <t xml:space="preserve">Lucros não distribuídos nem reservados.
Se for negativo → problema.
Positivo é saudável.</t>
      </text>
    </comment>
    <comment authorId="0" ref="M6">
      <text>
        <t xml:space="preserve">Mede a produtividade e serve como comparação de lucratividade operacional entre empresas do mesmo segmento. É um indicador da margem desconsiderando depreciação e amortização.
Cálculo: EBITDA / receita líquida</t>
      </text>
    </comment>
    <comment authorId="0" ref="A89">
      <text>
        <t xml:space="preserve">Receita líquida – CMV.
Quanto maior/melhor: Maior = melhor.
Lucro após pagar o custo direto do serviço.</t>
      </text>
    </comment>
    <comment authorId="0" ref="A56">
      <text>
        <t xml:space="preserve">Detalha como o dinheiro entrou e saiu da empresa durante um período, mostrando a liquidez e a capacidade de gerar caixa.
Comparativo: 1T2025 x 1T2024</t>
      </text>
    </comment>
    <comment authorId="0" ref="A23">
      <text>
        <t xml:space="preserve">Valor líquido da empresa (ativos - passivos).
Crescimento constante é ótimo, mostra fortalecimento.</t>
      </text>
    </comment>
    <comment authorId="0" ref="A52">
      <text>
        <t xml:space="preserve">Tributos pagos sobre o lucro.
Quanto maior/melhor: Menor = melhor.
Carga tributária sobre o resultado.</t>
      </text>
    </comment>
    <comment authorId="0" ref="A15">
      <text>
        <t xml:space="preserve">Dívidas acima de 12 meses.
Pode ser positivo, pois alonga o perfil da dívida.</t>
      </text>
    </comment>
    <comment authorId="0" ref="A11">
      <text>
        <t xml:space="preserve">Dinheiro imediato (caixa + bancos + aplicações de liquidez diária).
Quanto maior melhor? Sim, normalmente aumenta segurança.</t>
      </text>
    </comment>
    <comment authorId="0" ref="A106">
      <text>
        <t xml:space="preserve">Lucro antes de juros, impostos, depreciação e amortização.
Quanto maior/melhor: Maior = melhor.
Força operacional “pura”.</t>
      </text>
    </comment>
    <comment authorId="0" ref="A40">
      <text>
        <t xml:space="preserve">Perda contábil de ativos ao longo do tempo.
Quanto maior/melhor: Menor = melhor (mas normal em setores com muitos ativos).
Desgaste dos ativos.</t>
      </text>
    </comment>
    <comment authorId="0" ref="M19">
      <text>
        <t xml:space="preserve">Alavancagem Financeira (Ativo Total / Patrimônio Líquido)
Mostra quanto a empresa utiliza capital de terceiros para ampliar seus ativos.
Quanto maior, pior, pois indica maior dependência de dívida e maior risco financeiro.</t>
      </text>
    </comment>
    <comment authorId="0" ref="A102">
      <text>
        <t xml:space="preserve">Juros pagos em dívidas.
Quanto maior/melhor: Menor = melhor.
Custo das dívidas.</t>
      </text>
    </comment>
    <comment authorId="0" ref="A36">
      <text>
        <t xml:space="preserve">Custos de administração, gestão, suporte.
Quanto maior/melhor: Menor = melhor, mas sem cortar demais.
Eficiência administrativa.</t>
      </text>
    </comment>
    <comment authorId="0" ref="A65">
      <text>
        <t xml:space="preserve">O que é: Gastos com ativos não físicos (software, licenças, marcas, direitos).
O que mede: Investimentos que aumentam a capacidade operacional sem envolver bens físicos.
Interpretação: Nem alto nem baixo é bom por si só — depende do setor.
Texto para planilha: Investimentos em ativos não físicos, como softwares e licenças.</t>
      </text>
    </comment>
    <comment authorId="0" ref="A32">
      <text>
        <t xml:space="preserve">Custo para produzir/entregar o serviço.
Quanto maior/melhor: Menor = melhor.
Custo direto do negócio.</t>
      </text>
    </comment>
    <comment authorId="0" ref="A61">
      <text>
        <t xml:space="preserve">O que é: Quanto o negócio gerou de caixa após operações, juros e impostos.
O que mede: Capacidade real da empresa de gerar caixa recorrente.
Interpretação: Quanto maior, melhor — é a base do valor da empresa.
Texto para planilha: Caixa líquido gerado pelas operações.</t>
      </text>
    </comment>
    <comment authorId="0" ref="A90">
      <text>
        <t xml:space="preserve">Incluem despesas com vendas, administrativas e gerais.</t>
      </text>
    </comment>
    <comment authorId="0" ref="M3">
      <text>
        <t xml:space="preserve">Indica quanto da receita é convertida em lucro.
Cálculo: lucro líquido / receita líquida</t>
      </text>
    </comment>
    <comment authorId="0" ref="A53">
      <text>
        <t xml:space="preserve">Resultado final após todos os custos.
Quanto maior/melhor: Maior = melhor.
Resultado final do trimestre.</t>
      </text>
    </comment>
    <comment authorId="0" ref="A20">
      <text>
        <t xml:space="preserve">Total de empréstimos/financiamentos.
Quanto maior/melhor: Menor = melhor.
Endividamento total.</t>
      </text>
    </comment>
    <comment authorId="0" ref="A49">
      <text>
        <t xml:space="preserve">DFS 1,2,3 filtre Depreciação/Amortização
Release 4T Filtre
Depreciação/Amortização</t>
      </text>
    </comment>
    <comment authorId="0" ref="A16">
      <text>
        <t xml:space="preserve">Dívidas bancárias de curto prazo.
Quanto menor melhor, pois são juros mais altos e pressionam o caixa.</t>
      </text>
    </comment>
    <comment authorId="0" ref="A78">
      <text>
        <t xml:space="preserve">O que é: Pagamento de principal de dívidas (exclui juros).
O que mede: Redução do saldo da dívida ao longo do tempo.
Interpretação:
Alto = reduz alavancagem, mas consome caixa
Baixo = empresa mantém dívidas por mais tempo
Texto para planilha: Pagamentos do principal das dívidas, reduzindo o endividamento.</t>
      </text>
    </comment>
    <comment authorId="0" ref="A45">
      <text>
        <t xml:space="preserve">Ganhos com juros, aplicações, caixa.
Quanto maior/melhor: Maior = melhor.
Indica rendimento financeiro da empresa.</t>
      </text>
    </comment>
    <comment authorId="0" ref="A107">
      <text>
        <t xml:space="preserve">EBIT + resultado financeiro.
Quanto maior/melhor: Maior = melhor.
Lucro antes dos impostos.</t>
      </text>
    </comment>
    <comment authorId="0" ref="A74">
      <text>
        <t xml:space="preserve">O que é: Empréstimos, financiamentos, debêntures ou qualquer nova dívida tomada.
O que mede: Entrada de caixa vinda de dívida nova.
Interpretação:
Moderado = financiamento saudável
Muito alto = pode indicar aumento de alavancagem
Texto para planilha: Entradas de caixa provenientes de novos empréstimos e financiamentos.</t>
      </text>
    </comment>
    <comment authorId="0" ref="A8">
      <text>
        <t xml:space="preserve">Valor do estoque.
Maior = melhor? Não necessariamente.
Alta demais = risco de obsolescência. Baixa demais = risco de ruptura e perda de vendas.</t>
      </text>
    </comment>
    <comment authorId="0" ref="A103">
      <text>
        <t xml:space="preserve">Soma de receitas financeiras menos despesas financeiras.
Quanto maior/melhor: Maior = melhor, mas geralmente é negativo.
Mostra o impacto dos juros (dívidas e aplicações).</t>
      </text>
    </comment>
    <comment authorId="0" ref="A37">
      <text>
        <t xml:space="preserve">Peso das despesas administrativas sobre a receita.
Quanto maior/melhor: Menor = melhor.
Quanto a empresa gasta para se administrar.</t>
      </text>
    </comment>
    <comment authorId="0" ref="A4">
      <text>
        <t xml:space="preserve">Tudo que a empresa possui (bens + direitos).
Interpretação: crescimento constante normalmente é positivo (expansão com controle).</t>
      </text>
    </comment>
    <comment authorId="0" ref="M16">
      <text>
        <t xml:space="preserve">Dívida Líquida sobre EBITDA
Mede a relação entre a dívida líquida de uma empresa e seu lucro antes de juros, impostos, depreciação e amortização (EBITDA). Quanto maior, maior é a carga de dívida da empresa.
Cálculo: dívida líquida / EBITDA</t>
      </text>
    </comment>
    <comment authorId="0" ref="A99">
      <text>
        <t xml:space="preserve">(Lucro Antes de Juros e Impostos)
EBITDA – Depreciação e Amortização.
Quanto maior/melhor: Maior = melhor.
Lucro da operação real.</t>
      </text>
    </comment>
    <comment authorId="0" ref="A66">
      <text>
        <t xml:space="preserve">O que é: Somatório dos investimentos em imobilizado, intangível e ativos de contrato.
O que mede: O tamanho do investimento de longo prazo do período.
Interpretação:
CAPEX alto = expansão, manutenção forte ou ciclo de investimentos
CAPEX baixo = operação madura, menos necessidades
Texto para planilha: Total investido em ativos de longo prazo (expansão e manutenção).</t>
      </text>
    </comment>
    <comment authorId="0" ref="A33">
      <text>
        <t xml:space="preserve">Receita líquida – CMV.
Quanto maior/melhor: Maior = melhor.
Lucro após pagar o custo direto do serviço.</t>
      </text>
    </comment>
    <comment authorId="0" ref="M12">
      <text>
        <t xml:space="preserve">ROIC = Retorno sobre o Capital Investido
Mede o retorno sobre o capital investido em uma empresa. Quanto maior este indicador, melhor é o retorno que os investidores estão recebendo sobre o investimento. Valores acima de 10% geralmente são considerados bons.
Cálculo: EBIT / capital investido</t>
      </text>
    </comment>
    <comment authorId="0" ref="A29">
      <text>
        <t xml:space="preserve">Mostra o desempenho da empresa ao longo de um período, detalhando receitas, custos e despesas, resultando no lucrou ou prejuízo. 
Comparativo: 1T2025 x 1T2024</t>
      </text>
    </comment>
    <comment authorId="0" ref="A58">
      <text>
        <t xml:space="preserve">O que é: Resultado final após todas as receitas, despesas, impostos e efeitos financeiros.
O que mede: A lucratividade final do período.
Interpretação: Quanto maior, melhor — desde que sustentável e recorrente.
Lucro final da empresa após todos os custos.</t>
      </text>
    </comment>
    <comment authorId="0" ref="A25">
      <text>
        <t xml:space="preserve">Valores de aportes dos acionistas que não vão para lucro.
Normalmente estável.</t>
      </text>
    </comment>
    <comment authorId="0" ref="M4">
      <text>
        <t xml:space="preserve">Indica a eficiência da empresa em transformar suas vendas em lucro, excluindo os custos variáveis.
Cálculo: lucro bruto / receita líquida</t>
      </text>
    </comment>
    <comment authorId="0" ref="A87">
      <text>
        <t xml:space="preserve">Receita após impostos e devoluções.
Quanto maior/melhor: Maior = melhor.
Receita real que a empresa recebe.</t>
      </text>
    </comment>
    <comment authorId="0" ref="A21">
      <text>
        <t xml:space="preserve">Dívida bruta – caixa.
Quanto maior/melhor: Menor = melhor.
Endividamento real da empresa.</t>
      </text>
    </comment>
    <comment authorId="0" ref="A50">
      <text>
        <t xml:space="preserve">Lucro antes de juros, impostos, depreciação e amortização.
Quanto maior/melhor: Maior = melhor.
Força operacional “pura”.</t>
      </text>
    </comment>
    <comment authorId="0" ref="A17">
      <text>
        <t xml:space="preserve">Financiamentos e debêntures com vencimento acima de 12 meses.
Bom quando predomina, pois dívida longa é mais saudável.</t>
      </text>
    </comment>
    <comment authorId="0" ref="A79">
      <text>
        <t xml:space="preserve">O que é: Resultado líquido das operações de financiamento da empresa.
Fórmula:
Captações – Amortizações – Dividendos/JCP – Arrendamentos
O que mede: Quanto de caixa entrou ou saiu por causa do financiamento.
Interpretação:
Positivo = empresa captou mais do que pagou
Negativo = empresa pagou dívidas/dividendos mais do que captou
Texto para planilha: Caixa líquido gerado ou consumido pelas atividades de financiamento.</t>
      </text>
    </comment>
    <comment authorId="0" ref="A46">
      <text>
        <t xml:space="preserve">Juros pagos em dívidas.
Quanto maior/melhor: Menor = melhor.
Custo das dívidas.</t>
      </text>
    </comment>
    <comment authorId="0" ref="A13">
      <text>
        <t xml:space="preserve">Tudo o que a empresa deve (curto + longo prazo).
Maior = pior. Mas pode fazer sentido se financiar crescimento.</t>
      </text>
    </comment>
    <comment authorId="0" ref="A108">
      <text>
        <t xml:space="preserve">Tributos pagos sobre o lucro.
Quanto maior/melhor: Menor = melhor.
Carga tributária sobre o resultado.</t>
      </text>
    </comment>
    <comment authorId="0" ref="A9">
      <text>
        <t xml:space="preserve">Valor se encontra em DFC Caixa Final</t>
      </text>
    </comment>
    <comment authorId="0" ref="A71">
      <text>
        <t xml:space="preserve">O que é: Todo caixa gasto ou recebido em investimentos (inclui CAPEX + aplicações financeiras + resgates).
O que mede: A movimentação total de caixa nas atividades de investimento.
Interpretação:
Normalmente negativo = empresa investiu
Positivo = vendeu ativos ou resgatou aplicações
Texto para planilha: Caixa líquido consumido ou gerado por investimentos.</t>
      </text>
    </comment>
    <comment authorId="0" ref="A5">
      <text>
        <t xml:space="preserve">Ativos que viram dinheiro em até 12 meses (caixa, estoques, contas a receber).
Quanto maior melhor? Depende. Um circulante maior aumenta a liquidez, mas pode indicar ineficiência se estiver inchado.</t>
      </text>
    </comment>
    <comment authorId="0" ref="M17">
      <text>
        <t xml:space="preserve">Mede a capacidade de uma empresa de pagar suas dívidas correntes (a vencer em um ano ou menos) usando apenas seus ativos correntes (disponíveis em um ano ou menos). Indica se há recursos suficientes para cobrir obrigações de curto prazo.
Cálculo: ativos correntes / passivos correntes</t>
      </text>
    </comment>
    <comment authorId="0" ref="A34">
      <text>
        <t xml:space="preserve">Incluem despesas com vendas, administrativas e gerais.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3">
      <text>
        <t xml:space="preserve">ROA = Retorno sobre o Ativo
Mede a eficiência com que uma empresa utiliza seus ativos para gerar lucro. Quanto maior este indicador, melhor é a eficiência em gerar lucro a partir dos ativos. Valores acima de 10% geralmente são considerados bons.
Cálculo: lucro líquido / ativo total</t>
      </text>
    </comment>
    <comment authorId="0" ref="A63">
      <text>
        <t xml:space="preserve">ABA Principais indicadores</t>
      </text>
    </comment>
    <comment authorId="0" ref="A59">
      <text>
        <t xml:space="preserve">ABA Principais indicadores
"EBITDA ajustado"</t>
      </text>
    </comment>
    <comment authorId="0" ref="A26">
      <text>
        <t xml:space="preserve">Parte dos lucros acumulados que não foi distribuída.
Quanto maior, melhor, indica lucro sustentável.</t>
      </text>
    </comment>
    <comment authorId="0" ref="M5">
      <text>
        <t xml:space="preserve">Mede a produtividade e serve como comparação de lucratividade operacional entre empresas do mesmo segmento. É um indicador de margem considerando depreciação e amortização.
Cálculo: EBIT / receita líquida</t>
      </text>
    </comment>
    <comment authorId="0" ref="A55">
      <text>
        <t xml:space="preserve">Lucro antes de juros, impostos, depreciação e amortização.
Quanto maior/melhor: Maior = melhor.
Força operacional “pura”.</t>
      </text>
    </comment>
    <comment authorId="0" ref="A22">
      <text>
        <t xml:space="preserve">Dívida bruta – caixa.
Quanto maior/melhor: Menor = melhor.
Endividamento real da empresa.</t>
      </text>
    </comment>
    <comment authorId="0" ref="A51">
      <text>
        <t xml:space="preserve">Soma de receitas financeiras menos despesas financeiras.
Quanto maior/melhor: Maior = melhor, mas geralmente é negativo.
Mostra o impacto dos juros (dívidas e aplicações).</t>
      </text>
    </comment>
    <comment authorId="0" ref="A18">
      <text>
        <t xml:space="preserve">Na ABA: Indicadores de endividamento</t>
      </text>
    </comment>
    <comment authorId="0" ref="A80">
      <text>
        <t xml:space="preserve">O que é: Todo caixa gasto ou recebido em investimentos (inclui CAPEX + aplicações financeiras + resgates).
O que mede: A movimentação total de caixa nas atividades de investimento.
Interpretação:
Normalmente negativo = empresa investiu
Positivo = vendeu ativos ou resgatou aplicações
Texto para planilha: Caixa líquido consumido ou gerado por investimentos.</t>
      </text>
    </comment>
    <comment authorId="0" ref="A14">
      <text>
        <t xml:space="preserve">Dívidas que vencem em até 12 meses.
Quanto menor melhor, pois pressiona o caixa.</t>
      </text>
    </comment>
    <comment authorId="0" ref="A43">
      <text>
        <t xml:space="preserve">Perda contábil de ativos ao longo do tempo.
Quanto maior/melhor: Menor = melhor (mas normal em setores com muitos ativos).
Desgaste dos ativos.</t>
      </text>
    </comment>
    <comment authorId="0" ref="A6">
      <text>
        <t xml:space="preserve">Ativos de longo prazo (imobilizado, investimentos, ativos fixos).
Quanto maior melhor? Sinaliza base operacional forte, mas pode indicar empresa pesada demais.</t>
      </text>
    </comment>
    <comment authorId="0" ref="M18">
      <text>
        <t xml:space="preserve">EBIT / Despesa Financeira.
Quanto maior/melhor: Maior = melhor.
Capacidade de pagar juros com lucro operacional.</t>
      </text>
    </comment>
    <comment authorId="0" ref="A68">
      <text>
        <t xml:space="preserve">O que é: Resultado final após todas as receitas, despesas, impostos e efeitos financeiros.
O que mede: A lucratividade final do período.
Interpretação: Quanto maior, melhor — desde que sustentável e recorrente.
Lucro final da empresa após todos os custos.</t>
      </text>
    </comment>
    <comment authorId="0" ref="A35">
      <text>
        <t xml:space="preserve">Incluem despesas com vendas, administrativas e gerais.</t>
      </text>
    </comment>
    <comment authorId="0" ref="A2">
      <text>
        <t xml:space="preserve">É um retrato da saúde financeira da empresa em um determinado momento.
Mostra os ativos/passivo e o 
PL.</t>
      </text>
    </comment>
    <comment authorId="0" ref="A64">
      <text>
        <t xml:space="preserve">ABA Principais indicadores</t>
      </text>
    </comment>
    <comment authorId="0" ref="A31">
      <text>
        <t xml:space="preserve">Resultado da atividade principal da empresa antes do financeiro.
Quanto maior/melhor: Maior = melhor.
Mede a força da operação principal.</t>
      </text>
    </comment>
    <comment authorId="0" ref="M10">
      <text>
        <t xml:space="preserve">Mede a capacidade da empresa em gerar receita com seus ativos e a eficiência de seu modelo de negócio.
Cálculo: receita líquida / total de ativos</t>
      </text>
    </comment>
    <comment authorId="0" ref="A60">
      <text>
        <t xml:space="preserve">ABA Principais indicadores
"Lucro líquido sem eventos exclusivos- Acionistas Petrobras (*)"</t>
      </text>
    </comment>
    <comment authorId="0" ref="A27">
      <text>
        <t xml:space="preserve">Lucros não distribuídos nem reservados.
Se for negativo → problema.
Positivo é saudável.</t>
      </text>
    </comment>
    <comment authorId="0" ref="M6">
      <text>
        <t xml:space="preserve">Mede a produtividade e serve como comparação de lucratividade operacional entre empresas do mesmo segmento. É um indicador da margem desconsiderando depreciação e amortização.
Cálculo: EBITDA / receita líquida</t>
      </text>
    </comment>
    <comment authorId="0" ref="A56">
      <text>
        <t xml:space="preserve">EBIT + resultado financeiro.
Quanto maior/melhor: Maior = melhor.
Lucro antes dos impostos.</t>
      </text>
    </comment>
    <comment authorId="0" ref="A48">
      <text>
        <t xml:space="preserve">Ganhos com juros, aplicações, caixa.
Quanto maior/melhor: Maior = melhor.
Indica rendimento financeiro da empresa.</t>
      </text>
    </comment>
    <comment authorId="0" ref="A15">
      <text>
        <t xml:space="preserve">Dívidas acima de 12 meses.
Pode ser positivo, pois alonga o perfil da dívida.</t>
      </text>
    </comment>
    <comment authorId="0" ref="A11">
      <text>
        <t xml:space="preserve">Dinheiro imediato (caixa + bancos + aplicações de liquidez diária).
Quanto maior melhor? Sim, normalmente aumenta segurança.</t>
      </text>
    </comment>
    <comment authorId="0" ref="A73">
      <text>
        <t xml:space="preserve">O que é: Gastos com bens físicos de longo prazo (máquinas, redes, prédios, equipamentos).
O que mede: Investimento para manter ou expandir operações físicas.
Interpretação:
Moderado = saudável
Muito alto = expansão ou manutenção pesada
Muito baixo = pode indicar subinvestimento
Texto para planilha: Investimento em ativos físicos de longo prazo.</t>
      </text>
    </comment>
    <comment authorId="0" ref="M19">
      <text>
        <t xml:space="preserve">Alavancagem Financeira (Ativo Total / Patrimônio Líquido)
Mostra quanto a empresa utiliza capital de terceiros para ampliar seus ativos.
Quanto maior, pior, pois indica maior dependência de dívida e maior risco financeiro.</t>
      </text>
    </comment>
    <comment authorId="0" ref="A69">
      <text>
        <t xml:space="preserve">O que é: Ajustes do lucro para excluir itens que não mexem no caixa.
O que mede: Diferença entre lucro contábil e impacto real no caixa.
Interpretação: Pode variar — valores positivos indicam que o lucro contábil subestimou o caixa operacional.
Ajustes que corrigem o lucro para refletir caixa real.</t>
      </text>
    </comment>
    <comment authorId="0" ref="A32">
      <text>
        <t xml:space="preserve">Receita após impostos e devoluções.
Quanto maior/melhor: Maior = melhor.
Receita real que a empresa recebe.</t>
      </text>
    </comment>
    <comment authorId="0" ref="M11">
      <text>
        <t xml:space="preserve">ROIC = Retorno sobre o Capital Investido
Mede o retorno sobre o capital investido em uma empresa. Quanto maior este indicador, melhor é o retorno que os investidores estão recebendo sobre o investimento. Valores acima de 10% geralmente são considerados bons.
Cálculo: EBIT / capital investido</t>
      </text>
    </comment>
    <comment authorId="0" ref="A90">
      <text>
        <t xml:space="preserve">O que é: Resultado líquido das operações de financiamento da empresa.
Fórmula:
Captações – Amortizações – Dividendos/JCP – Arrendamentos
O que mede: Quanto de caixa entrou ou saiu por causa do financiamento.
Interpretação:
Positivo = empresa captou mais do que pagou
Negativo = empresa pagou dívidas/dividendos mais do que captou
Texto para planilha: Caixa líquido gerado ou consumido pelas atividades de financiamento.</t>
      </text>
    </comment>
    <comment authorId="0" ref="A57">
      <text>
        <t xml:space="preserve">Tributos pagos sobre o lucro.
Quanto maior/melhor: Menor = melhor.
Carga tributária sobre o resultado.</t>
      </text>
    </comment>
    <comment authorId="0" ref="A24">
      <text>
        <t xml:space="preserve">Valor líquido da empresa (ativos - passivos).
Crescimento constante é ótimo, mostra fortalecimento.</t>
      </text>
    </comment>
    <comment authorId="0" ref="M3">
      <text>
        <t xml:space="preserve">Indica quanto da receita é convertida em lucro.
Cálculo: lucro líquido / receita líquida</t>
      </text>
    </comment>
    <comment authorId="0" ref="N3">
      <text>
        <t xml:space="preserve">Baixe:
Demonstrações Financeiras em R$</t>
      </text>
    </comment>
    <comment authorId="0" ref="A53">
      <text>
        <t xml:space="preserve">ABA Reconciliação EBITDA ajustado</t>
      </text>
    </comment>
    <comment authorId="0" ref="A20">
      <text>
        <t xml:space="preserve">Total de empréstimos/financiamentos.
Quanto maior/melhor: Menor = melhor.
Endividamento total.</t>
      </text>
    </comment>
    <comment authorId="0" ref="A49">
      <text>
        <t xml:space="preserve">Juros pagos em dívidas.
Quanto maior/melhor: Menor = melhor.
Custo das dívidas.</t>
      </text>
    </comment>
    <comment authorId="0" ref="A16">
      <text>
        <t xml:space="preserve">Dívidas bancárias de curto prazo.
Quanto menor melhor, pois são juros mais altos e pressionam o caixa.</t>
      </text>
    </comment>
    <comment authorId="0" ref="A74">
      <text>
        <t xml:space="preserve">O que é: Somatório dos investimentos em imobilizado, intangível e ativos de contrato.
O que mede: O tamanho do investimento de longo prazo do período.
Interpretação:
CAPEX alto = expansão, manutenção forte ou ciclo de investimentos
CAPEX baixo = operação madura, menos necessidades
Texto para planilha: Total investido em ativos de longo prazo (expansão e manutenção).</t>
      </text>
    </comment>
    <comment authorId="0" ref="A8">
      <text>
        <t xml:space="preserve">Valor do estoque.
Maior = melhor? Não necessariamente.
Alta demais = risco de obsolescência. Baixa demais = risco de ruptura e perda de vendas.</t>
      </text>
    </comment>
    <comment authorId="0" ref="A70">
      <text>
        <t xml:space="preserve">O que é: Quanto o negócio gerou de caixa após operações, juros e impostos.
O que mede: Capacidade real da empresa de gerar caixa recorrente.
Interpretação: Quanto maior, melhor — é a base do valor da empresa.
Texto para planilha: Caixa líquido gerado pelas operações.</t>
      </text>
    </comment>
    <comment authorId="0" ref="A37">
      <text>
        <t xml:space="preserve">Custos de administração, gestão, suporte.
Quanto maior/melhor: Menor = melhor, mas sem cortar demais.
Eficiência administrativa.</t>
      </text>
    </comment>
    <comment authorId="0" ref="A4">
      <text>
        <t xml:space="preserve">Tudo que a empresa possui (bens + direitos).
Interpretação: crescimento constante normalmente é positivo (expansão com controle).</t>
      </text>
    </comment>
    <comment authorId="0" ref="M16">
      <text>
        <t xml:space="preserve">Dívida Líquida sobre EBITDA
Mede a relação entre a dívida líquida de uma empresa e seu lucro antes de juros, impostos, depreciação e amortização (EBITDA). Quanto maior, maior é a carga de dívida da empresa.
Cálculo: dívida líquida / EBITDA</t>
      </text>
    </comment>
    <comment authorId="0" ref="A66">
      <text>
        <t xml:space="preserve">Detalha como o dinheiro entrou e saiu da empresa durante um período, mostrando a liquidez e a capacidade de gerar caixa.
Comparativo: 1T2025 x 1T2024</t>
      </text>
    </comment>
    <comment authorId="0" ref="A33">
      <text>
        <t xml:space="preserve">Custo para produzir/entregar o serviço.
Quanto maior/melhor: Menor = melhor.
Custo direto do negócio.</t>
      </text>
    </comment>
    <comment authorId="0" ref="M12">
      <text>
        <t xml:space="preserve">ROIC = Retorno sobre o Capital Investido
Mede o retorno sobre o capital investido em uma empresa. Quanto maior este indicador, melhor é o retorno que os investidores estão recebendo sobre o investimento. Valores acima de 10% geralmente são considerados bons.
Cálculo: EBIT / capital investido</t>
      </text>
    </comment>
    <comment authorId="0" ref="A95">
      <text>
        <t xml:space="preserve">Valor que se encontra no BP em Caixa</t>
      </text>
    </comment>
    <comment authorId="0" ref="A62">
      <text>
        <t xml:space="preserve">ABA Principais indicadores</t>
      </text>
    </comment>
    <comment authorId="0" ref="A29">
      <text>
        <t xml:space="preserve">Mostra o desempenho da empresa ao longo de um período, detalhando receitas, custos e despesas, resultando no lucrou ou prejuízo. 
Comparativo: 1T2025 x 1T2024</t>
      </text>
    </comment>
    <comment authorId="0" ref="A58">
      <text>
        <t xml:space="preserve">Resultado final após todos os custos.
Quanto maior/melhor: Maior = melhor.
Resultado final do trimestre.</t>
      </text>
    </comment>
    <comment authorId="0" ref="A25">
      <text>
        <t xml:space="preserve">Valores de aportes dos acionistas que não vão para lucro.
Normalmente estável.</t>
      </text>
    </comment>
    <comment authorId="0" ref="M4">
      <text>
        <t xml:space="preserve">Indica a eficiência da empresa em transformar suas vendas em lucro, excluindo os custos variáveis.
Cálculo: lucro bruto / receita líquida</t>
      </text>
    </comment>
    <comment authorId="0" ref="A17">
      <text>
        <t xml:space="preserve">Financiamentos e debêntures com vencimento acima de 12 meses.
Bom quando predomina, pois dívida longa é mais saudável.</t>
      </text>
    </comment>
    <comment authorId="0" ref="A46">
      <text>
        <t xml:space="preserve">(Lucro Antes de Juros e Impostos)
EBITDA – Depreciação e Amortização.
Quanto maior/melhor: Maior = melhor.
Lucro da operação real.</t>
      </text>
    </comment>
    <comment authorId="0" ref="A13">
      <text>
        <t xml:space="preserve">Tudo o que a empresa deve (curto + longo prazo).
Maior = pior. Mas pode fazer sentido se financiar crescimento.</t>
      </text>
    </comment>
    <comment authorId="0" ref="A9">
      <text>
        <t xml:space="preserve">Valor se encontra em DFC Caixa Final</t>
      </text>
    </comment>
    <comment authorId="0" ref="A38">
      <text>
        <t xml:space="preserve">Peso das despesas administrativas sobre a receita.
Quanto maior/melhor: Menor = melhor.
Quanto a empresa gasta para se administrar.</t>
      </text>
    </comment>
    <comment authorId="0" ref="A5">
      <text>
        <t xml:space="preserve">Ativos que viram dinheiro em até 12 meses (caixa, estoques, contas a receber).
Quanto maior melhor? Depende. Um circulante maior aumenta a liquidez, mas pode indicar ineficiência se estiver inchado.</t>
      </text>
    </comment>
    <comment authorId="0" ref="M17">
      <text>
        <t xml:space="preserve">Mede a capacidade de uma empresa de pagar suas dívidas correntes (a vencer em um ano ou menos) usando apenas seus ativos correntes (disponíveis em um ano ou menos). Indica se há recursos suficientes para cobrir obrigações de curto prazo.
Cálculo: ativos correntes / passivos correntes</t>
      </text>
    </comment>
    <comment authorId="0" ref="A34">
      <text>
        <t xml:space="preserve">Receita líquida – CMV.
Quanto maior/melhor: Maior = melhor.
Lucro após pagar o custo direto do serviço.</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3">
      <text>
        <t xml:space="preserve">ROA = Retorno sobre o Ativo
Mede a eficiência com que uma empresa utiliza seus ativos para gerar lucro. Quanto maior este indicador, melhor é a eficiência em gerar lucro a partir dos ativos. Valores acima de 10% geralmente são considerados bons.
Cálculo: lucro líquido / ativo total</t>
      </text>
    </comment>
    <comment authorId="0" ref="A96">
      <text>
        <t xml:space="preserve">Peso das despesas administrativas sobre a receita.
Quanto maior/melhor: Menor = melhor.
Quanto a empresa gasta para se administrar.</t>
      </text>
    </comment>
    <comment authorId="0" ref="A30">
      <text>
        <t xml:space="preserve">Mostra o desempenho da empresa ao longo de um período, detalhando receitas, custos e despesas, resultando no lucrou ou prejuízo. 
Comparativo: 1T2025 x 1T2024</t>
      </text>
    </comment>
    <comment authorId="0" ref="A92">
      <text>
        <t xml:space="preserve">Custo para produzir/entregar o serviço.
Quanto maior/melhor: Menor = melhor.
Custo direto do negócio.</t>
      </text>
    </comment>
    <comment authorId="0" ref="A59">
      <text>
        <t xml:space="preserve">Detalha como o dinheiro entrou e saiu da empresa durante um período, mostrando a liquidez e a capacidade de gerar caixa.
Comparativo: 1T2025 x 1T2024</t>
      </text>
    </comment>
    <comment authorId="0" ref="A26">
      <text>
        <t xml:space="preserve">Valores de aportes dos acionistas que não vão para lucro.
Normalmente estável.</t>
      </text>
    </comment>
    <comment authorId="0" ref="M5">
      <text>
        <t xml:space="preserve">Mede a produtividade e serve como comparação de lucratividade operacional entre empresas do mesmo segmento. É um indicador de margem considerando depreciação e amortização.
Cálculo: EBIT / receita líquida</t>
      </text>
    </comment>
    <comment authorId="0" ref="A88">
      <text>
        <t xml:space="preserve">Valor que se encontra no BP em Caixa</t>
      </text>
    </comment>
    <comment authorId="0" ref="A55">
      <text>
        <t xml:space="preserve">Tributos pagos sobre o lucro.
Quanto maior/melhor: Menor = melhor.
Carga tributária sobre o resultado.</t>
      </text>
    </comment>
    <comment authorId="0" ref="A22">
      <text>
        <t xml:space="preserve">Total de empréstimos/financiamentos.
Quanto maior/melhor: Menor = melhor.
Endividamento total.</t>
      </text>
    </comment>
    <comment authorId="0" ref="A51">
      <text>
        <t xml:space="preserve">Pegue no Desempenho da Vale no  - BRGAAP
Indicadores financeiros selecionados </t>
      </text>
    </comment>
    <comment authorId="0" ref="A18">
      <text>
        <t xml:space="preserve">Caso não encontre no BP:
Está em
Notas Explicativas às Demonstrações Financeiras Intermediárias
Click no sumario pra ir até arrendamentos.</t>
      </text>
    </comment>
    <comment authorId="0" ref="A113">
      <text>
        <t xml:space="preserve">EBIT + resultado financeiro.
Quanto maior/melhor: Maior = melhor.
Lucro antes dos impostos.</t>
      </text>
    </comment>
    <comment authorId="0" ref="A47">
      <text>
        <t xml:space="preserve">Juros pagos em dívidas.
Quanto maior/melhor: Menor = melhor.
Custo das dívidas.</t>
      </text>
    </comment>
    <comment authorId="0" ref="A14">
      <text>
        <t xml:space="preserve">Dívidas que vencem em até 12 meses.
Quanto menor melhor, pois pressiona o caixa.</t>
      </text>
    </comment>
    <comment authorId="0" ref="A109">
      <text>
        <t xml:space="preserve">Soma de receitas financeiras menos despesas financeiras.
Quanto maior/melhor: Maior = melhor, mas geralmente é negativo.
Mostra o impacto dos juros (dívidas e aplicações).</t>
      </text>
    </comment>
    <comment authorId="0" ref="A105">
      <text>
        <t xml:space="preserve">Ganhos com juros, aplicações, caixa.
Quanto maior/melhor: Maior = melhor.
Indica rendimento financeiro da empresa.</t>
      </text>
    </comment>
    <comment authorId="0" ref="A72">
      <text>
        <t xml:space="preserve">O que é: Todo caixa gasto ou recebido em investimentos (inclui CAPEX + aplicações financeiras + resgates).
O que mede: A movimentação total de caixa nas atividades de investimento.
Interpretação:
Normalmente negativo = empresa investiu
Positivo = vendeu ativos ou resgatou aplicações
Texto para planilha: Caixa líquido consumido ou gerado por investimentos.</t>
      </text>
    </comment>
    <comment authorId="0" ref="A6">
      <text>
        <t xml:space="preserve">Ativos de longo prazo (imobilizado, investimentos, ativos fixos).
Quanto maior melhor? Sinaliza base operacional forte, mas pode indicar empresa pesada demais.</t>
      </text>
    </comment>
    <comment authorId="0" ref="M18">
      <text>
        <t xml:space="preserve">EBIT / Despesa Financeira.
Quanto maior/melhor: Maior = melhor.
Capacidade de pagar juros com lucro operacional.</t>
      </text>
    </comment>
    <comment authorId="0" ref="A35">
      <text>
        <t xml:space="preserve">Incluem despesas com vendas, administrativas e gerais.</t>
      </text>
    </comment>
    <comment authorId="0" ref="A2">
      <text>
        <t xml:space="preserve">É um retrato da saúde financeira da empresa em um determinado momento.
Mostra os ativos/passivo e o 
PL.</t>
      </text>
    </comment>
    <comment authorId="0" ref="M10">
      <text>
        <t xml:space="preserve">Mede a capacidade da empresa em gerar receita com seus ativos e a eficiência de seu modelo de negócio.
Cálculo: receita líquida / total de ativos</t>
      </text>
    </comment>
    <comment authorId="0" ref="A93">
      <text>
        <t xml:space="preserve">Receita líquida – CMV.
Quanto maior/melhor: Maior = melhor.
Lucro após pagar o custo direto do serviço.</t>
      </text>
    </comment>
    <comment authorId="0" ref="A27">
      <text>
        <t xml:space="preserve">Parte dos lucros acumulados que não foi distribuída.
Quanto maior, melhor, indica lucro sustentável.</t>
      </text>
    </comment>
    <comment authorId="0" ref="M6">
      <text>
        <t xml:space="preserve">Mede a produtividade e serve como comparação de lucratividade operacional entre empresas do mesmo segmento. É um indicador da margem desconsiderando depreciação e amortização.
Cálculo: EBITDA / receita líquida</t>
      </text>
    </comment>
    <comment authorId="0" ref="A56">
      <text>
        <t xml:space="preserve">Resultado final após todos os custos.
Quanto maior/melhor: Maior = melhor.
Resultado final do trimestre.</t>
      </text>
    </comment>
    <comment authorId="0" ref="A23">
      <text>
        <t xml:space="preserve">Dívida bruta – caixa.
Quanto maior/melhor: Menor = melhor.
Endividamento real da empresa.</t>
      </text>
    </comment>
    <comment authorId="0" ref="A52">
      <text>
        <t xml:space="preserve">Pegue no Desempenho da Vale no  - BRGAAP
Indicadores financeiros selecionados </t>
      </text>
    </comment>
    <comment authorId="0" ref="A19">
      <text>
        <t xml:space="preserve">Caso não encontre no BP:
Está em
Notas Explicativas às Demonstrações Financeiras Intermediárias
Click no sumario pra ir até arrendamentos.</t>
      </text>
    </comment>
    <comment authorId="0" ref="A114">
      <text>
        <t xml:space="preserve">Tributos pagos sobre o lucro.
Quanto maior/melhor: Menor = melhor.
Carga tributária sobre o resultado.</t>
      </text>
    </comment>
    <comment authorId="0" ref="A81">
      <text>
        <t xml:space="preserve">O que é: Resultado líquido das operações de financiamento da empresa.
Fórmula:
Captações – Amortizações – Dividendos/JCP – Arrendamentos
O que mede: Quanto de caixa entrou ou saiu por causa do financiamento.
Interpretação:
Positivo = empresa captou mais do que pagou
Negativo = empresa pagou dívidas/dividendos mais do que captou
Texto para planilha: Caixa líquido gerado ou consumido pelas atividades de financiamento.</t>
      </text>
    </comment>
    <comment authorId="0" ref="A15">
      <text>
        <t xml:space="preserve">Dívidas acima de 12 meses.
Pode ser positivo, pois alonga o perfil da dívida.</t>
      </text>
    </comment>
    <comment authorId="0" ref="A44">
      <text>
        <t xml:space="preserve">(Lucro Antes de Juros e Impostos)
EBITDA – Depreciação e Amortização.
Quanto maior/melhor: Maior = melhor.
Lucro da operação real.</t>
      </text>
    </comment>
    <comment authorId="0" ref="A11">
      <text>
        <t xml:space="preserve">Dinheiro imediato (caixa + bancos + aplicações de liquidez diária).
Quanto maior melhor? Sim, normalmente aumenta segurança.</t>
      </text>
    </comment>
    <comment authorId="0" ref="A106">
      <text>
        <t xml:space="preserve">Juros pagos em dívidas.
Quanto maior/melhor: Menor = melhor.
Custo das dívidas.</t>
      </text>
    </comment>
    <comment authorId="0" ref="M19">
      <text>
        <t xml:space="preserve">Alavancagem Financeira (Ativo Total / Patrimônio Líquido)
Mostra quanto a empresa utiliza capital de terceiros para ampliar seus ativos.
Quanto maior, pior, pois indica maior dependência de dívida e maior risco financeiro.</t>
      </text>
    </comment>
    <comment authorId="0" ref="A36">
      <text>
        <t xml:space="preserve">Custos de administração, gestão, suporte.
Quanto maior/melhor: Menor = melhor, mas sem cortar demais.
Eficiência administrativa.</t>
      </text>
    </comment>
    <comment authorId="0" ref="A65">
      <text>
        <t xml:space="preserve">O que é: Gastos com bens físicos de longo prazo (máquinas, redes, prédios, equipamentos).
O que mede: Investimento para manter ou expandir operações físicas.
Interpretação:
Moderado = saudável
Muito alto = expansão ou manutenção pesada
Muito baixo = pode indicar subinvestimento
Texto para planilha: Investimento em ativos físicos de longo prazo.</t>
      </text>
    </comment>
    <comment authorId="0" ref="A32">
      <text>
        <t xml:space="preserve">Receita após impostos e devoluções.
Quanto maior/melhor: Maior = melhor.
Receita real que a empresa recebe.</t>
      </text>
    </comment>
    <comment authorId="0" ref="M11">
      <text>
        <t xml:space="preserve">ROIC = Retorno sobre o Capital Investido
Mede o retorno sobre o capital investido em uma empresa. Quanto maior este indicador, melhor é o retorno que os investidores estão recebendo sobre o investimento. Valores acima de 10% geralmente são considerados bons.
Cálculo: EBIT / capital investido</t>
      </text>
    </comment>
    <comment authorId="0" ref="A94">
      <text>
        <t xml:space="preserve">Incluem despesas com vendas, administrativas e gerais.</t>
      </text>
    </comment>
    <comment authorId="0" ref="A61">
      <text>
        <t xml:space="preserve">O que é: Resultado final após todas as receitas, despesas, impostos e efeitos financeiros.
O que mede: A lucratividade final do período.
Interpretação: Quanto maior, melhor — desde que sustentável e recorrente.
Lucro final da empresa após todos os custos.</t>
      </text>
    </comment>
    <comment authorId="0" ref="A28">
      <text>
        <t xml:space="preserve">Lucros não distribuídos nem reservados.
Se for negativo → problema.
Positivo é saudável.</t>
      </text>
    </comment>
    <comment authorId="0" ref="A57">
      <text>
        <t xml:space="preserve">Pegue no Desempenho da Vale no  - BRGAAP
Indicadores financeiros selecionados </t>
      </text>
    </comment>
    <comment authorId="0" ref="M3">
      <text>
        <t xml:space="preserve">Indica quanto da receita é convertida em lucro.
Cálculo: lucro líquido / receita líquida</t>
      </text>
    </comment>
    <comment authorId="0" ref="A53">
      <text>
        <t xml:space="preserve">Pegue no Desempenho da Vale no  - BRGAAP
Indicadores financeiros selecionados </t>
      </text>
    </comment>
    <comment authorId="0" ref="A115">
      <text>
        <t xml:space="preserve">Resultado final após todos os custos.
Quanto maior/melhor: Maior = melhor.
Resultado final do trimestre.</t>
      </text>
    </comment>
    <comment authorId="0" ref="A16">
      <text>
        <t xml:space="preserve">Dívidas bancárias de curto prazo.
Quanto menor melhor, pois são juros mais altos e pressionam o caixa.</t>
      </text>
    </comment>
    <comment authorId="0" ref="A8">
      <text>
        <t xml:space="preserve">Valor do estoque.
Maior = melhor? Não necessariamente.
Alta demais = risco de obsolescência. Baixa demais = risco de ruptura e perda de vendas.</t>
      </text>
    </comment>
    <comment authorId="0" ref="A103">
      <text>
        <t xml:space="preserve">(Lucro Antes de Juros e Impostos)
EBITDA – Depreciação e Amortização.
Quanto maior/melhor: Maior = melhor.
Lucro da operação real.</t>
      </text>
    </comment>
    <comment authorId="0" ref="A37">
      <text>
        <t xml:space="preserve">Peso das despesas administrativas sobre a receita.
Quanto maior/melhor: Menor = melhor.
Quanto a empresa gasta para se administrar.</t>
      </text>
    </comment>
    <comment authorId="0" ref="A4">
      <text>
        <t xml:space="preserve">Tudo que a empresa possui (bens + direitos).
Interpretação: crescimento constante normalmente é positivo (expansão com controle).</t>
      </text>
    </comment>
    <comment authorId="0" ref="M16">
      <text>
        <t xml:space="preserve">Dívida Líquida sobre EBITDA
Mede a relação entre a dívida líquida de uma empresa e seu lucro antes de juros, impostos, depreciação e amortização (EBITDA). Quanto maior, maior é a carga de dívida da empresa.
Cálculo: dívida líquida / EBITDA</t>
      </text>
    </comment>
    <comment authorId="0" ref="A66">
      <text>
        <t xml:space="preserve">O que é: Somatório dos investimentos em imobilizado, intangível e ativos de contrato.
O que mede: O tamanho do investimento de longo prazo do período.
Interpretação:
CAPEX alto = expansão, manutenção forte ou ciclo de investimentos
CAPEX baixo = operação madura, menos necessidades
Texto para planilha: Total investido em ativos de longo prazo (expansão e manutenção).</t>
      </text>
    </comment>
    <comment authorId="0" ref="A33">
      <text>
        <t xml:space="preserve">Custo para produzir/entregar o serviço.
Quanto maior/melhor: Menor = melhor.
Custo direto do negócio.</t>
      </text>
    </comment>
    <comment authorId="0" ref="M12">
      <text>
        <t xml:space="preserve">ROIC = Retorno sobre o Capital Investido
Mede o retorno sobre o capital investido em uma empresa. Quanto maior este indicador, melhor é o retorno que os investidores estão recebendo sobre o investimento. Valores acima de 10% geralmente são considerados bons.
Cálculo: EBIT / capital investido</t>
      </text>
    </comment>
    <comment authorId="0" ref="A95">
      <text>
        <t xml:space="preserve">Custos de administração, gestão, suporte.
Quanto maior/melhor: Menor = melhor, mas sem cortar demais.
Eficiência administrativa.</t>
      </text>
    </comment>
    <comment authorId="0" ref="A62">
      <text>
        <t xml:space="preserve">O que é: Quanto o negócio gerou de caixa após operações, juros e impostos.
O que mede: Capacidade real da empresa de gerar caixa recorrente.
Interpretação: Quanto maior, melhor — é a base do valor da empresa.
Texto para planilha: Caixa líquido gerado pelas operações.</t>
      </text>
    </comment>
    <comment authorId="0" ref="A91">
      <text>
        <t xml:space="preserve">Receita após impostos e devoluções.
Quanto maior/melhor: Maior = melhor.
Receita real que a empresa recebe.</t>
      </text>
    </comment>
    <comment authorId="0" ref="A25">
      <text>
        <t xml:space="preserve">Valor líquido da empresa (ativos - passivos).
Crescimento constante é ótimo, mostra fortalecimento.</t>
      </text>
    </comment>
    <comment authorId="0" ref="M4">
      <text>
        <t xml:space="preserve">Indica a eficiência da empresa em transformar suas vendas em lucro, excluindo os custos variáveis.
Cálculo: lucro bruto / receita líquida</t>
      </text>
    </comment>
    <comment authorId="0" ref="A54">
      <text>
        <t xml:space="preserve">EBIT + resultado financeiro.
Quanto maior/melhor: Maior = melhor.
Lucro antes dos impostos.</t>
      </text>
    </comment>
    <comment authorId="0" ref="A50">
      <text>
        <t xml:space="preserve">Soma de receitas financeiras menos despesas financeiras.
Quanto maior/melhor: Maior = melhor, mas geralmente é negativo.
Mostra o impacto dos juros (dívidas e aplicações).</t>
      </text>
    </comment>
    <comment authorId="0" ref="A17">
      <text>
        <t xml:space="preserve">Financiamentos e debêntures com vencimento acima de 12 meses.
Bom quando predomina, pois dívida longa é mais saudável.</t>
      </text>
    </comment>
    <comment authorId="0" ref="A112">
      <text>
        <t xml:space="preserve">Lucro antes de juros, impostos, depreciação e amortização.
Quanto maior/melhor: Maior = melhor.
Força operacional “pura”.</t>
      </text>
    </comment>
    <comment authorId="0" ref="A46">
      <text>
        <t xml:space="preserve">Ganhos com juros, aplicações, caixa.
Quanto maior/melhor: Maior = melhor.
Indica rendimento financeiro da empresa.</t>
      </text>
    </comment>
    <comment authorId="0" ref="A13">
      <text>
        <t xml:space="preserve">Tudo o que a empresa deve (curto + longo prazo).
Maior = pior. Mas pode fazer sentido se financiar crescimento.</t>
      </text>
    </comment>
    <comment authorId="0" ref="A9">
      <text>
        <t xml:space="preserve">Valor se encontra em DFC Caixa Final</t>
      </text>
    </comment>
    <comment authorId="0" ref="A5">
      <text>
        <t xml:space="preserve">Ativos que viram dinheiro em até 12 meses (caixa, estoques, contas a receber).
Quanto maior melhor? Depende. Um circulante maior aumenta a liquidez, mas pode indicar ineficiência se estiver inchado.</t>
      </text>
    </comment>
    <comment authorId="0" ref="M17">
      <text>
        <t xml:space="preserve">Mede a capacidade de uma empresa de pagar suas dívidas correntes (a vencer em um ano ou menos) usando apenas seus ativos correntes (disponíveis em um ano ou menos). Indica se há recursos suficientes para cobrir obrigações de curto prazo.
Cálculo: ativos correntes / passivos correntes</t>
      </text>
    </comment>
    <comment authorId="0" ref="A34">
      <text>
        <t xml:space="preserve">Receita líquida – CMV.
Quanto maior/melhor: Maior = melhor.
Lucro após pagar o custo direto do serviço.</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3">
      <text>
        <t xml:space="preserve">ROA = Retorno sobre o Ativo
Mede a eficiência com que uma empresa utiliza seus ativos para gerar lucro. Quanto maior este indicador, melhor é a eficiência em gerar lucro a partir dos ativos. Valores acima de 10% geralmente são considerados bons.
Cálculo: lucro líquido / ativo total</t>
      </text>
    </comment>
    <comment authorId="0" ref="A63">
      <text>
        <t xml:space="preserve">Mostra o desempenho da empresa ao longo de um período, detalhando receitas, custos e despesas, resultando no lucrou ou prejuízo. 
Comparativo: 1T2025 x 1T2024</t>
      </text>
    </comment>
    <comment authorId="0" ref="J38">
      <text>
        <t xml:space="preserve">Índice de capital próprio (PL / Ativo)
O que mede:
Percentual do ativo financiado com capital próprio. Indica robustez patrimonial.
Leitura do indicador:
↑ Índice → banco mais capitalizado
↓ Índice → maior alavancagem
Referências (bancos):
≥ 9% → confortável
7% – 9% → normal
&lt; 7% → alerta
Observação:
É o inverso conceitual da alavancagem. Quanto menor, maior o risco estrutural.</t>
      </text>
    </comment>
    <comment authorId="0" ref="A125">
      <text>
        <t xml:space="preserve">O que é na DRE
→ Juros pagos sobre depósitos de clientes (core funding)</t>
      </text>
    </comment>
    <comment authorId="0" ref="A59">
      <text>
        <t xml:space="preserve">Lucros não distribuídos nem reservados.
Se for negativo → problema.
Positivo é saudável.</t>
      </text>
    </comment>
    <comment authorId="0" ref="J34">
      <text>
        <t xml:space="preserve">Dependência de mercado
O que mede:
Percentual do funding obtido via mercado financeiro (instituições financeiras, emissões de dívida, títulos).
Leitura do indicador:
↓ Dependência → estrutura mais resiliente
↑ Dependência → maior sensibilidade a juros e crédito
Referências (bancos):
≤ 20% → excelente
20% – 30% → bom
30% – 40% → atenção
&gt; 40% → alerta
Observação:
Normalmente é o complemento do funding core. Deve ser analisado em conjunto.</t>
      </text>
    </comment>
    <comment authorId="0" ref="M5">
      <text>
        <t xml:space="preserve">Margem operacional – TTM
O que mede:
Capacidade do banco de gerar lucro operacional antes de eventos não recorrentes e impostos. Foca na eficiência do negócio principal.
Leitura do indicador:
↑ Margem → boa gestão de custos e receitas recorrentes
↓ Margem → deterioração operacional
Referências (bancos):
≥ 30% → excelente
25% – 30% → bom
20% – 25% → atenção
&lt; 20% → alerta</t>
      </text>
    </comment>
    <comment authorId="0" ref="A121">
      <text>
        <t xml:space="preserve">Aqui entram receitas acessórias ligadas ao crédito, mas que não são juros puros.
📌 Não confundir com PCLD (isso é despesa).</t>
      </text>
    </comment>
    <comment authorId="0" ref="A55">
      <text>
        <t xml:space="preserve">Aumento significa novas ações.
Bonificação.</t>
      </text>
    </comment>
    <comment authorId="0" ref="A150">
      <text>
        <t xml:space="preserve">📌 Importante:
Isso NÃO é PCLD
Isso afeta resultado operacional, não crédito</t>
      </text>
    </comment>
    <comment authorId="0" ref="A113">
      <text>
        <t xml:space="preserve">#Linha única direto da DRE#</t>
      </text>
    </comment>
    <comment authorId="0" ref="A76">
      <text>
        <t xml:space="preserve">O que é na DRE
→ Juros pagos sobre depósitos de clientes (core funding)</t>
      </text>
    </comment>
    <comment authorId="0" ref="A72">
      <text>
        <t xml:space="preserve">Aqui entram receitas acessórias ligadas ao crédito, mas que não são juros puros.
📌 Não confundir com PCLD (isso é despesa).</t>
      </text>
    </comment>
    <comment authorId="0" ref="J47">
      <text>
        <t xml:space="preserve">Impacto das provisões operacionais – Trimestral
O que mede:
Peso das provisões operacionais sobre o resultado do trimestre. Indica impacto de eventos não recorrentes e riscos legais.
Leitura do indicador:
↓ Impacto → resultado mais limpo
↑ Impacto → pressão pontual no lucro
Referência prática:
≤ 5% da receita → normal
5% – 10% → atenção
&gt; 10% → alerta
Observação:
Não confundir com PCLD (risco de crédito). Aqui o foco é operacional/jurídico.</t>
      </text>
    </comment>
    <comment authorId="0" ref="M18">
      <text>
        <t xml:space="preserve">PCLD / NII – Trimestral
O que mede:
Quanto do resultado da intermediação financeira foi consumido por provisões no trimestre. Mede a capacidade da margem absorver perdas de crédito.
Leitura do indicador:
↓ Relação → margem confortável
↑ Relação → crédito pressionando resultado
Referência prática:
≤ 20% → confortável
20% – 35% → atenção
&gt; 35% → alerta
Observação:
Se esse indicador sobe por vários trimestres, o ROE futuro tende a cair.</t>
      </text>
    </comment>
    <comment authorId="0" ref="A101">
      <text>
        <t xml:space="preserve">Provisões operacionais
Provisões não relacionadas a crédito, destinadas a riscos cíveis, fiscais, trabalhistas e outros passivos operacionais.
Crescente (+): ruim → aumento de contingências, pressão no resultado
Decrescente (–): bom → menor risco operacional ou reversão de provisões
⚠️ Não confundir com PCLD (risco de crédito).</t>
      </text>
    </comment>
    <comment authorId="0" ref="A68">
      <text>
        <t xml:space="preserve">Aplicações compulsórias
Recursos obrigatoriamente depositados no Banco Central (exigência regulatória).
Crescente (+): ruim/neutro → capital travado, baixa rentabilidade
Decrescente (–): bom → menor custo regulatório, mais recursos produtivos
⚠️ Crescimento aqui não indica eficiência.</t>
      </text>
    </comment>
    <comment authorId="0" ref="A2">
      <text>
        <t xml:space="preserve">É um retrato da saúde financeira da empresa em um determinado momento.
Mostra os ativos/passivo e o 
PL.</t>
      </text>
    </comment>
    <comment authorId="0" ref="M14">
      <text>
        <t xml:space="preserve">Cobertura de crédito (BP) – SnapShot
O que mede:
Nível de provisões (PCLD acumulada no BP) em relação à carteira de crédito. Indica o grau de proteção contra inadimplência futura.
Leitura do indicador:
↑ Cobertura → carteira mais protegida
↓ Cobertura → menor colchão contra perdas
Referências (bancos):
≥ 8% → conservador / forte
6% – 8% → adequado
5% – 6% → atenção
&lt; 5% → alerta
Observação:
Cobertura muito alta pode indicar carteira mais arriscada ou antecipação de perdas.</t>
      </text>
    </comment>
    <comment authorId="0" ref="J43">
      <text>
        <t xml:space="preserve">Crescimento do NII – Trimestral
O que mede:
Variação do resultado da intermediação financeira em relação ao trimestre anterior. Indica crescimento do core do banco.
Leitura do indicador:
↑ Crescimento → expansão de margem, crédito ou melhora de funding
↓ / negativo → compressão de spread ou desaceleração
Referência prática:
&gt; 5% → forte crescimento
0% – 5% → crescimento moderado
&lt; 0% → atenção
Observação:
Analisar sempre junto com custo do crédito.</t>
      </text>
    </comment>
    <comment authorId="0" ref="A64">
      <text>
        <t xml:space="preserve">#Linha única direto da DRE#</t>
      </text>
    </comment>
    <comment authorId="0" ref="J39">
      <text>
        <t xml:space="preserve">Esses indicadores não se analisam isoladamente:
Alavancagem alta + Funding core alto → ok
Alavancagem alta + Dependência de mercado alta → risco
Exposição a crédito alta + Cobertura baixa → alerta
Ativos líquidos baixos em cenário de crise → perigo</t>
      </text>
    </comment>
    <comment authorId="0" ref="M6">
      <text>
        <t xml:space="preserve">Índice de eficiência – TTM
O que mede:
Quanto o banco gasta em despesas administrativas para gerar receita operacional. É o principal indicador de eficiência.
Leitura do indicador:
↓ Índice → melhor eficiência
↑ Índice → estrutura de custos pesada
Referências (bancos):
≤ 40% → excelente
40% – 45% → bom
45% – 50% → atenção
&gt; 50% → alerta
Observação crítica:
Índice de eficiência nunca deve ser interpretado isoladamente. Precisa andar junto com crescimento de receitas.</t>
      </text>
    </comment>
    <comment authorId="0" ref="J35">
      <text>
        <t xml:space="preserve">Exposição a crédito
O que mede:
Peso da carteira de crédito em relação ao ativo total. Indica o quanto o banco está exposto ao risco de crédito.
Leitura do indicador:
↑ Exposição → maior potencial de margem e maior risco
↓ Exposição → perfil mais conservador
Referências (bancos):
55% – 65% → equilibrado
&gt; 65% → agressivo
&lt; 50% → conservador
Observação:
Alta exposição só é saudável com bom custo do crédito e cobertura adequada.</t>
      </text>
    </comment>
    <comment authorId="0" ref="A56">
      <text>
        <t xml:space="preserve">Valores de aportes dos acionistas que não vão para lucro.
Normalmente estável.</t>
      </text>
    </comment>
    <comment authorId="0" ref="A85">
      <text>
        <t xml:space="preserve">Resultado da intermediação financeira (NII)
Lucro central do banco: juros recebidos menos juros pagos.
Crescente (+): muito bom → spread saudável, eficiência de funding
Decrescente (–): ruim → compressão de margem ou custo elevado
📌 Principal linha da DRE bancária.</t>
      </text>
    </comment>
    <comment authorId="0" ref="A114">
      <text>
        <t xml:space="preserve">Entram aqui as receitas que vêm de emprestar dinheiro
📌 Driver: crédito + liquidez básica</t>
      </text>
    </comment>
    <comment authorId="0" ref="A110">
      <text>
        <t xml:space="preserve">Pegue No Sumario em Desempenho
pag 3</t>
      </text>
    </comment>
    <comment authorId="0" ref="M19">
      <text>
        <t xml:space="preserve">Alavancagem (Ativo / Patrimônio Líquido)
O que mede:
Quanto o banco utiliza capital de terceiros para operar. Indica grau de risco estrutural.
Leitura do indicador:
↑ Alavancagem → maior risco e maior potencial de ROE
↓ Alavancagem → operação mais conservadora
Referências (bancos):
8x – 12x → normal
12x – 15x → atenção
&gt; 15x → risco elevado
Observação:
Alavancagem elevada só é saudável com baixo custo de crédito e Basileia confortável.</t>
      </text>
    </comment>
    <comment authorId="0" ref="J44">
      <text>
        <t xml:space="preserve">Participação de receitas de serviços – Trimestral
O que mede:
Peso das receitas de serviços sobre a receita total do trimestre. Indica diversificação de receitas.
Leitura do indicador:
↑ Participação → receita mais estável e recorrente
↓ Participação → maior dependência de crédito
Referência prática:
≥ 25% → excelente
20% – 25% → bom
&lt; 20% → atenção
Observação:
Receitas de serviços ajudam a proteger o resultado em ciclos de crédito ruins.</t>
      </text>
    </comment>
    <comment authorId="0" ref="M15">
      <text>
        <t xml:space="preserve">Custo do crédito (PCLD / Carteira de crédito) – TTM
O que mede:
Impacto anual das perdas esperadas sobre a carteira média de crédito. Resume a qualidade estrutural da carteira.
Leitura do indicador:
↓ Custo → crédito saudável
↑ Custo → piora de inadimplência ou ciclo ruim
Referências (bancos):
≤ 3% → excelente
3% – 5% → bom
5% – 7% → atenção
&gt; 7% → alerta
Observação:
Deve ser analisado junto com margem financeira. Custo alto pode anular spreads elevados.</t>
      </text>
    </comment>
    <comment authorId="0" ref="A131">
      <text>
        <t xml:space="preserve">📌 O que é na DRE
→ Letras financeiras, debêntures, bonds, etc.</t>
      </text>
    </comment>
    <comment authorId="0" ref="A65">
      <text>
        <t xml:space="preserve">Entram aqui as receitas que vêm de emprestar dinheiro
📌 Driver: crédito + liquidez básica</t>
      </text>
    </comment>
    <comment authorId="0" ref="M11">
      <text>
        <t xml:space="preserve">Mede a capacidade da empresa em gerar receita com seus ativos e a eficiência de seu modelo de negócio.
Cálculo: receita líquida / total de ativos</t>
      </text>
    </comment>
    <comment authorId="0" ref="A127">
      <text>
        <t xml:space="preserve">Aqui entra funding não core, geralmente mais volátil.
📌 Driver: mercado financeiro</t>
      </text>
    </comment>
    <comment authorId="0" ref="A61">
      <text>
        <t xml:space="preserve">Valor líquido da empresa (ativos - passivos).
Crescimento constante é ótimo, mostra fortalecimento.</t>
      </text>
    </comment>
    <comment authorId="0" ref="J36">
      <text>
        <t xml:space="preserve">Cobertura de crédito (BP) – SnapShot
O que mede:
Nível de provisões (PCLD acumulada no BP) em relação à carteira de crédito. Indica o grau de proteção contra inadimplência futura.
Leitura do indicador:
↑ Cobertura → carteira mais protegida
↓ Cobertura → menor colchão contra perdas
Referências (bancos):
≥ 8% → conservador / forte
6% – 8% → adequado
5% – 6% → atenção
&lt; 5% → alerta
Observação:
Cobertura muito alta pode indicar carteira mais arriscada ou antecipação de perdas.</t>
      </text>
    </comment>
    <comment authorId="0" ref="A123">
      <text>
        <t xml:space="preserve">#Linha única direto da DRE#</t>
      </text>
    </comment>
    <comment authorId="0" ref="A57">
      <text>
        <t xml:space="preserve">Parte dos lucros acumulados que não foi distribuída.
Quanto maior, melhor, indica lucro sustentável.</t>
      </text>
    </comment>
    <comment authorId="0" ref="J32">
      <text>
        <t xml:space="preserve">Alavancagem (Ativo / Patrimônio Líquido)
O que mede:
Quanto o banco utiliza capital de terceiros para operar. Indica grau de risco estrutural.
Leitura do indicador:
↑ Alavancagem → maior risco e maior potencial de ROE
↓ Alavancagem → operação mais conservadora
Referências (bancos):
8x – 12x → normal
12x – 15x → atenção
&gt; 15x → risco elevado
Observação:
Alavancagem elevada só é saudável com baixo custo de crédito e Basileia confortável.</t>
      </text>
    </comment>
    <comment authorId="0" ref="M3">
      <text>
        <t xml:space="preserve">Margem financeira (NII / Ativo médio) – TTM
O que mede:
Capacidade do banco de gerar resultado com intermediação financeira a partir dos seus ativos. É a rentabilidade “core” do banco.
Leitura do indicador:
↑ Margem → melhor precificação de crédito e/ou captação mais barata
↓ Margem → compressão de spread, competição ou piora de funding
Referências (bancos):
≥ 4,0% → excelente
3,0% – 4,0% → bom
2,5% – 3,0% → atenção
&lt; 2,5% → alerta
Observação:
Deve ser analisada junto com custo do crédito. Margem alta com crédito ruim não é sustentável.</t>
      </text>
    </comment>
    <comment authorId="0" ref="A119">
      <text>
        <t xml:space="preserve">Entram aqui as receitas de gestão de tesouraria.
📌 Driver: tesouraria / gestão de caixa</t>
      </text>
    </comment>
    <comment authorId="0" ref="A82">
      <text>
        <t xml:space="preserve">Instrumentos de dívida
Captação via títulos emitidos pelo banco (letras financeiras, bonds, etc.).
Crescente (+): neutro/ruim → alonga prazo, mas aumenta custo
Decrescente (–): bom → menor custo financeiro
⚠️ Crescer pode ser bom se alongar perfil, não se encurtar.</t>
      </text>
    </comment>
    <comment authorId="0" ref="A78">
      <text>
        <t xml:space="preserve">Captação no mercado
Recursos captados fora da base de clientes (interbancário, mercado financeiro).
Crescente (+): ruim → maior dependência de funding volátil
Decrescente (–): bom → estrutura de funding mais estável
⚠️ Alta aqui aumenta risco em ciclos de estresse.</t>
      </text>
    </comment>
    <comment authorId="0" ref="A74">
      <text>
        <t xml:space="preserve">Custo de captação
Custo total para o banco captar recursos (depósitos, mercado, títulos).
Crescente (+): ruim → funding mais caro, pressão no NII
Decrescente (–): bom → melhora de spread e margem
📌 Deve sempre ser analisado junto do NII.</t>
      </text>
    </comment>
    <comment authorId="0" ref="J49">
      <text>
        <t xml:space="preserve">Índice de Basileia
O que mede:
Nível de capital regulatório em relação aos ativos ponderados pelo risco. Indica a solvência do banco.
Leitura do indicador:
↑ Basileia → maior resiliência
↓ Basileia → menor margem de segurança
Referências (bancos):
≥ 14% → confortável
12% – 14% → adequado
10,5% – 12% → atenção
&lt; 10,5% → risco regulatório
Observação:
É indicador regulatório, não vem da DRE/BP diretamente. Use o valor divulgado no release.</t>
      </text>
    </comment>
    <comment authorId="0" ref="M20">
      <text>
        <t xml:space="preserve">Índice de Basileia
O que mede:
Nível de capital regulatório em relação aos ativos ponderados pelo risco. Indica a solvência do banco.
Leitura do indicador:
↑ Basileia → maior resiliência
↓ Basileia → menor margem de segurança
Referências (bancos):
≥ 14% → confortável
12% – 14% → adequado
10,5% – 12% → atenção
&lt; 10,5% → risco regulatório
Observação:
É indicador regulatório, não vem da DRE/BP diretamente. Use o valor divulgado no release.</t>
      </text>
    </comment>
    <comment authorId="0" ref="A70">
      <text>
        <t xml:space="preserve">Entram aqui as receitas de gestão de tesouraria.
📌 Driver: tesouraria / gestão de caixa</t>
      </text>
    </comment>
    <comment authorId="0" ref="J45">
      <text>
        <t xml:space="preserve">Índice de eficiência – Trimestral
O que mede:
Percentual da receita operacional consumido por despesas administrativas no trimestre.
Leitura do indicador:
↓ Índice → melhora de eficiência
↑ Índice → pressão de custos
Referência prática:
≤ 40% → excelente
40% – 45% → bom
&gt; 45% → atenção
Observação:
Oscilações trimestrais são normais; foco em tendência.</t>
      </text>
    </comment>
    <comment authorId="0" ref="J41">
      <text>
        <t xml:space="preserve">Mostra o desempenho da empresa ao longo de um período, detalhando receitas, custos e despesas, resultando no lucrou ou prejuízo. 
Comparativo: 1T2025 x 1T2024</t>
      </text>
    </comment>
    <comment authorId="0" ref="M12">
      <text>
        <t xml:space="preserve">ROIC = Retorno sobre o Capital Investido
Mede o retorno sobre o capital investido em uma empresa. Quanto maior este indicador, melhor é o retorno que os investidores estão recebendo sobre o investimento. Valores acima de 10% geralmente são considerados bons.
Cálculo: EBIT / capital investido</t>
      </text>
    </comment>
    <comment authorId="0" ref="J37">
      <text>
        <t xml:space="preserve">Ativos líquidos
O que mede:
Percentual do ativo total alocado em ativos de alta liquidez (caixa, BC, aplicações interfinanceiras, títulos líquidos).
Leitura do indicador:
↑ Ativos líquidos → maior segurança de liquidez
↓ Ativos líquidos → maior risco em cenário de stress
Referências (bancos):
≥ 25% → confortável
20% – 25% → adequado
15% – 20% → atenção
&lt; 15% → alerta
Observação:
Liquidez excessiva pode pressionar a margem financeira.</t>
      </text>
    </comment>
    <comment authorId="0" ref="A124">
      <text>
        <t xml:space="preserve">Entram aqui os custos de funding core (mais estável).
📌 Driver: clientes</t>
      </text>
    </comment>
    <comment authorId="0" ref="J33">
      <text>
        <t xml:space="preserve">Funding core
O que mede:
Proporção do funding originado de recursos estáveis de clientes (depósitos, poupança, conta corrente) em relação ao total de funding.
Leitura do indicador:
↑ Funding core → funding mais barato e estável
↓ Funding core → maior dependência de mercado
Referências (bancos):
≥ 70% → excelente
60% – 70% → bom
50% – 60% → atenção
&lt; 50% → alerta
Observação:
Funding core alto protege o banco em cenários de estresse de liquidez.</t>
      </text>
    </comment>
    <comment authorId="0" ref="M4">
      <text>
        <t xml:space="preserve">Margem líquida – TTM
O que mede:
Quanto do total de receitas se converte em lucro líquido. Resume eficiência operacional, crédito e estrutura de custos.
Leitura do indicador:
↑ Margem → banco mais rentável e bem gerido
↓ Margem → pressão de custos, crédito ou impostos
Referências (bancos):
≥ 25% → excelente
20% – 25% → bom
15% – 20% → atenção
&lt; 15% → alerta</t>
      </text>
    </comment>
    <comment authorId="0" ref="J29">
      <text>
        <t xml:space="preserve">É um retrato da saúde financeira da empresa em um determinado momento.
Mostra os ativos/passivo e o 
PL.</t>
      </text>
    </comment>
    <comment authorId="0" ref="A83">
      <text>
        <t xml:space="preserve">Emissões de títulos e valores mobiliários
Parte do custo ligada diretamente à emissão de dívida no mercado.
Crescente (+): ruim → custo maior ou mercado exigindo prêmio
Decrescente (–): bom → melhor percepção de risco do banco</t>
      </text>
    </comment>
    <comment authorId="0" ref="A112">
      <text>
        <t xml:space="preserve">Mostra o desempenho da empresa ao longo de um período, detalhando receitas, custos e despesas, resultando no lucrou ou prejuízo. 
Comparativo: 1T2025 x 1T2024</t>
      </text>
    </comment>
    <comment authorId="0" ref="A79">
      <text>
        <t xml:space="preserve">Recursos de instituições financeiras
Empréstimos e captações junto a outros bancos.
Crescente (+): ruim → sinal de dependência de liquidez externa
Decrescente (–): bom → menor risco sistêmico
📌 Muito usado para leitura de dependência de mercado.</t>
      </text>
    </comment>
    <comment authorId="0" ref="A75">
      <text>
        <t xml:space="preserve">Entram aqui os custos de funding core (mais estável).
📌 Driver: clientes</t>
      </text>
    </comment>
    <comment authorId="0" ref="J46">
      <text>
        <t xml:space="preserve">Crescimento das despesas administrativas – Trimestral
O que mede:
Variação das despesas administrativas em relação ao trimestre anterior.
Leitura do indicador:
↓ / negativo → controle de custos
↑ forte → risco de perda de eficiência
Referência prática:
≤ inflação → saudável
Acima da inflação → atenção
&gt; crescimento da receita → alerta</t>
      </text>
    </comment>
    <comment authorId="0" ref="A67">
      <text>
        <t xml:space="preserve">Aplicações interfinanceiras
Aplicações de curto prazo feitas pelo banco em outras instituições financeiras (liquidez e gestão de caixa).
Crescente (+): geralmente bom → maior liquidez ou melhor remuneração do caixa
Decrescente (–): neutro/ruim → pode indicar menor liquidez ou realocação para crédito
⚠️ Não é motor principal de lucro.</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3">
      <text>
        <t xml:space="preserve">ROA = Retorno sobre o Ativo
Mede a eficiência com que uma empresa utiliza seus ativos para gerar lucro. Quanto maior este indicador, melhor é a eficiência em gerar lucro a partir dos ativos. Valores acima de 10% geralmente são considerados bons.
Cálculo: lucro líquido / ativo total</t>
      </text>
    </comment>
    <comment authorId="0" ref="J42">
      <text>
        <t xml:space="preserve">Participação de receitas de serviços – Trimestral
O que mede:
Peso das receitas de serviços sobre a receita total do trimestre. Indica diversificação de receitas.
Leitura do indicador:
↑ Participação → receita mais estável e recorrente
↓ Participação → maior dependência de crédito
Referência prática:
≥ 25% → excelente
20% – 25% → bom
&lt; 20% → atenção
Observação:
Receitas de serviços ajudam a proteger o resultado em ciclos de crédito ruins.</t>
      </text>
    </comment>
    <comment authorId="0" ref="M11">
      <text>
        <t xml:space="preserve">Mede a capacidade da empresa em gerar receita com seus ativos e a eficiência de seu modelo de negócio.
Cálculo: receita líquida / total de ativos</t>
      </text>
    </comment>
    <comment authorId="0" ref="J36">
      <text>
        <t xml:space="preserve">Índice de capital próprio (PL / Ativo)
O que mede:
Percentual do ativo financiado com capital próprio. Indica robustez patrimonial.
Leitura do indicador:
↑ Índice → banco mais capitalizado
↓ Índice → maior alavancagem
Referências (bancos):
≥ 9% → confortável
7% – 9% → normal
&lt; 7% → alerta
Observação:
É o inverso conceitual da alavancagem. Quanto menor, maior o risco estrutural.</t>
      </text>
    </comment>
    <comment authorId="0" ref="M5">
      <text>
        <t xml:space="preserve">Margem operacional – TTM
O que mede:
Capacidade do banco de gerar lucro operacional antes de eventos não recorrentes e impostos. Foca na eficiência do negócio principal.
Leitura do indicador:
↑ Margem → boa gestão de custos e receitas recorrentes
↓ Margem → deterioração operacional
Referências (bancos):
≥ 30% → excelente
25% – 30% → bom
20% – 25% → atenção
&lt; 20% → alerta</t>
      </text>
    </comment>
    <comment authorId="0" ref="J34">
      <text>
        <t xml:space="preserve">Cobertura de crédito (BP) – SnapShot
O que mede:
Nível de provisões (PCLD acumulada no BP) em relação à carteira de crédito. Indica o grau de proteção contra inadimplência futura.
Leitura do indicador:
↑ Cobertura → carteira mais protegida
↓ Cobertura → menor colchão contra perdas
Referências (bancos):
≥ 8% → conservador / forte
6% – 8% → adequado
5% – 6% → atenção
&lt; 5% → alerta
Observação:
Cobertura muito alta pode indicar carteira mais arriscada ou antecipação de perdas.</t>
      </text>
    </comment>
    <comment authorId="0" ref="M3">
      <text>
        <t xml:space="preserve">Margem financeira (NII / Ativo médio) – TTM
O que mede:
Capacidade do banco de gerar resultado com intermediação financeira a partir dos seus ativos. É a rentabilidade “core” do banco.
Leitura do indicador:
↑ Margem → melhor precificação de crédito e/ou captação mais barata
↓ Margem → compressão de spread, competição ou piora de funding
Referências (bancos):
≥ 4,0% → excelente
3,0% – 4,0% → bom
2,5% – 3,0% → atenção
&lt; 2,5% → alerta
Observação:
Deve ser analisada junto com custo do crédito. Margem alta com crédito ruim não é sustentável.</t>
      </text>
    </comment>
    <comment authorId="0" ref="J32">
      <text>
        <t xml:space="preserve">Dependência de mercado
O que mede:
Percentual do funding obtido via mercado financeiro (instituições financeiras, emissões de dívida, títulos).
Leitura do indicador:
↓ Dependência → estrutura mais resiliente
↑ Dependência → maior sensibilidade a juros e crédito
Referências (bancos):
≤ 20% → excelente
20% – 30% → bom
30% – 40% → atenção
&gt; 40% → alerta
Observação:
Normalmente é o complemento do funding core. Deve ser analisado em conjunto.</t>
      </text>
    </comment>
    <comment authorId="0" ref="J30">
      <text>
        <t xml:space="preserve">Alavancagem (Ativo / Patrimônio Líquido)
O que mede:
Quanto o banco utiliza capital de terceiros para operar. Indica grau de risco estrutural.
Leitura do indicador:
↑ Alavancagem → maior risco e maior potencial de ROE
↓ Alavancagem → operação mais conservadora
Referências (bancos):
8x – 12x → normal
12x – 15x → atenção
&gt; 15x → risco elevado
Observação:
Alavancagem elevada só é saudável com baixo custo de crédito e Basileia confortável.</t>
      </text>
    </comment>
    <comment authorId="0" ref="A53">
      <text>
        <t xml:space="preserve">Pag 7</t>
      </text>
    </comment>
    <comment authorId="0" ref="A51">
      <text>
        <t xml:space="preserve">Valor líquido da empresa (ativos - passivos).
Crescimento constante é ótimo, mostra fortalecimento.</t>
      </text>
    </comment>
    <comment authorId="0" ref="A16">
      <text>
        <t xml:space="preserve">Provisão para Perda de Crédito Esperada</t>
      </text>
    </comment>
    <comment authorId="0" ref="A76">
      <text>
        <t xml:space="preserve">Pagina 19
</t>
      </text>
    </comment>
    <comment authorId="0" ref="A43">
      <text>
        <t xml:space="preserve">Provisões para Garantias Financeiras, Compromissos de Crédito e Créditos a Liberar</t>
      </text>
    </comment>
    <comment authorId="0" ref="M20">
      <text>
        <t xml:space="preserve">Índice de Basileia
O que mede:
Nível de capital regulatório em relação aos ativos ponderados pelo risco. Indica a solvência do banco.
Leitura do indicador:
↑ Basileia → maior resiliência
↓ Basileia → menor margem de segurança
Referências (bancos):
≥ 14% → confortável
12% – 14% → adequado
10,5% – 12% → atenção
&lt; 10,5% → risco regulatório
Observação:
É indicador regulatório, não vem da DRE/BP diretamente. Use o valor divulgado no release.</t>
      </text>
    </comment>
    <comment authorId="0" ref="M18">
      <text>
        <t xml:space="preserve">PCLD / NII – Trimestral
O que mede:
Quanto do resultado da intermediação financeira foi consumido por provisões no trimestre. Mede a capacidade da margem absorver perdas de crédito.
Leitura do indicador:
↓ Relação → margem confortável
↑ Relação → crédito pressionando resultado
Referência prática:
≤ 20% → confortável
20% – 35% → atenção
&gt; 35% → alerta
Observação:
Se esse indicador sobe por vários trimestres, o ROE futuro tende a cair.</t>
      </text>
    </comment>
    <comment authorId="0" ref="A2">
      <text>
        <t xml:space="preserve">Pag 20</t>
      </text>
    </comment>
    <comment authorId="0" ref="M14">
      <text>
        <t xml:space="preserve">Cobertura de crédito (BP) – SnapShot
O que mede:
Nível de provisões (PCLD acumulada no BP) em relação à carteira de crédito. Indica o grau de proteção contra inadimplência futura.
Leitura do indicador:
↑ Cobertura → carteira mais protegida
↓ Cobertura → menor colchão contra perdas
Referências (bancos):
≥ 8% → conservador / forte
6% – 8% → adequado
5% – 6% → atenção
&lt; 5% → alerta
Observação:
Cobertura muito alta pode indicar carteira mais arriscada ou antecipação de perdas.</t>
      </text>
    </comment>
    <comment authorId="0" ref="J43">
      <text>
        <t xml:space="preserve">Índice de eficiência – Trimestral
O que mede:
Percentual da receita operacional consumido por despesas administrativas no trimestre.
Leitura do indicador:
↓ Índice → melhora de eficiência
↑ Índice → pressão de custos
Referência prática:
≤ 40% → excelente
40% – 45% → bom
&gt; 45% → atenção
Observação:
Oscilações trimestrais são normais; foco em tendência.</t>
      </text>
    </comment>
    <comment authorId="0" ref="M12">
      <text>
        <t xml:space="preserve">ROIC = Retorno sobre o Capital Investido
Mede o retorno sobre o capital investido em uma empresa. Quanto maior este indicador, melhor é o retorno que os investidores estão recebendo sobre o investimento. Valores acima de 10% geralmente são considerados bons.
Cálculo: EBIT / capital investido</t>
      </text>
    </comment>
    <comment authorId="0" ref="J41">
      <text>
        <t xml:space="preserve">Crescimento do NII – Trimestral
O que mede:
Variação do resultado da intermediação financeira em relação ao trimestre anterior. Indica crescimento do core do banco.
Leitura do indicador:
↑ Crescimento → expansão de margem, crédito ou melhora de funding
↓ / negativo → compressão de spread ou desaceleração
Referência prática:
&gt; 5% → forte crescimento
0% – 5% → crescimento moderado
&lt; 0% → atenção
Observação:
Analisar sempre junto com custo do crédito.</t>
      </text>
    </comment>
    <comment authorId="0" ref="J39">
      <text>
        <t xml:space="preserve">Mostra o desempenho da empresa ao longo de um período, detalhando receitas, custos e despesas, resultando no lucrou ou prejuízo. 
Comparativo: 1T2025 x 1T2024</t>
      </text>
    </comment>
    <comment authorId="0" ref="J37">
      <text>
        <t xml:space="preserve">Esses indicadores não se analisam isoladamente:
Alavancagem alta + Funding core alto → ok
Alavancagem alta + Dependência de mercado alta → risco
Exposição a crédito alta + Cobertura baixa → alerta
Ativos líquidos baixos em cenário de crise → perigo</t>
      </text>
    </comment>
    <comment authorId="0" ref="A60">
      <text>
        <t xml:space="preserve">Custo do crédito (PCLD)</t>
      </text>
    </comment>
    <comment authorId="0" ref="A91">
      <text>
        <t xml:space="preserve">Sumário Executivo DFs pag 5</t>
      </text>
    </comment>
    <comment authorId="0" ref="M6">
      <text>
        <t xml:space="preserve">Índice de eficiência – TTM
O que mede:
Quanto o banco gasta em despesas administrativas para gerar receita operacional. É o principal indicador de eficiência.
Leitura do indicador:
↓ Índice → melhor eficiência
↑ Índice → estrutura de custos pesada
Referências (bancos):
≤ 40% → excelente
40% – 45% → bom
45% – 50% → atenção
&gt; 50% → alerta
Observação crítica:
Índice de eficiência nunca deve ser interpretado isoladamente. Precisa andar junto com crescimento de receitas.</t>
      </text>
    </comment>
    <comment authorId="0" ref="J35">
      <text>
        <t xml:space="preserve">Ativos líquidos
O que mede:
Percentual do ativo total alocado em ativos de alta liquidez (caixa, BC, aplicações interfinanceiras, títulos líquidos).
Leitura do indicador:
↑ Ativos líquidos → maior segurança de liquidez
↓ Ativos líquidos → maior risco em cenário de stress
Referências (bancos):
≥ 25% → confortável
20% – 25% → adequado
15% – 20% → atenção
&lt; 15% → alerta
Observação:
Liquidez excessiva pode pressionar a margem financeira.</t>
      </text>
    </comment>
    <comment authorId="0" ref="A58">
      <text>
        <t xml:space="preserve">Resultado da intermediação financeira (NII)
Lucro central do banco: juros recebidos menos juros pagos.
Crescente (+): muito bom → spread saudável, eficiência de funding
Decrescente (–): ruim → compressão de margem ou custo elevado
📌 Principal linha da DRE bancária.</t>
      </text>
    </comment>
    <comment authorId="0" ref="M4">
      <text>
        <t xml:space="preserve">Margem líquida – TTM
O que mede:
Quanto do total de receitas se converte em lucro líquido. Resume eficiência operacional, crédito e estrutura de custos.
Leitura do indicador:
↑ Margem → banco mais rentável e bem gerido
↓ Margem → pressão de custos, crédito ou impostos
Referências (bancos):
≥ 25% → excelente
20% – 25% → bom
15% – 20% → atenção
&lt; 15% → alerta</t>
      </text>
    </comment>
    <comment authorId="0" ref="J33">
      <text>
        <t xml:space="preserve">Exposição a crédito
O que mede:
Peso da carteira de crédito em relação ao ativo total. Indica o quanto o banco está exposto ao risco de crédito.
Leitura do indicador:
↑ Exposição → maior potencial de margem e maior risco
↓ Exposição → perfil mais conservador
Referências (bancos):
55% – 65% → equilibrado
&gt; 65% → agressivo
&lt; 50% → conservador
Observação:
Alta exposição só é saudável com bom custo do crédito e cobertura adequada.</t>
      </text>
    </comment>
    <comment authorId="0" ref="J31">
      <text>
        <t xml:space="preserve">Funding core
O que mede:
Proporção do funding originado de recursos estáveis de clientes (depósitos, poupança, conta corrente) em relação ao total de funding.
Leitura do indicador:
↑ Funding core → funding mais barato e estável
↓ Funding core → maior dependência de mercado
Referências (bancos):
≥ 70% → excelente
60% – 70% → bom
50% – 60% → atenção
&lt; 50% → alerta
Observação:
Funding core alto protege o banco em cenários de estresse de liquidez.</t>
      </text>
    </comment>
    <comment authorId="0" ref="J27">
      <text>
        <t xml:space="preserve">É um retrato da saúde financeira da empresa em um determinado momento.
Mostra os ativos/passivo e o 
PL.</t>
      </text>
    </comment>
    <comment authorId="0" ref="A15">
      <text>
        <t xml:space="preserve">Operações de Crédito, Arrendamentos e Outros Créditos</t>
      </text>
    </comment>
    <comment authorId="0" ref="A46">
      <text>
        <t xml:space="preserve">Obrigações Fiscais Correntes e Diferidas</t>
      </text>
    </comment>
    <comment authorId="0" ref="A44">
      <text>
        <t xml:space="preserve">Provisões Técnicas de Seguros, Previdência e Capitalização</t>
      </text>
    </comment>
    <comment authorId="0" ref="M19">
      <text>
        <t xml:space="preserve">Alavancagem (Ativo / Patrimônio Líquido)
O que mede:
Quanto o banco utiliza capital de terceiros para operar. Indica grau de risco estrutural.
Leitura do indicador:
↑ Alavancagem → maior risco e maior potencial de ROE
↓ Alavancagem → operação mais conservadora
Referências (bancos):
8x – 12x → normal
12x – 15x → atenção
&gt; 15x → risco elevado
Observação:
Alavancagem elevada só é saudável com baixo custo de crédito e Basileia confortável.</t>
      </text>
    </comment>
    <comment authorId="0" ref="J46">
      <text>
        <t xml:space="preserve">Índice de Basileia
O que mede:
Nível de capital regulatório em relação aos ativos ponderados pelo risco. Indica a solvência do banco.
Leitura do indicador:
↑ Basileia → maior resiliência
↓ Basileia → menor margem de segurança
Referências (bancos):
≥ 14% → confortável
12% – 14% → adequado
10,5% – 12% → atenção
&lt; 10,5% → risco regulatório
Observação:
É indicador regulatório, não vem da DRE/BP diretamente. Use o valor divulgado no release.</t>
      </text>
    </comment>
    <comment authorId="0" ref="M15">
      <text>
        <t xml:space="preserve">Custo do crédito (PCLD / Carteira de crédito) – TTM
O que mede:
Impacto anual das perdas esperadas sobre a carteira média de crédito. Resume a qualidade estrutural da carteira.
Leitura do indicador:
↓ Custo → crédito saudável
↑ Custo → piora de inadimplência ou ciclo ruim
Referências (bancos):
≤ 3% → excelente
3% – 5% → bom
5% – 7% → atenção
&gt; 7% → alerta
Observação:
Deve ser analisado junto com margem financeira. Custo alto pode anular spreads elevados.</t>
      </text>
    </comment>
    <comment authorId="0" ref="J44">
      <text>
        <t xml:space="preserve">Crescimento das despesas administrativas – Trimestral
O que mede:
Variação das despesas administrativas em relação ao trimestre anterior.
Leitura do indicador:
↓ / negativo → controle de custos
↑ forte → risco de perda de eficiência
Referência prática:
≤ inflação → saudável
Acima da inflação → atenção
&gt; crescimento da receita → alerta</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3">
      <text>
        <t xml:space="preserve">ROIC = Retorno sobre o Capital Investido
Mede o retorno sobre o capital investido em uma empresa. Quanto maior este indicador, melhor é o retorno que os investidores estão recebendo sobre o investimento. Valores acima de 10% geralmente são considerados bons.
Cálculo: EBIT / capital investido</t>
      </text>
    </comment>
    <comment authorId="0" ref="J42">
      <text>
        <t xml:space="preserve">Mostra o desempenho da empresa ao longo de um período, detalhando receitas, custos e despesas, resultando no lucrou ou prejuízo. 
Comparativo: 1T2025 x 1T2024</t>
      </text>
    </comment>
    <comment authorId="0" ref="M7">
      <text>
        <t xml:space="preserve">Índice de eficiência – TTM
O que mede:
Quanto o banco gasta em despesas administrativas para gerar receita operacional. É o principal indicador de eficiência.
Leitura do indicador:
↓ Índice → melhor eficiência
↑ Índice → estrutura de custos pesada
Referências (bancos):
≤ 40% → excelente
40% – 45% → bom
45% – 50% → atenção
&gt; 50% → alerta
Observação crítica:
Índice de eficiência nunca deve ser interpretado isoladamente. Precisa andar junto com crescimento de receitas.</t>
      </text>
    </comment>
    <comment authorId="0" ref="M5">
      <text>
        <t xml:space="preserve">Margem líquida – TTM
O que mede:
Quanto do total de receitas se converte em lucro líquido. Resume eficiência operacional, crédito e estrutura de custos.
Leitura do indicador:
↑ Margem → banco mais rentável e bem gerido
↓ Margem → pressão de custos, crédito ou impostos
Referências (bancos):
≥ 25% → excelente
20% – 25% → bom
15% – 20% → atenção
&lt; 15% → alerta</t>
      </text>
    </comment>
    <comment authorId="0" ref="J32">
      <text>
        <t xml:space="preserve">Receita Comissões / Rec.Op.Total</t>
      </text>
    </comment>
    <comment authorId="0" ref="A55">
      <text>
        <t xml:space="preserve">Lucros não distribuídos nem reservados.
Se for negativo → problema.
Positivo é saudável.</t>
      </text>
    </comment>
    <comment authorId="0" ref="A53">
      <text>
        <t xml:space="preserve">Parte dos lucros acumulados que não foi distribuída.
Quanto maior, melhor, indica lucro sustentável.</t>
      </text>
    </comment>
    <comment authorId="0" ref="A51">
      <text>
        <t xml:space="preserve">Aumento significa novas ações.
Bonificação.</t>
      </text>
    </comment>
    <comment authorId="0" ref="A82">
      <text>
        <t xml:space="preserve">Custo do crédito (PCLD)</t>
      </text>
    </comment>
    <comment authorId="0" ref="J47">
      <text>
        <t xml:space="preserve">Crescimento das despesas administrativas – Trimestral
O que mede:
Variação das despesas administrativas em relação ao trimestre anterior.
Leitura do indicador:
↓ / negativo → controle de custos
↑ forte → risco de perda de eficiência
Referência prática:
≤ inflação → saudável
Acima da inflação → atenção
&gt; crescimento da receita → alerta</t>
      </text>
    </comment>
    <comment authorId="0" ref="J45">
      <text>
        <t xml:space="preserve">Participação de receitas de serviços – Trimestral
O que mede:
Peso das receitas de serviços sobre a receita total do trimestre. Indica diversificação de receitas.
Leitura do indicador:
↑ Participação → receita mais estável e recorrente
↓ Participação → maior dependência de crédito
Referência prática:
≥ 25% → excelente
20% – 25% → bom
&lt; 20% → atenção
Observação:
Receitas de serviços ajudam a proteger o resultado em ciclos de crédito ruins.</t>
      </text>
    </comment>
    <comment authorId="0" ref="A2">
      <text>
        <t xml:space="preserve">É um retrato da saúde financeira da empresa em um determinado momento.
Mostra os ativos/passivo e o 
PL.</t>
      </text>
    </comment>
    <comment authorId="0" ref="M14">
      <text>
        <t xml:space="preserve">ROA = Retorno sobre o Ativo
Mede a eficiência com que uma empresa utiliza seus ativos para gerar lucro. Quanto maior este indicador, melhor é a eficiência em gerar lucro a partir dos ativos. Valores acima de 10% geralmente são considerados bons.
Cálculo: lucro líquido / ativo total</t>
      </text>
    </comment>
    <comment authorId="0" ref="J10">
      <text>
        <t xml:space="preserve">participações em Brasilseg, BB Prev, BB Cap</t>
      </text>
    </comment>
    <comment authorId="0" ref="M12">
      <text>
        <t xml:space="preserve">Mede a capacidade da empresa em gerar receita com seus ativos e a eficiência de seu modelo de negócio.
Cálculo: receita líquida / total de ativos</t>
      </text>
    </comment>
    <comment authorId="0" ref="J8">
      <text>
        <t xml:space="preserve">provisões das seguradoras investidas</t>
      </text>
    </comment>
    <comment authorId="0" ref="A60">
      <text>
        <t xml:space="preserve">Mostra o desempenho da empresa ao longo de um período, detalhando receitas, custos e despesas, resultando no lucrou ou prejuízo. 
Comparativo: 1T2025 x 1T2024</t>
      </text>
    </comment>
    <comment authorId="0" ref="M6">
      <text>
        <t xml:space="preserve">Margem operacional – TTM
O que mede:
Capacidade do banco de gerar lucro operacional antes de eventos não recorrentes e impostos. Foca na eficiência do negócio principal.
Leitura do indicador:
↑ Margem → boa gestão de custos e receitas recorrentes
↓ Margem → deterioração operacional
Referências (bancos):
≥ 30% → excelente
25% – 30% → bom
20% – 25% → atenção
&lt; 20% → alerta</t>
      </text>
    </comment>
    <comment authorId="0" ref="A58">
      <text>
        <t xml:space="preserve">Valor líquido da empresa (ativos - passivos).
Crescimento constante é ótimo, mostra fortalecimento.</t>
      </text>
    </comment>
    <comment authorId="0" ref="J33">
      <text>
        <t xml:space="preserve">É um retrato da saúde financeira da empresa em um determinado momento.
Mostra os ativos/passivo e o 
PL.</t>
      </text>
    </comment>
    <comment authorId="0" ref="J31">
      <text>
        <t xml:space="preserve">Res.Participações / Rec.Op.Total</t>
      </text>
    </comment>
    <comment authorId="0" ref="A52">
      <text>
        <t xml:space="preserve">Valores de aportes dos acionistas que não vão para lucro.
Normalmente estável.</t>
      </text>
    </comment>
    <comment authorId="0" ref="J21">
      <text>
        <t xml:space="preserve">fee de distribuição pelo canal BB</t>
      </text>
    </comment>
    <comment authorId="0" ref="A108">
      <text>
        <t xml:space="preserve">Custo do crédito (PCLD)</t>
      </text>
    </comment>
    <comment authorId="0" ref="M19">
      <text>
        <t xml:space="preserve">Alavancagem (Ativo / Patrimônio Líquido)
O que mede:
Quanto o banco utiliza capital de terceiros para operar. Indica grau de risco estrutural.
Leitura do indicador:
↑ Alavancagem → maior risco e maior potencial de ROE
↓ Alavancagem → operação mais conservadora
Referências (bancos):
8x – 12x → normal
12x – 15x → atenção
&gt; 15x → risco elevado
Observação:
Alavancagem elevada só é saudável com baixo custo de crédito e Basileia confortável.</t>
      </text>
    </comment>
    <comment authorId="0" ref="J15">
      <text>
        <t xml:space="preserve">fee de distribuição pelo canal BB</t>
      </text>
    </comment>
    <comment authorId="0" ref="J46">
      <text>
        <t xml:space="preserve">Índice de eficiência – Trimestral
O que mede:
Percentual da receita operacional consumido por despesas administrativas no trimestre.
Leitura do indicador:
↓ Índice → melhora de eficiência
↑ Índice → pressão de custos
Referência prática:
≤ 40% → excelente
40% – 45% → bom
&gt; 45% → atenção
Observação:
Oscilações trimestrais são normais; foco em tendência.</t>
      </text>
    </comment>
    <comment authorId="0" ref="J13">
      <text>
        <t xml:space="preserve">dividendos recebidos das investidas</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0">
      <text>
        <t xml:space="preserve">participações em Brasilseg, BB Prev, BB Cap</t>
      </text>
    </comment>
    <comment authorId="0" ref="M13">
      <text>
        <t xml:space="preserve">ROA (TTM)
O que mede:
Eficiência do banco em gerar lucro a partir do total de ativos. Reflete qualidade operacional, independentemente da alavancagem.
Leitura do indicador:
↑ ROA → banco mais eficiente
↓ ROA → ativos pouco rentáveis ou pressão de custos/crédito
Referências (bancos):
≥ 1,3% → excelente
1,0% – 1,3% → bom
0,7% – 1,0% → atenção
&lt; 0,7% → alerta
Observação importante:
ROA é o indicador mais limpo de qualidade operacional em bancos. ROE pode ser inflado por alavancagem; ROA não.</t>
      </text>
    </comment>
    <comment authorId="0" ref="M12">
      <text>
        <t xml:space="preserve">DuPont (ROE Decomposto)
Método que decompõe o ROE em margem, giro do ativo e alavancagem, explicando a origem da rentabilidade.
Não há “melhor ou pior” isolado: o ideal é ROE alto sustentado por margem e eficiência, não apenas por alavancagem.</t>
      </text>
    </comment>
    <comment authorId="0" ref="J8">
      <text>
        <t xml:space="preserve">provisões das seguradoras investidas</t>
      </text>
    </comment>
    <comment authorId="0" ref="M11">
      <text>
        <t xml:space="preserve">Mede a capacidade da empresa em gerar receita com seus ativos e a eficiência de seu modelo de negócio.
Cálculo: receita líquida / total de ativos</t>
      </text>
    </comment>
    <comment authorId="0" ref="J39">
      <text>
        <t xml:space="preserve">Acima de 100% → caixa + ativos financeiros cobrem dívida.</t>
      </text>
    </comment>
    <comment authorId="0" ref="A62">
      <text>
        <t xml:space="preserve">Lucros não distribuídos nem reservados.
Se for negativo → problema.
Positivo é saudável.</t>
      </text>
    </comment>
    <comment authorId="0" ref="A61">
      <text>
        <t xml:space="preserve">Parte dos lucros acumulados que não foi distribuída.
Quanto maior, melhor, indica lucro sustentável.</t>
      </text>
    </comment>
    <comment authorId="0" ref="A60">
      <text>
        <t xml:space="preserve">Valores de aportes dos acionistas que não vão para lucro.
Normalmente estável.</t>
      </text>
    </comment>
    <comment authorId="0" ref="M7">
      <text>
        <t xml:space="preserve">LPA = Lucro por Ação
Indicador que mostra se a empresa é lucrativa. Quando o número é negativo, indica que a empresa está operando com geração de prejuízo ao invés de lucro.
Cálculo: lucro líquido / número de ações em circulação</t>
      </text>
    </comment>
    <comment authorId="0" ref="A59">
      <text>
        <t xml:space="preserve">Aumento significa novas ações.
Bonificação.</t>
      </text>
    </comment>
    <comment authorId="0" ref="M6">
      <text>
        <t xml:space="preserve">Índice de eficiência – TTM
O que mede:
Quanto o banco gasta em despesas administrativas para gerar receita operacional. É o principal indicador de eficiência.
Leitura do indicador:
↓ Índice → melhor eficiência
↑ Índice → estrutura de custos pesada
Referências (bancos):
≤ 40% → excelente
40% – 45% → bom
45% – 50% → atenção
&gt; 50% → alerta
Observação crítica:
Índice de eficiência nunca deve ser interpretado isoladamente. Precisa andar junto com crescimento de receitas.</t>
      </text>
    </comment>
    <comment authorId="0" ref="M5">
      <text>
        <t xml:space="preserve">Margem operacional – TTM
O que mede:
Capacidade do banco de gerar lucro operacional antes de eventos não recorrentes e impostos. Foca na eficiência do negócio principal.
Leitura do indicador:
↑ Margem → boa gestão de custos e receitas recorrentes
↓ Margem → deterioração operacional
Referências (bancos):
≥ 30% → excelente
25% – 30% → bom
20% – 25% → atenção
&lt; 20% → alerta</t>
      </text>
    </comment>
    <comment authorId="0" ref="M4">
      <text>
        <t xml:space="preserve">Margem líquida – TTM
O que mede:
Quanto do total de receitas se converte em lucro líquido. Resume eficiência operacional, crédito e estrutura de custos.
Leitura do indicador:
↑ Margem → banco mais rentável e bem gerido
↓ Margem → pressão de custos, crédito ou impostos
Referências (bancos):
≥ 25% → excelente
20% – 25% → bom
15% – 20% → atenção
&lt; 15% → alerta</t>
      </text>
    </comment>
    <comment authorId="0" ref="M18">
      <text>
        <t xml:space="preserve">Filtre: DEMONSTRAÇÃO DAS MUTAÇÕES DO PATRIMÔNIO</t>
      </text>
    </comment>
    <comment authorId="0" ref="A2">
      <text>
        <t xml:space="preserve">Pag: 17</t>
      </text>
    </comment>
    <comment authorId="0" ref="M14">
      <text>
        <t xml:space="preserve">Alavancagem (Ativo / Patrimônio Líquido)
O que mede:
Quanto o banco utiliza capital de terceiros para operar. Indica grau de risco estrutural.
Leitura do indicador:
↑ Alavancagem → maior risco e maior potencial de ROE
↓ Alavancagem → operação mais conservadora
Referências (bancos):
8x – 12x → normal
12x – 15x → atenção
&gt; 15x → risco elevado
Observação:
Alavancagem elevada só é saudável com baixo custo de crédito e Basileia confortável.</t>
      </text>
    </comment>
    <comment authorId="0" ref="A66">
      <text>
        <t xml:space="preserve">pag 4</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29">
      <text>
        <t xml:space="preserve">O que é: Resultado líquido das operações de financiamento da empresa.
Fórmula:
Captações – Amortizações – Dividendos/JCP – Arrendamentos
O que mede: Quanto de caixa entrou ou saiu por causa do financiamento.
Interpretação:
Positivo = empresa captou mais do que pagou
Negativo = empresa pagou dívidas/dividendos mais do que captou
Texto para planilha: Caixa líquido gerado ou consumido pelas atividades de financiamento.</t>
      </text>
    </comment>
    <comment authorId="0" ref="M9">
      <text>
        <t xml:space="preserve">Margem líquida – TTM
O que mede:
Quanto do total de receitas se converte em lucro líquido. Resume eficiência operacional, crédito e estrutura de custos.
Leitura do indicador:
↑ Margem → banco mais rentável e bem gerido
↓ Margem → pressão de custos, crédito ou impostos
Referências (bancos):
≥ 25% → excelente
20% – 25% → bom
15% – 20% → atenção
&lt; 15% → alerta</t>
      </text>
    </comment>
    <comment authorId="0" ref="J38">
      <text>
        <t xml:space="preserve">Receita Serviços / Receita Op Total</t>
      </text>
    </comment>
    <comment authorId="0" ref="J67">
      <text>
        <t xml:space="preserve">O que é: Caixa que sobra depois das operações e dos investimentos necessários (CAPEX).
Fórmula: FCO – CAPEX
O que mede: Quanto a empresa realmente gerou de caixa “livre” após manter o negócio funcionando.
Interpretação:
Positivo = empresa gera caixa real
Negativo = empresa precisa se financiar para continuar operando
Texto para planilha: Caixa gerado após operações e investimentos, disponível para acionistas ou redução de dívida.</t>
      </text>
    </comment>
    <comment authorId="0" ref="A121">
      <text>
        <t xml:space="preserve">O que é: Todo caixa gasto ou recebido em investimentos (inclui CAPEX + aplicações financeiras + resgates).
O que mede: A movimentação total de caixa nas atividades de investimento.
Interpretação:
Normalmente negativo = empresa investiu
Positivo = vendeu ativos ou resgatou aplicações
Texto para planilha: Caixa líquido consumido ou gerado por investimentos.</t>
      </text>
    </comment>
    <comment authorId="0" ref="A55">
      <text>
        <t xml:space="preserve">Parte dos lucros acumulados que não foi distribuída.
Quanto maior, melhor, indica lucro sustentável.</t>
      </text>
    </comment>
    <comment authorId="0" ref="A84">
      <text>
        <t xml:space="preserve">Mostra o desempenho da empresa ao longo de um período, detalhando receitas, custos e despesas, resultando no lucrou ou prejuízo. 
Comparativo: 1T2025 x 1T2024</t>
      </text>
    </comment>
    <comment authorId="0" ref="A113">
      <text>
        <t xml:space="preserve">O que é: Caixa gerado pelas operações antes de considerar juros e impostos pagos.
O que mede: A força do negócio sem efeitos financeiros e tributários.
Interpretação: Quanto maior, melhor — indica forte geração de caixa operacional.
Texto para planilha: Caixa operacional puro, antes de juros e impostos.</t>
      </text>
    </comment>
    <comment authorId="0" ref="J51">
      <text>
        <t xml:space="preserve">Liquidez vs Passivos Financeiros
O que mede:
Capacidade dos ativos líquidos de cobrir os passivos financeiros, avaliando risco de refinanciamento e pressão de liquidez.
Fórmula (BR Partners):
Ativos líquidos / Passivos financeiros
Ativos líquidos =
Caixa e equivalentes + Títulos públicos + Fundos líquidos
Passivos financeiros =
Captação / Passivos financeiros
(Operações compromissadas + Recursos de clientes + Emissão de títulos + Outros passivos financeiros)
Leitura do indicador:
≥ 1,0 → ativos líquidos cobrem integralmente os passivos financeiros (excelente)
0,7 – 1,0 → cobertura confortável (bom)
0,5 – 0,7 → atenção
&lt; 0,5 → alerta
Observação:
Esse indicador é especialmente relevante para BR Partners, pois mede resiliência em cenários de fechamento de mercado ou estresse de funding.</t>
      </text>
    </comment>
    <comment authorId="0" ref="M18">
      <text>
        <t xml:space="preserve">ROA (TTM)
O que mede:
Eficiência do banco em gerar lucro a partir do total de ativos. Reflete qualidade operacional, independentemente da alavancagem.
Leitura do indicador:
↑ ROA → banco mais eficiente
↓ ROA → ativos pouco rentáveis ou pressão de custos/crédito
Referências (bancos):
≥ 1,3% → excelente
1,0% – 1,3% → bom
0,7% – 1,0% → atenção
&lt; 0,7% → alerta
Observação importante:
ROA é o indicador mais limpo de qualidade operacional em bancos. ROE pode ser inflado por alavancagem; ROA não.</t>
      </text>
    </comment>
    <comment authorId="0" ref="J47">
      <text>
        <t xml:space="preserve">Ativos líquidos
O que mede:
Capacidade de geração imediata de caixa para honrar obrigações financeiras sem necessidade de liquidação forçada de ativos.
Fórmula (BR Partners):
(Caixa e equivalentes + Títulos públicos + Fundos líquidos) / Ativo Total
Leitura do indicador:
↑ Ativos líquidos → maior flexibilidade financeira e proteção contra estresse
↓ Ativos líquidos → menor margem de segurança de liquidez
Referências (BR Partners):
≥ 60% → excelente
45% – 60% → bom
&lt; 45% → atenção
Observação:
Como o BR Partners não é um banco de crédito massivo, manter uma parcela relevante do ativo em liquidez é essencial para atravessar ciclos de mercado adversos.</t>
      </text>
    </comment>
    <comment authorId="0" ref="A134">
      <text>
        <t xml:space="preserve">Valor que se encontra no BP em Caixa</t>
      </text>
    </comment>
    <comment authorId="0" ref="J14">
      <text>
        <t xml:space="preserve">títulos públicos+privados+fundos+deriv</t>
      </text>
    </comment>
    <comment authorId="0" ref="A2">
      <text>
        <t xml:space="preserve">pag 8</t>
      </text>
    </comment>
    <comment authorId="0" ref="M10">
      <text>
        <t xml:space="preserve">Margem operacional – TTM
O que mede:
Capacidade do banco de gerar lucro operacional antes de eventos não recorrentes e impostos. Foca na eficiência do negócio principal.
Leitura do indicador:
↑ Margem → boa gestão de custos e receitas recorrentes
↓ Margem → deterioração operacional
Referências (bancos):
≥ 30% → excelente
25% – 30% → bom
20% – 25% → atenção
&lt; 20% → alerta</t>
      </text>
    </comment>
    <comment authorId="0" ref="A126">
      <text>
        <t xml:space="preserve">O que é: Pagamentos de contratos de leasing (IFRS 16).
O que mede: Saída de caixa para uso de ativos arrendados (máquinas, imóveis, veículos).
Interpretação: Valor normal depende do setor.
Texto para planilha: Pagamentos relacionados a contratos de arrendamento (leasing).</t>
      </text>
    </comment>
    <comment authorId="0" ref="A60">
      <text>
        <t xml:space="preserve">Mostra o desempenho da empresa ao longo de um período, detalhando receitas, custos e despesas, resultando no lucrou ou prejuízo. 
Comparativo: 1T2025 x 1T2024</t>
      </text>
    </comment>
    <comment authorId="0" ref="A114">
      <text>
        <t xml:space="preserve">O que é: Valor de imposto de renda e contribuição social pagos em caixa.
O que mede: Tributos efetivamente desembolsados.
Interpretação: Quanto menor, melhor — mas valores altos podem indicar alta lucratividade.
Texto para planilha: Impostos pagos em caixa sobre o lucro.</t>
      </text>
    </comment>
    <comment authorId="0" ref="J56">
      <text>
        <t xml:space="preserve">Índice de Eficiência – Trimestral (DRE)
O que mede:
Percentual da receita operacional total consumido pelas despesas operacionais.
Indice de Eficiencia=Despesas Operacionais/Receita Operacional Total
Leitura do indicador:
↓ Menor índice → estrutura mais eficiente
↑ Maior índice → maior consumo de receita por custos
Como interpretar corretamente (Investment Bank):
Estrutura de IB é intensiva em capital humano.
Grande parte das despesas é relativamente fixa no curto prazo.
Crescimento de receita tende a reduzir o índice rapidamente (alavancagem operacional).
Oscilações podem ocorrer por:
Bônus variáveis
Contratações estratégicas
Trimestres fracos de receita
Referência prática (trimestre isolado – IB):
≤ 55% → excelente
55% – 65% → muito bom
65% – 75% → adequado
75% → estrutura pesada
📌 Deve ser analisado junto à margem operacional (são matematicamente relacionados).</t>
      </text>
    </comment>
    <comment authorId="0" ref="A110">
      <text>
        <t xml:space="preserve">O que é: Resultado final após todas as receitas, despesas, impostos e efeitos financeiros.
O que mede: A lucratividade final do período.
Interpretação: Quanto maior, melhor — desde que sustentável e recorrente.
Lucro final da empresa após todos os custos.</t>
      </text>
    </comment>
    <comment authorId="0" ref="J52">
      <text>
        <t xml:space="preserve">Esses indicadores não se analisam isoladamente:
Alavancagem alta + Funding core alto → ok
Alavancagem alta + Dependência de mercado alta → risco
Ativos líquidos baixos em cenário de crise → perigo</t>
      </text>
    </comment>
    <comment authorId="0" ref="M19">
      <text>
        <t xml:space="preserve">Alavancagem (Ativo / Patrimônio Líquido)
O que mede:
Quanto o banco utiliza capital de terceiros para operar. Indica grau de risco estrutural.
Leitura do indicador:
↑ Alavancagem → maior risco e maior potencial de ROE
↓ Alavancagem → operação mais conservadora
Referências (bancos):
8x – 12x → normal
12x – 15x → atenção
&gt; 15x → risco elevado
Observação:
Alavancagem elevada só é saudável com baixo custo de crédito e Basileia confortável.</t>
      </text>
    </comment>
    <comment authorId="0" ref="J48">
      <text>
        <t xml:space="preserve">Índice de capital próprio
O que mede:
Participação do patrimônio líquido no financiamento do ativo total, indicando o nível de capitalização da instituição.
Fórmula (BR Partners):
Patrimônio Líquido / Ativo Total
Leitura do indicador:
↑ Índice de capital próprio → estrutura mais sólida e menos alavancada
↓ Índice de capital próprio → maior dependência de capital de terceiros
Referências (BR Partners):
4% – 6% → normal
8% → conservador demais
&lt; 4% → atenção
⚠️ Leitura:
Capital justo, exige disciplina de risco, mas é padrão do modelo.
Observação:
Em bancos de investimento, capital próprio elevado é um diferencial estratégico, pois sustenta crescimento orgânico, absorção de volatilidade e credibilidade institucional.</t>
      </text>
    </comment>
    <comment authorId="0" ref="J44">
      <text>
        <t xml:space="preserve">Alavancagem
O que mede:
Relação entre o total de ativos e o patrimônio líquido, indicando o grau de utilização de capital próprio para sustentar a estrutura do balanço.
Fórmula (BR Partners):
Ativo Total / Patrimônio Líquido
Leitura do indicador:
↑ Alavancagem → maior retorno potencial sobre o capital, porém maior risco financeiro
↓ Alavancagem → estrutura mais conservadora e menor risco de solvência
Referências (BR Partners / bancos de investimento):
15x – 25x → normal / estrutural
30x → atenção
&lt; 10x → subutilização do balanço
Observação:
Para bancos de investimento, alavancagem tende a ser menor que em bancos de varejo, pois o modelo depende mais de capital próprio, advisory, gestão de recursos e menos de crédito alavancado.</t>
      </text>
    </comment>
    <comment authorId="0" ref="J11">
      <text>
        <t xml:space="preserve">compromissadas + emissões</t>
      </text>
    </comment>
    <comment authorId="0" ref="M11">
      <text>
        <t xml:space="preserve">Índice de eficiência – TTM
O que mede:
Quanto o banco gasta em despesas administrativas para gerar receita operacional. É o principal indicador de eficiência.
Leitura do indicador:
↓ Índice → melhor eficiência
↑ Índice → estrutura de custos pesada
Referências (bancos):
≤ 40% → excelente
40% – 45% → bom
45% – 50% → atenção
&gt; 50% → alerta
Observação crítica:
Índice de eficiência nunca deve ser interpretado isoladamente. Precisa andar junto com crescimento de receitas.</t>
      </text>
    </comment>
    <comment authorId="0" ref="A57">
      <text>
        <t xml:space="preserve">Lucros não distribuídos nem reservados.
Se for negativo → problema.
Positivo é saudável.</t>
      </text>
    </comment>
    <comment authorId="0" ref="J65">
      <text>
        <t xml:space="preserve">Índice de Basileia
O que mede:
Nível de capital regulatório em relação aos ativos ponderados pelo risco. Indica a solvência do banco.
Leitura do indicador:
↑ Basileia → maior resiliência
↓ Basileia → menor margem de segurança
Referências (bancos):
≥ 14% → confortável
12% – 14% → adequado
10,5% – 12% → atenção
&lt; 10,5% → risco regulatório
Observação:
É indicador regulatório, não vem da DRE/BP diretamente. Use o valor divulgado no release.</t>
      </text>
    </comment>
    <comment authorId="0" ref="A53">
      <text>
        <t xml:space="preserve">Aumento significa novas ações.
Bonificação.</t>
      </text>
    </comment>
    <comment authorId="0" ref="A115">
      <text>
        <t xml:space="preserve">O que é: Quanto o negócio gerou de caixa após operações, juros e impostos.
O que mede: Capacidade real da empresa de gerar caixa recorrente.
Interpretação: Quanto maior, melhor — é a base do valor da empresa.
Texto para planilha: Caixa líquido gerado pelas operações.</t>
      </text>
    </comment>
    <comment authorId="0" ref="J57">
      <text>
        <t xml:space="preserve">Crescimento das Despesas Administrativas – Trimestral
O que mede:
Variação percentual das despesas administrativas em relação ao mesmo período anterior.
(Despesa Adm Atual/Despesa Adm Anterior)−1
Leitura do indicador:
↑ Crescimento acima da receita → compressão de margem
↑ Crescimento abaixo da receita → ganho de eficiência
↓ Queda de despesa → ajuste estrutural ou redução de bônus
Como interpretar corretamente (Investment Bank):
Despesas administrativas refletem:
Estrutura de suporte
Tecnologia
Custos operacionais
Parte da remuneração variável
Idealmente, devem crescer abaixo da receita no ciclo de expansão.
Referência prática (IB):
Crescimento &lt; Receita → positivo
Crescimento ≈ Receita → neutro
Crescimento &gt; Receita → pressão operacional
📌 Avaliar sempre em conjunto com a margem operacional.</t>
      </text>
    </comment>
    <comment authorId="0" ref="A111">
      <text>
        <t xml:space="preserve">O que é: Ajustes do lucro para excluir itens que não mexem no caixa.
O que mede: Diferença entre lucro contábil e impacto real no caixa.
Interpretação: Pode variar — valores positivos indicam que o lucro contábil subestimou o caixa operacional.
Ajustes que corrigem o lucro para refletir caixa real.</t>
      </text>
    </comment>
    <comment authorId="0" ref="M20">
      <text>
        <t xml:space="preserve">Índice de Basileia
O que mede:
Nível de capital regulatório em relação aos ativos ponderados pelo risco. Indica a solvência do banco.
Leitura do indicador:
↑ Basileia → maior resiliência
↓ Basileia → menor margem de segurança
Referências (bancos):
≥ 14% → confortável
12% – 14% → adequado
10,5% – 12% → atenção
&lt; 10,5% → risco regulatório
Observação:
É indicador regulatório, não vem da DRE/BP diretamente. Use o valor divulgado no release.</t>
      </text>
    </comment>
    <comment authorId="0" ref="J49">
      <text>
        <t xml:space="preserve">Participação de Ativos Financeiros
O que mede:
Quanto do ativo total está alocado em ativos financeiros (instrumentos líquidos ou marcados a mercado), refletindo o perfil do balanço e o grau de flexibilidade financeira.
Fórmula (BR Partners):
Ativos financeiros / Ativo Total
Ativos financeiros =
Títulos públicos + Títulos privados + Fundos + Derivativos + Operações de crédito + Outros ativos financeiros
Leitura do indicador:
↑ Participação → balanço mais financeiro, flexível e sensível a mercado
↓ Participação → maior peso de ativos operacionais ou estratégicos
Referências (BR Partners):
90% → modelo puro de banco de investimento
70% – 90% → híbrido
&lt; 70% → banco mais tradicional
Observação:
Para um banco de investimento, alta participação de ativos financeiros é estrutural e desejável, pois sustenta operações de mercado, advisory e gestão de recursos.</t>
      </text>
    </comment>
    <comment authorId="0" ref="M16">
      <text>
        <t xml:space="preserve">Mede a capacidade da empresa em gerar receita com seus ativos e a eficiência de seu modelo de negócio.
Cálculo: receita líquida / total de ativos</t>
      </text>
    </comment>
    <comment authorId="0" ref="J45">
      <text>
        <t xml:space="preserve">Funding core
O que mede:
Participação de recursos estáveis e recorrentes (principalmente recursos de clientes) no financiamento total do balanço.
Fórmula (BR Partners):
Recursos de clientes / Passivo Total
Leitura do indicador:
↑ Funding core → funding mais previsível e menor risco de refinanciamento
↓ Funding core → maior dependência de mercado e captações oportunísticas
Referências (BR Partners):
≥ 60% → excelente
50% – 60% → bom
&lt; 50% → atenção
Observação:
Em bancos de investimento, o funding core naturalmente é menor do que em bancos de varejo, pois o modelo não é baseado em depósitos massivos. O foco da leitura deve ser estabilidade, não volume absoluto.</t>
      </text>
    </comment>
    <comment authorId="0" ref="M12">
      <text>
        <t xml:space="preserve">LPA = Lucro por Ação
Indicador que mostra se a empresa é lucrativa. Quando o número é negativo, indica que a empresa está operando com geração de prejuízo ao invés de lucro.
Cálculo: lucro líquido / número de ações em circulação</t>
      </text>
    </comment>
    <comment authorId="0" ref="J41">
      <text>
        <t xml:space="preserve">É um retrato da saúde financeira da empresa em um determinado momento.
Mostra os ativos/passivo e o 
PL.</t>
      </text>
    </comment>
    <comment authorId="0" ref="M8">
      <text>
        <t xml:space="preserve">Margem financeira (NII / Ativo médio) – TTM
O que mede:
Capacidade do banco de gerar resultado com intermediação financeira a partir dos seus ativos. É a rentabilidade “core” do banco.
Leitura do indicador:
↑ Margem → melhor precificação de crédito e/ou captação mais barata
↓ Margem → compressão de spread, competição ou piora de funding
Referências (bancos):
≥ 4,0% → excelente
3,0% – 4,0% → bom
2,5% – 3,0% → atenção
&lt; 2,5% → alerta
Observação:
Deve ser analisada junto com custo do crédito. Margem alta com crédito ruim não é sustentável.</t>
      </text>
    </comment>
    <comment authorId="0" ref="A58">
      <text>
        <t xml:space="preserve">Valor líquido da empresa (ativos - passivos).
Crescimento constante é ótimo, mostra fortalecimento.</t>
      </text>
    </comment>
    <comment authorId="0" ref="J66">
      <text>
        <t xml:space="preserve">Detalha como o dinheiro entrou e saiu da empresa durante um período, mostrando a liquidez e a capacidade de gerar caixa.
Comparativo: 1T2025 x 1T2024</t>
      </text>
    </comment>
    <comment authorId="0" ref="A54">
      <text>
        <t xml:space="preserve">Valores de aportes dos acionistas que não vão para lucro.
Normalmente estável.</t>
      </text>
    </comment>
    <comment authorId="0" ref="J58">
      <text>
        <t xml:space="preserve">Alavancagem Operacional – Trimestral
O que mede:
Capacidade da receita gerar lucro por meio da diluição de custos fixos.
Alavancagem Operacional=Receita Operacional Total/∣Despesas Operacionais∣
Leitura do indicador:
↑ Maior alavancagem → forte geração de resultado para cada real gasto
↓ Menor alavancagem → estrutura pesada ou receita fraca
Como interpretar corretamente (Investment Bank):
Esse indicador mostra o poder de escalabilidade do modelo.
IBs eficientes apresentam forte expansão de lucro quando receita cresce.
É o inverso matemático do índice de eficiência.
Alavancagem=1/Eficiencia
Referência prática (trimestre isolado – IB):
≥ 1,7 → excelente
1,5 – 1,7 → muito bom
1,3 – 1,5 → adequado
&lt; 1,3 → estrutura pressionada
📌 Deve ser analisado junto ao crescimento da receita.</t>
      </text>
    </comment>
    <comment authorId="0" ref="A112">
      <text>
        <t xml:space="preserve">O que é: Mudança em contas operacionais do ativo (clientes, estoques, impostos a recuperar etc.).
O que mede: Quanto a empresa “prendeu” ou “liberou” caixa nos ativos.
Interpretação:
Negativo → empresa usou caixa no ciclo operacional.
Positivo → empresa liberou caixa.
Consumo ou liberação de caixa pelos ativos operacionais.</t>
      </text>
    </comment>
    <comment authorId="0" ref="J54">
      <text>
        <t xml:space="preserve">Mostra o desempenho da empresa ao longo de um período, detalhando receitas, custos e despesas, resultando no lucrou ou prejuízo. 
Comparativo: 1T2025 x 1T2024</t>
      </text>
    </comment>
    <comment authorId="0" ref="A108">
      <text>
        <t xml:space="preserve">Detalha como o dinheiro entrou e saiu da empresa durante um período, mostrando a liquidez e a capacidade de gerar caixa.
Comparativo: 1T2025 x 1T2024</t>
      </text>
    </comment>
    <comment authorId="0" ref="J50">
      <text>
        <t xml:space="preserve">Peso de Investimentos Societários
O que mede:
Relevância dos investimentos em participações societárias dentro do balanço total, indicando exposição a ativos estratégicos de menor liquidez.
Fórmula (BR Partners):
Investimentos societários / Ativo Total
Leitura do indicador:
↑ Peso → maior exposição estratégica e menor liquidez estrutural
↓ Peso → balanço mais leve e financeiro
Referências (BR Partners):
≤ 5% → excelente
5% – 10% → adequado
10% – 20% → atenção
20% → alerta
Observação:
Em bancos de investimento, investimentos societários devem ser pontuais e estratégicos. Peso elevado pode distorcer o perfil financeiro do balanço.</t>
      </text>
    </comment>
    <comment authorId="0" ref="M17">
      <text>
        <t xml:space="preserve">ROE (TTM)
O que mede:
Retorno gerado para o acionista sobre o patrimônio líquido médio. Indica a capacidade do banco de transformar capital próprio em lucro.
Leitura do indicador:
↑ ROE → melhor rentabilidade para o acionista
↓ ROE → perda de eficiência ou aumento de risco
Referências (bancos):
≥ 15% → bom
12% – 15% → aceitável
&lt; 12% → alerta
&lt; 10% → fraco para banco grande
Observação importante:
Sempre analisar junto com custo do crédito e alavancagem. ROE alto com risco alto não é qualidade.</t>
      </text>
    </comment>
    <comment authorId="0" ref="J46">
      <text>
        <t xml:space="preserve">Dependência de mercado
O que mede:
Grau de dependência da instituição em relação a captações no mercado financeiro para sustentar suas operações, em vez de recursos próprios ou de clientes.
Fórmula (BR Partners):
(Captação no mercado + Emissão de títulos) / Passivo Total
Leitura do indicador:
↑ Dependência de mercado → maior exposição a condições de liquidez e custo de mercado
↓ Dependência de mercado → estrutura mais resiliente a choques financeiros
Referências (BR Partners):
80% → esperado / estrutural
60% – 80% → híbrido
&lt; 60% → perfil mais bancário
⚠️ Leitura correta:
Alta dependência de mercado é normal, mas exige:
Liquidez alta
Gestão ativa de passivos
Observação:
Para bancos de investimento, alguma dependência de mercado é normal. O risco surge quando a estrutura passa a depender excessivamente de funding de curto prazo ou volátil.</t>
      </text>
    </comment>
  </commentList>
</comments>
</file>

<file path=xl/sharedStrings.xml><?xml version="1.0" encoding="utf-8"?>
<sst xmlns="http://schemas.openxmlformats.org/spreadsheetml/2006/main" count="2418" uniqueCount="725">
  <si>
    <t>|</t>
  </si>
  <si>
    <t>Feito</t>
  </si>
  <si>
    <t>Atual</t>
  </si>
  <si>
    <t>Não</t>
  </si>
  <si>
    <t>Ultimo_Balanco</t>
  </si>
  <si>
    <t>Balanço Patrimonial Anual</t>
  </si>
  <si>
    <t>SAPR4</t>
  </si>
  <si>
    <t>TAEE11</t>
  </si>
  <si>
    <t>CMIG4</t>
  </si>
  <si>
    <t>ISAE4</t>
  </si>
  <si>
    <t>Numero_Papel</t>
  </si>
  <si>
    <t>Ano</t>
  </si>
  <si>
    <t>1_T</t>
  </si>
  <si>
    <t>AH% (2/1)</t>
  </si>
  <si>
    <t>2_T</t>
  </si>
  <si>
    <t>AH% (3/2)</t>
  </si>
  <si>
    <t>3_T</t>
  </si>
  <si>
    <t>AH% (4/3)</t>
  </si>
  <si>
    <t>4_T</t>
  </si>
  <si>
    <t>BP</t>
  </si>
  <si>
    <t>MARGEM LÍQUIDA</t>
  </si>
  <si>
    <t>DMPL Acumulado</t>
  </si>
  <si>
    <t>Margem_Liquida</t>
  </si>
  <si>
    <t>Margem_Liquida_Ajustada</t>
  </si>
  <si>
    <t>Ativo Total</t>
  </si>
  <si>
    <t>Ativo</t>
  </si>
  <si>
    <t>MARGEM BRUTA</t>
  </si>
  <si>
    <t>JCP acionistas Liquido</t>
  </si>
  <si>
    <t>Ativo Circulante</t>
  </si>
  <si>
    <t>Valor_de_mercado</t>
  </si>
  <si>
    <t>MARGEM EBIT</t>
  </si>
  <si>
    <t>JCP acionistas Liquido 2</t>
  </si>
  <si>
    <t>Dividendos</t>
  </si>
  <si>
    <t>Ativo Nao Circ.</t>
  </si>
  <si>
    <t>Valor_da_firma</t>
  </si>
  <si>
    <t>MARGEM EBITDA</t>
  </si>
  <si>
    <t>Disponibilidade</t>
  </si>
  <si>
    <t>MARGEM_EBITDA</t>
  </si>
  <si>
    <t>Dividendos remanescentes</t>
  </si>
  <si>
    <t>Dividendos e JCP</t>
  </si>
  <si>
    <t>MARGEM_EBITDA_Ajustada</t>
  </si>
  <si>
    <t>LPA</t>
  </si>
  <si>
    <t>Estoque</t>
  </si>
  <si>
    <t>Patrimônio líq</t>
  </si>
  <si>
    <t>Aliquota</t>
  </si>
  <si>
    <t>LPA_Ajustado</t>
  </si>
  <si>
    <t>DPA Liquido</t>
  </si>
  <si>
    <t>Caixa</t>
  </si>
  <si>
    <t>Dívida bruta</t>
  </si>
  <si>
    <t>Payout_Ajustado</t>
  </si>
  <si>
    <t>NOPAT</t>
  </si>
  <si>
    <t>Títulos e valores mobiliários </t>
  </si>
  <si>
    <t>Dívida líq</t>
  </si>
  <si>
    <t>GIRO ATIVOS</t>
  </si>
  <si>
    <t>Disponibilidades</t>
  </si>
  <si>
    <t>Payout</t>
  </si>
  <si>
    <t>Capital_Investido</t>
  </si>
  <si>
    <t>ROE</t>
  </si>
  <si>
    <t>Razão de Divida</t>
  </si>
  <si>
    <t>ROIC</t>
  </si>
  <si>
    <t>Passivo Total</t>
  </si>
  <si>
    <t>DRE</t>
  </si>
  <si>
    <t>ROA</t>
  </si>
  <si>
    <t>Passivo Circ.</t>
  </si>
  <si>
    <t>Receita_IFRS</t>
  </si>
  <si>
    <t>EV/EBITDA</t>
  </si>
  <si>
    <t>Passivo Não Circ.</t>
  </si>
  <si>
    <t>Receita_Liquida</t>
  </si>
  <si>
    <t>Receita REG</t>
  </si>
  <si>
    <t>Earnings_Yield_Greenblatt</t>
  </si>
  <si>
    <t>Emprést. CP</t>
  </si>
  <si>
    <t>Cagr_receita_5a</t>
  </si>
  <si>
    <t>DÍVIDA LÍQUIDA / EBITDA</t>
  </si>
  <si>
    <t>Emprést. LP</t>
  </si>
  <si>
    <t>EBIT Reg</t>
  </si>
  <si>
    <t>LIQUIDEZ CORRENTE</t>
  </si>
  <si>
    <t>EBIT</t>
  </si>
  <si>
    <t>EBITDA Reg</t>
  </si>
  <si>
    <t>Indice de Cobertura de Juros MEDIA</t>
  </si>
  <si>
    <t>ENDIVIDAMENTO / CAIXA</t>
  </si>
  <si>
    <t>Custo_Mercadoria</t>
  </si>
  <si>
    <t>DÍVIDA LÍQUIDA / EBITDA Ajustado</t>
  </si>
  <si>
    <t>Alavancagem_Financeira</t>
  </si>
  <si>
    <t>EBITDA Ajustado</t>
  </si>
  <si>
    <t>EBITDA</t>
  </si>
  <si>
    <t>LIQUIDEZ CORRENTE_Media</t>
  </si>
  <si>
    <t>Lucro bruto</t>
  </si>
  <si>
    <t>DL/PL</t>
  </si>
  <si>
    <t>Despesas operacionais REG</t>
  </si>
  <si>
    <t>CPM</t>
  </si>
  <si>
    <t>Inflação</t>
  </si>
  <si>
    <t>RF</t>
  </si>
  <si>
    <t>Patrimônio líq.</t>
  </si>
  <si>
    <t>Despesas operacionais</t>
  </si>
  <si>
    <t>Lucro_Anual REG_Planilha</t>
  </si>
  <si>
    <t>Beta (B)</t>
  </si>
  <si>
    <t>Lucro_Liquido_Fundamentus</t>
  </si>
  <si>
    <t>Lucro_Anual_Ajustado</t>
  </si>
  <si>
    <t>RM</t>
  </si>
  <si>
    <t>Reserva de Capital</t>
  </si>
  <si>
    <t>Beta</t>
  </si>
  <si>
    <t>KE</t>
  </si>
  <si>
    <t>Reserva de Lucro</t>
  </si>
  <si>
    <t>DRE Analise Trimestral</t>
  </si>
  <si>
    <t>Ticker</t>
  </si>
  <si>
    <t>Valores</t>
  </si>
  <si>
    <t>VLF</t>
  </si>
  <si>
    <t>VLP</t>
  </si>
  <si>
    <t>Cresc</t>
  </si>
  <si>
    <t>Lucro_Planilha</t>
  </si>
  <si>
    <t>Fluxo</t>
  </si>
  <si>
    <t>Trimestre</t>
  </si>
  <si>
    <t>Preço_Mercado</t>
  </si>
  <si>
    <t>Lucro ou Prejuizo Acumulados</t>
  </si>
  <si>
    <t>Receita Operacional Bruta</t>
  </si>
  <si>
    <t>Deduções da receita Bruta</t>
  </si>
  <si>
    <t>Market</t>
  </si>
  <si>
    <t>Receita Operacional  Liquida</t>
  </si>
  <si>
    <t>Taxa_Cresc</t>
  </si>
  <si>
    <t>Custos e Despesas</t>
  </si>
  <si>
    <t>Taxa_Gordon</t>
  </si>
  <si>
    <t>Receita Bruta</t>
  </si>
  <si>
    <t>Lucro Operacional  Bruto</t>
  </si>
  <si>
    <t>Receita Liquida</t>
  </si>
  <si>
    <t>Receita_LL_REG</t>
  </si>
  <si>
    <t>Taxa_desconto_KE</t>
  </si>
  <si>
    <t>Custo Mercadoria (CMV)</t>
  </si>
  <si>
    <t>Receita Financeira</t>
  </si>
  <si>
    <t>Valor_ação_Proj</t>
  </si>
  <si>
    <t>Lucro_Ajustado_Planilha</t>
  </si>
  <si>
    <t>Lucro Bruto</t>
  </si>
  <si>
    <t>Perpétuo</t>
  </si>
  <si>
    <t>TIR</t>
  </si>
  <si>
    <t>Depreciações e Amortizações</t>
  </si>
  <si>
    <t>Custos com energia elétrica e gás</t>
  </si>
  <si>
    <t>Despesa Financeira</t>
  </si>
  <si>
    <t>Market_Proj</t>
  </si>
  <si>
    <t>DESPESAS E OUTRAS RECEITAS</t>
  </si>
  <si>
    <t>Resultado Financeiro</t>
  </si>
  <si>
    <t>Energia elétrica comprada para revenda</t>
  </si>
  <si>
    <t>Despesas com Vendas</t>
  </si>
  <si>
    <t>Resultado de equivalência patrimonial</t>
  </si>
  <si>
    <t>Outras Receitas/Despesas Operacionais</t>
  </si>
  <si>
    <t>Lucro Operacional (EBIT)(LAJIR)</t>
  </si>
  <si>
    <t>Encargos de uso da rede básica</t>
  </si>
  <si>
    <t>Despesa Administrativa</t>
  </si>
  <si>
    <t>EBITIDA (LAJIDA)</t>
  </si>
  <si>
    <t>Gás comprado para revenda</t>
  </si>
  <si>
    <t>Custos de construção de infraestrutura</t>
  </si>
  <si>
    <t>Custos de operação</t>
  </si>
  <si>
    <t>Resultado antes do Imposto</t>
  </si>
  <si>
    <t>Despesa Administrativa (%)</t>
  </si>
  <si>
    <t>Impostos</t>
  </si>
  <si>
    <t>Pessoal (reversões)</t>
  </si>
  <si>
    <t>Outras receitas</t>
  </si>
  <si>
    <t>Participação d empregados e adm no resultado</t>
  </si>
  <si>
    <t>Lucro Liquido</t>
  </si>
  <si>
    <t>Serviços de terceiros</t>
  </si>
  <si>
    <t>Outras despesas</t>
  </si>
  <si>
    <t>Depreciação e amortização</t>
  </si>
  <si>
    <t>DFC</t>
  </si>
  <si>
    <t xml:space="preserve"> Perdas Não Recuperabilidade de Ativos</t>
  </si>
  <si>
    <t>FCO – Fluxo Operacional</t>
  </si>
  <si>
    <t>Lucro Líquido</t>
  </si>
  <si>
    <t>Despesas/Receitas Operacionais</t>
  </si>
  <si>
    <t>Ajustes Não Caixa (subtotal)</t>
  </si>
  <si>
    <t>Variação Ativos</t>
  </si>
  <si>
    <t>Despesas gerais e administrativas</t>
  </si>
  <si>
    <t>Variação Passivo</t>
  </si>
  <si>
    <t>FCO</t>
  </si>
  <si>
    <t>Obrigações pós-emprego (reversões)</t>
  </si>
  <si>
    <t>Materiais</t>
  </si>
  <si>
    <t>CAPEX</t>
  </si>
  <si>
    <t>Variação Ativos e Passivo</t>
  </si>
  <si>
    <t>Imobilizado</t>
  </si>
  <si>
    <t>Provisões (reversões)</t>
  </si>
  <si>
    <t>T2 negativo n recorrente</t>
  </si>
  <si>
    <t>IR e contribuição social pagos</t>
  </si>
  <si>
    <t>Perda esperada com outros créditos</t>
  </si>
  <si>
    <t>Recorrente</t>
  </si>
  <si>
    <t>Perdas de créditos esperadas</t>
  </si>
  <si>
    <t>Intangível</t>
  </si>
  <si>
    <t>T4 2025 n recorrente</t>
  </si>
  <si>
    <t>Ativos de Contrato</t>
  </si>
  <si>
    <t>Outros custos e despesas</t>
  </si>
  <si>
    <t>Imobilizado e Intangível</t>
  </si>
  <si>
    <t>Despesa Operacionais</t>
  </si>
  <si>
    <t>Possivel Recorrente anual</t>
  </si>
  <si>
    <t>(Adições) baixas no investimento</t>
  </si>
  <si>
    <t>Resgates de Aplicações financeiras</t>
  </si>
  <si>
    <t xml:space="preserve">Estou usando esse de cima trocar a receita da tabela a baixo quando deixar de ter N recorrente. </t>
  </si>
  <si>
    <t>Caixa Restrito</t>
  </si>
  <si>
    <t>FCI – Investimentos</t>
  </si>
  <si>
    <t>Dividendos recebidos</t>
  </si>
  <si>
    <t>FCF – Financiamento</t>
  </si>
  <si>
    <t>Pagamento de Empréstimos Principal</t>
  </si>
  <si>
    <t>Emissão debêntures</t>
  </si>
  <si>
    <t>Pagamento de Empréstimos Juros</t>
  </si>
  <si>
    <t>Captação de debêntures</t>
  </si>
  <si>
    <t>Pag de Emp e debêntures Principal</t>
  </si>
  <si>
    <t>Pag de Emp e debêntures Juros</t>
  </si>
  <si>
    <t>Pagamento de debêntures - principal</t>
  </si>
  <si>
    <t>Amortizações</t>
  </si>
  <si>
    <t>Pagamento de debêntures - juros</t>
  </si>
  <si>
    <t>Pagamento/Recebimento financeiros</t>
  </si>
  <si>
    <t>Arrendamentos</t>
  </si>
  <si>
    <t>Pagamento de dividendos e JCP</t>
  </si>
  <si>
    <t>EBITIDA (LAJIDA) IFRS</t>
  </si>
  <si>
    <t>FCF</t>
  </si>
  <si>
    <t>Dividendos/JCP</t>
  </si>
  <si>
    <t>Fechamento</t>
  </si>
  <si>
    <t>Lucro Liquido IFRS</t>
  </si>
  <si>
    <t>Caixa Inicial</t>
  </si>
  <si>
    <t>Imobilizado/Intangível/Ativo de Contrato</t>
  </si>
  <si>
    <t>Caixa Final</t>
  </si>
  <si>
    <t>Participação dos acionistas não-controladores</t>
  </si>
  <si>
    <t>EBITIDA (LAJIDA) Ajustado</t>
  </si>
  <si>
    <t>Lucro_Liquido_Ajustado</t>
  </si>
  <si>
    <t>Variação Passivos</t>
  </si>
  <si>
    <t>Operacional antes de juros/IR</t>
  </si>
  <si>
    <t>Juros Recebidos</t>
  </si>
  <si>
    <t>Dividendos Recebidos</t>
  </si>
  <si>
    <t>Juros Pagos</t>
  </si>
  <si>
    <t>Custo na Captação</t>
  </si>
  <si>
    <t>Juros sobre arrendamentos pagos</t>
  </si>
  <si>
    <t>Depósitos Vinculados</t>
  </si>
  <si>
    <t>IR/CS Pagos</t>
  </si>
  <si>
    <t>Liquidação</t>
  </si>
  <si>
    <t>Antecipação de CDE</t>
  </si>
  <si>
    <t>Captações</t>
  </si>
  <si>
    <t>DRE Final Anual</t>
  </si>
  <si>
    <t>WEGE3</t>
  </si>
  <si>
    <t>PETR4</t>
  </si>
  <si>
    <t>LPA_FCL</t>
  </si>
  <si>
    <t>PAYOUT FCL</t>
  </si>
  <si>
    <t>Balanço Patrimonial</t>
  </si>
  <si>
    <t>▸</t>
  </si>
  <si>
    <t>BBAS3</t>
  </si>
  <si>
    <t>VALE3</t>
  </si>
  <si>
    <t>Margem financeira (NII / Ativo médio)</t>
  </si>
  <si>
    <t>Liquidez imediata</t>
  </si>
  <si>
    <t>Margem_Liquida_Proforma</t>
  </si>
  <si>
    <t>▸Disponibilidades</t>
  </si>
  <si>
    <t>Valor_de_mercado/Firma</t>
  </si>
  <si>
    <t>MARGEM OPERACIONAL</t>
  </si>
  <si>
    <t>▸Depósitos no Banco Central</t>
  </si>
  <si>
    <t>Índice de eficiência</t>
  </si>
  <si>
    <t>▸Aplicações interfinanceiras de liquidez</t>
  </si>
  <si>
    <t>Capital de terceiros (equiv. Dívida bruta)</t>
  </si>
  <si>
    <t>LIQUIDEZ CORRENTE MEDIA</t>
  </si>
  <si>
    <t>Excess Return</t>
  </si>
  <si>
    <t>Captação Total Media ≈ Dív bruta</t>
  </si>
  <si>
    <t>ROPA</t>
  </si>
  <si>
    <t>g</t>
  </si>
  <si>
    <t>Ativos financeiros</t>
  </si>
  <si>
    <t>MARGEM_EBITDA_Proforma</t>
  </si>
  <si>
    <t>Dívida Financeira</t>
  </si>
  <si>
    <t>Qualidade da carteira (equiv. Dív líq)</t>
  </si>
  <si>
    <t>PL_Proj</t>
  </si>
  <si>
    <t>LPA_Proforma</t>
  </si>
  <si>
    <t>▸Títulos e valores mobiliários</t>
  </si>
  <si>
    <t>Carteira Crédito Media ≈ Dív líq</t>
  </si>
  <si>
    <t>Divida Bruta</t>
  </si>
  <si>
    <t>PAYOUT</t>
  </si>
  <si>
    <t>Roe_Proj</t>
  </si>
  <si>
    <t>▸Derivativos</t>
  </si>
  <si>
    <t>Excesso_ano_n</t>
  </si>
  <si>
    <t>▸Outros ativos financeiros</t>
  </si>
  <si>
    <t>Vendas</t>
  </si>
  <si>
    <t>── equiv. EBITDA ──</t>
  </si>
  <si>
    <t>ROE_DuPont</t>
  </si>
  <si>
    <t>PV_Excesso_n</t>
  </si>
  <si>
    <t>NII (Resultado Interm.) ≈ EBITDA</t>
  </si>
  <si>
    <t>Perpetuidade do Excesso</t>
  </si>
  <si>
    <t>Carteira de crédito líquida</t>
  </si>
  <si>
    <t xml:space="preserve">Dólar médio de venda </t>
  </si>
  <si>
    <t>── equiv. Receita Líquida ──</t>
  </si>
  <si>
    <t>Cobertura de crédito (BP)</t>
  </si>
  <si>
    <t>PV_Perpetuidade</t>
  </si>
  <si>
    <t>▸Carteira de crédito</t>
  </si>
  <si>
    <t>Brent (US$/bbl)</t>
  </si>
  <si>
    <t>Receita_Total ≈ Rec. Líq.</t>
  </si>
  <si>
    <t>Custo do crédito (PCLD / Carteira de crédito)</t>
  </si>
  <si>
    <t>VL</t>
  </si>
  <si>
    <t>▸(–) Perdas esperadas / PCLD</t>
  </si>
  <si>
    <t>── equiv. CMV ──</t>
  </si>
  <si>
    <t>FCL</t>
  </si>
  <si>
    <t>Qualidade da carteira / NII</t>
  </si>
  <si>
    <t>P_Ação</t>
  </si>
  <si>
    <t>ROCE (Capital Empregado)</t>
  </si>
  <si>
    <t>Custo_Captacao ≈ CMV</t>
  </si>
  <si>
    <t>Spread NII</t>
  </si>
  <si>
    <t>Ativos fiscais</t>
  </si>
  <si>
    <t>── equiv. Lucro Bruto ──</t>
  </si>
  <si>
    <t>PCLD / NII</t>
  </si>
  <si>
    <t>▸Créditos tributários correntes</t>
  </si>
  <si>
    <t>NII_após_PCLD ≈ Lucro Bruto</t>
  </si>
  <si>
    <t>Alavancagem</t>
  </si>
  <si>
    <t>▸Créditos tributários diferidos</t>
  </si>
  <si>
    <t>Receitas de serviços</t>
  </si>
  <si>
    <t>A</t>
  </si>
  <si>
    <t>AH% (A/B)</t>
  </si>
  <si>
    <t>B</t>
  </si>
  <si>
    <t>Índice de Basileia</t>
  </si>
  <si>
    <t>Resultado operacional</t>
  </si>
  <si>
    <t>ROA_Proforma</t>
  </si>
  <si>
    <t>Investimentos</t>
  </si>
  <si>
    <t>── equiv. Despesas Operacionais ──</t>
  </si>
  <si>
    <t>▸Participações controladas e coligadas</t>
  </si>
  <si>
    <t>PCLD ≈ principal desp.</t>
  </si>
  <si>
    <t>EV/EBITDA_Proforma</t>
  </si>
  <si>
    <t>▸Outros investimentos</t>
  </si>
  <si>
    <t>Despesas_Admin</t>
  </si>
  <si>
    <t>Ativos operacionais não financeiros</t>
  </si>
  <si>
    <t>Earnings_Yield_Greenblatt_Proforma</t>
  </si>
  <si>
    <t>Lucro_Ajustado</t>
  </si>
  <si>
    <t>▸Imobilizado</t>
  </si>
  <si>
    <t>Lucro_Anual_Fundamentus</t>
  </si>
  <si>
    <t>DÍVIDA LÍQUIDA / EBITDA_Proforma</t>
  </si>
  <si>
    <t>▸Intangível</t>
  </si>
  <si>
    <t>EBITDA Proforma</t>
  </si>
  <si>
    <t>Outros ativos não financeiros</t>
  </si>
  <si>
    <t>INDICADORES DE ESTRUTURA E ENDIVIDAMENTO</t>
  </si>
  <si>
    <t>Arrendamento CP</t>
  </si>
  <si>
    <t>Ativo Total (analítico)</t>
  </si>
  <si>
    <t>Arrendamento LP</t>
  </si>
  <si>
    <t>Funding core</t>
  </si>
  <si>
    <t>Divida Financeira</t>
  </si>
  <si>
    <t xml:space="preserve">Depósitos
</t>
  </si>
  <si>
    <t>Dependência de mercado</t>
  </si>
  <si>
    <t>Custos exploratórios</t>
  </si>
  <si>
    <t>▸Recursos de clientes</t>
  </si>
  <si>
    <t>Exposição a crédito</t>
  </si>
  <si>
    <t>▸Recursos de instituições financeiras</t>
  </si>
  <si>
    <t>Custos com pesquisa</t>
  </si>
  <si>
    <t>Ativos líquidos</t>
  </si>
  <si>
    <t>Tributárias</t>
  </si>
  <si>
    <t xml:space="preserve">Instrumentos de dívida
</t>
  </si>
  <si>
    <t>Reversão (Perda)</t>
  </si>
  <si>
    <t>Outras receitas (despesas)</t>
  </si>
  <si>
    <t>Lucro_proforma_Planilha</t>
  </si>
  <si>
    <t>Índice de capital próprio</t>
  </si>
  <si>
    <t xml:space="preserve">▸Recursos de títulos|valores mobiliários </t>
  </si>
  <si>
    <t>Visão integrada (importante)</t>
  </si>
  <si>
    <t xml:space="preserve">Passivos financeiros
</t>
  </si>
  <si>
    <t>DRE Analise Trismestral</t>
  </si>
  <si>
    <t>▸Derivativos passivos</t>
  </si>
  <si>
    <t>EFICIÊNCIA</t>
  </si>
  <si>
    <t>▸Outras obrigações financeiras</t>
  </si>
  <si>
    <t>Var. monetárias e cambiais, líquidas</t>
  </si>
  <si>
    <t>Crescimento do NII</t>
  </si>
  <si>
    <t>Participação de receitas de serviços</t>
  </si>
  <si>
    <t>Resultado de participações</t>
  </si>
  <si>
    <t xml:space="preserve">Outras obrigações
</t>
  </si>
  <si>
    <t>Depreciação/Amortização</t>
  </si>
  <si>
    <t>▸Outras obrigações</t>
  </si>
  <si>
    <t>Crescimento das despesas adm</t>
  </si>
  <si>
    <t>▸Provisões</t>
  </si>
  <si>
    <t>Impacto das provisões operacionais</t>
  </si>
  <si>
    <t>▸Passivos fiscais correntes</t>
  </si>
  <si>
    <t>SOLIDEZ</t>
  </si>
  <si>
    <t>▸Passivos fiscais diferidos</t>
  </si>
  <si>
    <t>▸Capital</t>
  </si>
  <si>
    <t>Lucro Líquido Antes do imposto</t>
  </si>
  <si>
    <t>▸Instrumento elegível ao capital principal</t>
  </si>
  <si>
    <t>Capital social</t>
  </si>
  <si>
    <t>▸Reserva de Capital</t>
  </si>
  <si>
    <t>▸Reserva de Lucro</t>
  </si>
  <si>
    <t>Reduções (adições)</t>
  </si>
  <si>
    <t>Recebimentos pela venda de ativos</t>
  </si>
  <si>
    <t>▸Outros resultados abrangentes</t>
  </si>
  <si>
    <t>Compensação financeira</t>
  </si>
  <si>
    <t>Lucro_proforma</t>
  </si>
  <si>
    <t>▸Lucro ou Prejuizo Acumulados</t>
  </si>
  <si>
    <t>Resgates (investimentos)</t>
  </si>
  <si>
    <t>Venda de Ativo Imobilizado e Intangível</t>
  </si>
  <si>
    <t>Aquisição de empresa</t>
  </si>
  <si>
    <t>Aplicações financeiras</t>
  </si>
  <si>
    <t>Resgate de aplicações financeiras</t>
  </si>
  <si>
    <t>Participação de não acionistas</t>
  </si>
  <si>
    <t>Receita de intermediação financeira</t>
  </si>
  <si>
    <t>Liquidação de ações em tesouraria</t>
  </si>
  <si>
    <t>Dividendos pagos a acionistas</t>
  </si>
  <si>
    <t>Dividendos pagos a não acionistas</t>
  </si>
  <si>
    <t xml:space="preserve">Com vendas e administrativas </t>
  </si>
  <si>
    <t>Receitas de juros</t>
  </si>
  <si>
    <t>Variação Cambial</t>
  </si>
  <si>
    <t>▸Aplicações interfinanceiras</t>
  </si>
  <si>
    <t>▸Aplicações compulsórias</t>
  </si>
  <si>
    <t>Pesquisa e desenvolvimento</t>
  </si>
  <si>
    <t>Receitas com títulos</t>
  </si>
  <si>
    <t>Pré-operacionais e paradas de operação</t>
  </si>
  <si>
    <t>▸Outros ativos financeiros (parte de títulos)</t>
  </si>
  <si>
    <t>Custo de captação</t>
  </si>
  <si>
    <t>▸ Juros pagos sobre depósitos</t>
  </si>
  <si>
    <t>↳ Recursos de clientes</t>
  </si>
  <si>
    <t>Captação no mercado</t>
  </si>
  <si>
    <t>↳ Recursos de instituições financeiras</t>
  </si>
  <si>
    <t>↳ Outras despesas de captação</t>
  </si>
  <si>
    <t>Outros itens financeiros, líquido</t>
  </si>
  <si>
    <t>Instrumentos de dívida</t>
  </si>
  <si>
    <t>↳ Emissões de títulos e valores mobiliários</t>
  </si>
  <si>
    <t>Resultado da intermediação financeira (NII)</t>
  </si>
  <si>
    <t>Depreciação, amortização e exaustão</t>
  </si>
  <si>
    <t xml:space="preserve">LAJIDA (EBITDA) ajustado </t>
  </si>
  <si>
    <t>Perdas de crédito esperadas (PCLD)</t>
  </si>
  <si>
    <t xml:space="preserve">LAJIDA (EBITDA) proforma </t>
  </si>
  <si>
    <t>Resultado financeiro após crédito</t>
  </si>
  <si>
    <t>Despesas administrativas</t>
  </si>
  <si>
    <t>Lucro líquido proforma (Acionista)</t>
  </si>
  <si>
    <t>▸ Despesas de pessoal</t>
  </si>
  <si>
    <t>▸ Outras despesas administrativas</t>
  </si>
  <si>
    <t>▸ Despesas tributárias</t>
  </si>
  <si>
    <t>Outras receitas/despesas operacionais</t>
  </si>
  <si>
    <t>▸ Resultado de participações</t>
  </si>
  <si>
    <t>▸ Outras receitas/despesas</t>
  </si>
  <si>
    <t>Provisões operacionais</t>
  </si>
  <si>
    <t>Pagamentos relacionados ao rompimento</t>
  </si>
  <si>
    <t>Recebimentos (pagamentos)</t>
  </si>
  <si>
    <t>Resultado não operacional</t>
  </si>
  <si>
    <t>Outras atividades de investimentos</t>
  </si>
  <si>
    <t>Resultado antes dos impostos</t>
  </si>
  <si>
    <t xml:space="preserve">Participação de empregados e adm no lucro </t>
  </si>
  <si>
    <t>Participação dos não controladores</t>
  </si>
  <si>
    <t>Lucro líquido</t>
  </si>
  <si>
    <t>DRE Analise Acumulado</t>
  </si>
  <si>
    <t xml:space="preserve">Programa de recompra de ações  </t>
  </si>
  <si>
    <t xml:space="preserve">Emissão de títulos subordinados </t>
  </si>
  <si>
    <t>Transferência dos Ativos de Energia</t>
  </si>
  <si>
    <t>Caixa e equivalentes de caixa</t>
  </si>
  <si>
    <t>ITUB3</t>
  </si>
  <si>
    <t>BBSE3</t>
  </si>
  <si>
    <t>Selic_Sensitivity</t>
  </si>
  <si>
    <t>Retorno dos Investimentos (ROI Holding)</t>
  </si>
  <si>
    <t>▸Caixa e equivalentes de caixa</t>
  </si>
  <si>
    <t>── funding (≈ "Dívida") — holding quase não tem ──</t>
  </si>
  <si>
    <t>▸Títulos e Valores Mobiliários e Derivativos</t>
  </si>
  <si>
    <t>▸ Ativos financeiros ao custo amortizado – circulante</t>
  </si>
  <si>
    <t>Passivos Técnicos Media</t>
  </si>
  <si>
    <t>▸ Ativos financeiros ao valor justo por meio do resultado</t>
  </si>
  <si>
    <t>── portfólio (o principal ativo da holding) ──</t>
  </si>
  <si>
    <t>Outros ativos financeiros</t>
  </si>
  <si>
    <t>▸ Ativos financeiros ao custo amortizado – não circulante</t>
  </si>
  <si>
    <t>Investimentos Societários Media</t>
  </si>
  <si>
    <t>▸Relações Interfinanceiras e Interdependências</t>
  </si>
  <si>
    <t>Recebíveis operacionais</t>
  </si>
  <si>
    <t>── dois drivers de receita (≈ EBITDA) ──</t>
  </si>
  <si>
    <t>▸ Comissões a receber – circulante</t>
  </si>
  <si>
    <t>Res. Participações ★ driver 1</t>
  </si>
  <si>
    <t>▸ Comissões a receber – não circulante</t>
  </si>
  <si>
    <t>── equiv. Receita  ──</t>
  </si>
  <si>
    <t>▸ Dividendos / JCP a recebe</t>
  </si>
  <si>
    <t>Receita_Comissoes ★ driver 2</t>
  </si>
  <si>
    <t>Peso de Investimentos Societários</t>
  </si>
  <si>
    <t>▸ Outros ativos - circ</t>
  </si>
  <si>
    <t>── receita total (≈ Receita Líquida) ──</t>
  </si>
  <si>
    <t>Passivos Técnicos / Ativo</t>
  </si>
  <si>
    <t>▸ Outros ativos - não circ</t>
  </si>
  <si>
    <t>Receita_Op_Total ≈ Rec. Líq.</t>
  </si>
  <si>
    <t>Selic_Sensitivity bps Selic</t>
  </si>
  <si>
    <t>── custos (holding tem custo mínimo) ──</t>
  </si>
  <si>
    <t>Queda 2%</t>
  </si>
  <si>
    <t>ITSA4</t>
  </si>
  <si>
    <t>▸Ativos Fiscais – Correntes e Diferidos</t>
  </si>
  <si>
    <t>Receita operacional</t>
  </si>
  <si>
    <t>Desp_Operacionais ≈ Desp. Op.</t>
  </si>
  <si>
    <t>▸ Tributos correntes</t>
  </si>
  <si>
    <t>Outros ativos</t>
  </si>
  <si>
    <t>── resultado operacional (≈ Lucro Bruto) ──</t>
  </si>
  <si>
    <t>▸ Tributos diferidos</t>
  </si>
  <si>
    <t>Resultado_Op ≈ Lucro Bruto</t>
  </si>
  <si>
    <t>Investimentos societários</t>
  </si>
  <si>
    <t>Resultado_Financeiro</t>
  </si>
  <si>
    <t>▸Ativo não circulante / permanente</t>
  </si>
  <si>
    <t xml:space="preserve">Dividendos intercalares pagos  </t>
  </si>
  <si>
    <t>▸ Investimentos em participações societárias</t>
  </si>
  <si>
    <t>── resultado final ──</t>
  </si>
  <si>
    <t>▸ Caixa e equivalentes de caixa</t>
  </si>
  <si>
    <t>Dividendos propostos a pagar</t>
  </si>
  <si>
    <t>Dividendos Total</t>
  </si>
  <si>
    <t>Lucro_Anual_Planilha</t>
  </si>
  <si>
    <t>▸ Intangível</t>
  </si>
  <si>
    <t>▸Depósitos</t>
  </si>
  <si>
    <t>── funding (≈ estrutura financeira da holding) ──</t>
  </si>
  <si>
    <t>▸ Títulos e valores mobiliários .Circ</t>
  </si>
  <si>
    <t>Passivos Financeiros Média</t>
  </si>
  <si>
    <t>Substitui FC — Mix de receita</t>
  </si>
  <si>
    <t>▸ Títulos e valores mobiliários .N_Circ</t>
  </si>
  <si>
    <t>── substitui FCO: qualidade e estabilidade da receita ──</t>
  </si>
  <si>
    <t>Passivos operacionais / técnicos</t>
  </si>
  <si>
    <t>Investimentos Permanentes Média</t>
  </si>
  <si>
    <t>▸Captações no Mercado Aberto</t>
  </si>
  <si>
    <t xml:space="preserve">Participações_Pct </t>
  </si>
  <si>
    <t>▸ Comissões a apropriar – circulante</t>
  </si>
  <si>
    <t xml:space="preserve">Comissoes_Pct </t>
  </si>
  <si>
    <t>▸Obrigações por Empréstimos e Repasses</t>
  </si>
  <si>
    <t>▸ Comissões a apropriar – não circulante</t>
  </si>
  <si>
    <t>▸ Despesas Antecipadas .Circ</t>
  </si>
  <si>
    <t>Obrigações societárias / dividendos</t>
  </si>
  <si>
    <t>── drivers de resultado (≈ EBITDA) ──</t>
  </si>
  <si>
    <t>ROE DuPont</t>
  </si>
  <si>
    <t>▸ Despesas Antecipadas .N_Circ</t>
  </si>
  <si>
    <t>Resultado_Participacoes ★ driver 1</t>
  </si>
  <si>
    <t>▸ Outros ativos .Circ</t>
  </si>
  <si>
    <t>Resultado_NFinanceiro ★ driver 2</t>
  </si>
  <si>
    <t>▸ Obrigações societárias e estatutárias</t>
  </si>
  <si>
    <t>▸ Outros ativos .N_Circ</t>
  </si>
  <si>
    <t>▸Instrumentos de Dívida</t>
  </si>
  <si>
    <t>Receita_Servicos ★ principal</t>
  </si>
  <si>
    <t>Peso de Investimentos Permanentes</t>
  </si>
  <si>
    <t>── receita econômica (≈ Receita Líquida) ──</t>
  </si>
  <si>
    <t>Passivos Financeiros / Ativo</t>
  </si>
  <si>
    <t>Recebíveis financeiros</t>
  </si>
  <si>
    <t>Resultado_Participacoes_Total</t>
  </si>
  <si>
    <t>▸Dividendos a receber</t>
  </si>
  <si>
    <t>Despesas_Proprias ≈ CMV+DespOp</t>
  </si>
  <si>
    <t>Passivos fiscais</t>
  </si>
  <si>
    <t>── resultado operacional ──</t>
  </si>
  <si>
    <t>▸ Tributos a Compensar .Circ</t>
  </si>
  <si>
    <t>Resultado_Operacional</t>
  </si>
  <si>
    <t>▸ Tributos a Compensar .N_Circ</t>
  </si>
  <si>
    <t>▸ IR / CS diferidos</t>
  </si>
  <si>
    <t>▸ Passivos por tributos correntes</t>
  </si>
  <si>
    <t>▸ Depósitos judiciais</t>
  </si>
  <si>
    <t>Lucro_líquido_Recorrente_Planilha</t>
  </si>
  <si>
    <t>▸Provisões operacionais</t>
  </si>
  <si>
    <t>▸ Passivos por tributos diferidos</t>
  </si>
  <si>
    <t>▸Provisões técnicas (seguros / previdência)</t>
  </si>
  <si>
    <t>Liquidez vs Passivos Técnicos</t>
  </si>
  <si>
    <t>▸Intangível / Imobilizado</t>
  </si>
  <si>
    <t>▸Demais provisões</t>
  </si>
  <si>
    <t>Investimentos Permanentes</t>
  </si>
  <si>
    <t>▸Passivos Fiscais Correntes e Diferidas</t>
  </si>
  <si>
    <t>Provisões</t>
  </si>
  <si>
    <t>▸Outros Passivos</t>
  </si>
  <si>
    <t>Participacoes_Fin_Pct</t>
  </si>
  <si>
    <t>▸ Investimentos societários</t>
  </si>
  <si>
    <t>Participacoes_NFin_Pct</t>
  </si>
  <si>
    <t>▸ Outros Investimentos</t>
  </si>
  <si>
    <t>▸ Provisões trabalhistas, fiscais e cíveis CP</t>
  </si>
  <si>
    <t>▸ Provisões trabalhistas, fiscais e cíveis LP</t>
  </si>
  <si>
    <t>Participação de investimentos</t>
  </si>
  <si>
    <t>Outros passivos</t>
  </si>
  <si>
    <t>Passivos financeiros</t>
  </si>
  <si>
    <t>▸ Outros passivos</t>
  </si>
  <si>
    <t>▸ Emp, financiamentos e debêntures .Circ</t>
  </si>
  <si>
    <t>▸ Margem Financeira com Clientes</t>
  </si>
  <si>
    <t>Crescimento da receita total</t>
  </si>
  <si>
    <t>▸ Emp, financiamentos e debêntures .N_Circ</t>
  </si>
  <si>
    <t>▸ Margem Financeira com o Mercado</t>
  </si>
  <si>
    <t>Obrigações societárias</t>
  </si>
  <si>
    <t>Liquidez vs Passivos Financeiros</t>
  </si>
  <si>
    <t>▸Capital social</t>
  </si>
  <si>
    <t>▸ Dividendos / JCP a pagar</t>
  </si>
  <si>
    <t>Participação do Setor Financeiro</t>
  </si>
  <si>
    <t>▸ Fornecedores .Circ</t>
  </si>
  <si>
    <t>Participação do Setor Não Financeiro</t>
  </si>
  <si>
    <t>▸ Ações em tesouraria</t>
  </si>
  <si>
    <t>▸ Fornecedores .N_Circ</t>
  </si>
  <si>
    <t>▸ Obrigações com pessoal</t>
  </si>
  <si>
    <t>▸ ORA</t>
  </si>
  <si>
    <t>▸ Receitas de prestação de serviços</t>
  </si>
  <si>
    <t>Crescimento do Resultado de Part.</t>
  </si>
  <si>
    <t>▸ Receitas de operações de seguros</t>
  </si>
  <si>
    <t>▸ Lucros acumulados</t>
  </si>
  <si>
    <t>Despesas com Sinistros</t>
  </si>
  <si>
    <t>▸ Tributos a recolher</t>
  </si>
  <si>
    <t>▸ Outros tributos diferidos</t>
  </si>
  <si>
    <t>Nota – Composição das despesas administrativa</t>
  </si>
  <si>
    <t>Despesas administrativas – detalhamento gerencial</t>
  </si>
  <si>
    <t>▸ Pessoal</t>
  </si>
  <si>
    <t>Receita Operacional</t>
  </si>
  <si>
    <t>▸ Operações e atendimento</t>
  </si>
  <si>
    <t>▸ Tecnologia</t>
  </si>
  <si>
    <t>▸ Outros Passivos .Circ</t>
  </si>
  <si>
    <t>▸ Outras despesas</t>
  </si>
  <si>
    <t>▸ América Latina</t>
  </si>
  <si>
    <t>Total ADM</t>
  </si>
  <si>
    <t>▸ Resultado de investimentos em participações societárias</t>
  </si>
  <si>
    <t>▸ Outros Passivos .N_Circ</t>
  </si>
  <si>
    <t>Nota - Margem Operacional</t>
  </si>
  <si>
    <t>Resultado Operacional (implícito)</t>
  </si>
  <si>
    <t>▸ Receitas de comissões</t>
  </si>
  <si>
    <t>▸ Custos dos serviços prestados</t>
  </si>
  <si>
    <t>Receita Operacional Total</t>
  </si>
  <si>
    <t>Outras Receitas e Despesas Operacionais</t>
  </si>
  <si>
    <t>PL+Passivo</t>
  </si>
  <si>
    <t>▸ Despesas com pessoal</t>
  </si>
  <si>
    <t>▸ Despesas administrativas e com vendas</t>
  </si>
  <si>
    <t>▸ Outras receitas operacionais</t>
  </si>
  <si>
    <t>▸ Outras despesas operacionais</t>
  </si>
  <si>
    <t>Resultado Operacional</t>
  </si>
  <si>
    <t>▸ ORA ( Avaliação Patrimonial)</t>
  </si>
  <si>
    <t>▸ Receitas financeiras</t>
  </si>
  <si>
    <t>Resultado de Participações</t>
  </si>
  <si>
    <t>▸ Despesas financeiras</t>
  </si>
  <si>
    <t>Lucro Antes do IR/CS</t>
  </si>
  <si>
    <t>▸ Setor Financeiro (Itaú Unibanco)</t>
  </si>
  <si>
    <t>▸ Setor Não Financeiro</t>
  </si>
  <si>
    <t>▸ Outros resultados</t>
  </si>
  <si>
    <t>Tributos</t>
  </si>
  <si>
    <t>Resultado Próprio</t>
  </si>
  <si>
    <t>▸ IR / CS</t>
  </si>
  <si>
    <t xml:space="preserve">▸ Despesas Administrativas </t>
  </si>
  <si>
    <t>▸ Doações Instituto Itaúsa</t>
  </si>
  <si>
    <t>▸ Outras Receitas (Despesas) Operacionais</t>
  </si>
  <si>
    <t>Lucro líquido Recorrente</t>
  </si>
  <si>
    <t>Resultado não recorrente</t>
  </si>
  <si>
    <t>TICKER</t>
  </si>
  <si>
    <t>BRBI11</t>
  </si>
  <si>
    <t>PL</t>
  </si>
  <si>
    <t>Valor_Mercado</t>
  </si>
  <si>
    <t>Valor_Taxa_Interna</t>
  </si>
  <si>
    <t>FCD</t>
  </si>
  <si>
    <t>▸ Títulos públicos</t>
  </si>
  <si>
    <t>Patrimônio líq. Media</t>
  </si>
  <si>
    <t>Margem Financeira</t>
  </si>
  <si>
    <t>▸ Títulos privados</t>
  </si>
  <si>
    <t>Cresc_PL</t>
  </si>
  <si>
    <t>↳ Títulos privados resultado</t>
  </si>
  <si>
    <t>── funding (≈ Dívida bruta) ──</t>
  </si>
  <si>
    <t>↳ Títulos privados abrangentes</t>
  </si>
  <si>
    <t>Captação Core Media adaptado</t>
  </si>
  <si>
    <t>▸ Fundos</t>
  </si>
  <si>
    <t>Cresc_Captacao adaptado</t>
  </si>
  <si>
    <t>↳ Fundos resultado</t>
  </si>
  <si>
    <t>── portfólio (≈ Carteira de crédito) ──</t>
  </si>
  <si>
    <t>↳ Fundos abrangentes</t>
  </si>
  <si>
    <t>Ativos Financeiros Media adaptado</t>
  </si>
  <si>
    <t>▸ Derivativos</t>
  </si>
  <si>
    <t>Cresc_AtivosFinanceiros adaptado</t>
  </si>
  <si>
    <t>▸ Operações de crédito</t>
  </si>
  <si>
    <t>▸ Outros ativos financeiros</t>
  </si>
  <si>
    <t>── spread de tesouraria (≈ NII do banco) ──</t>
  </si>
  <si>
    <t>Result. Financeiro ≈ NII</t>
  </si>
  <si>
    <t>Dividendos a receber</t>
  </si>
  <si>
    <t>Cresc_Result_Financeiro ≈ Cresc_NII</t>
  </si>
  <si>
    <t>── principal driver de valor ──</t>
  </si>
  <si>
    <t>Cresc_Servicos</t>
  </si>
  <si>
    <t>▸ Ativo fiscal diferido</t>
  </si>
  <si>
    <t>Market_Cap</t>
  </si>
  <si>
    <t>Ebit</t>
  </si>
  <si>
    <t>Cresc_Receita_Op</t>
  </si>
  <si>
    <t>YE</t>
  </si>
  <si>
    <t>── custos (≈ CMV + Despesas Op) ──</t>
  </si>
  <si>
    <t>Despesas_Op ≈ CMV+DespOp</t>
  </si>
  <si>
    <t>Cresc_Despesas_Op</t>
  </si>
  <si>
    <t>── resultado (≈ Lucro Bruto) ──</t>
  </si>
  <si>
    <t>Cresc_Result_Op</t>
  </si>
  <si>
    <t>── sem Inflação separado: usar como referência ──</t>
  </si>
  <si>
    <t>Passivos financeiros ao valor justo</t>
  </si>
  <si>
    <t>Captação / Passivos financeiros</t>
  </si>
  <si>
    <t>Lucro_Anual</t>
  </si>
  <si>
    <t>▸ Operações compromissadas</t>
  </si>
  <si>
    <t>Cresc_Lucro</t>
  </si>
  <si>
    <t>▸ Recursos de clientes</t>
  </si>
  <si>
    <t>▸ Emissão de títulos</t>
  </si>
  <si>
    <t>── substitui FCO: qualidade da receita ──</t>
  </si>
  <si>
    <t>▸ Outros passivos financeiros</t>
  </si>
  <si>
    <t>Fee_Income_Pct novo</t>
  </si>
  <si>
    <t>── substitui FCL: crescimento ──</t>
  </si>
  <si>
    <t>Derivativos passivos</t>
  </si>
  <si>
    <t>Ativos_Financeiros_Saldo novo</t>
  </si>
  <si>
    <t>▸ Fornecedores</t>
  </si>
  <si>
    <t>▸ Outros valores a pagar</t>
  </si>
  <si>
    <t>▸ Impostos a recolher</t>
  </si>
  <si>
    <t>Renda</t>
  </si>
  <si>
    <t>valor</t>
  </si>
  <si>
    <t>Selic</t>
  </si>
  <si>
    <t>IPCA</t>
  </si>
  <si>
    <t>Juros_Real</t>
  </si>
  <si>
    <t>Selic_Imposto</t>
  </si>
  <si>
    <t>Stock</t>
  </si>
  <si>
    <t>ult_balanco_processado</t>
  </si>
  <si>
    <t>qtd_acao</t>
  </si>
  <si>
    <t>cagr_receita_5a</t>
  </si>
  <si>
    <t>ativo</t>
  </si>
  <si>
    <t>disponibilidades</t>
  </si>
  <si>
    <t>divida_bruta</t>
  </si>
  <si>
    <t>patrimonio_liquido</t>
  </si>
  <si>
    <t>▸ Passivo fiscal corrente</t>
  </si>
  <si>
    <t>receita_liquida_12m</t>
  </si>
  <si>
    <t>ebit_12m</t>
  </si>
  <si>
    <t>lucro_liquido_12m</t>
  </si>
  <si>
    <t>beta_ibov_3a</t>
  </si>
  <si>
    <t>▸ Passivo fiscal diferido</t>
  </si>
  <si>
    <t>Nome</t>
  </si>
  <si>
    <t>Status</t>
  </si>
  <si>
    <t>Data/Hora</t>
  </si>
  <si>
    <t>Script_Acoes</t>
  </si>
  <si>
    <t>Participação de Ativos Financeiros</t>
  </si>
  <si>
    <t>OK ✅</t>
  </si>
  <si>
    <t>Selic_IPCA</t>
  </si>
  <si>
    <t>ITUB4</t>
  </si>
  <si>
    <t>CMIG3</t>
  </si>
  <si>
    <t>Alavancagem operacional (Receita / Despesa)</t>
  </si>
  <si>
    <t>ESTRUTURA DE RESULTADO</t>
  </si>
  <si>
    <t>Resultado Financeira</t>
  </si>
  <si>
    <t>Taxa efetiva de imposto</t>
  </si>
  <si>
    <t>▸Receitas de juros e ganhos</t>
  </si>
  <si>
    <t>Retenção de lucro</t>
  </si>
  <si>
    <t>▸Despesas de juros e perdas</t>
  </si>
  <si>
    <t>FCFE_Valor</t>
  </si>
  <si>
    <t>Excess_Return</t>
  </si>
  <si>
    <t>Receita de Serviços</t>
  </si>
  <si>
    <t>Demonstrativo Fluxo de Caixa</t>
  </si>
  <si>
    <t>▸Receitas de prestação de serviços</t>
  </si>
  <si>
    <t>Despesas Operacionais</t>
  </si>
  <si>
    <t>▸Despesas de pessoal</t>
  </si>
  <si>
    <t>▸Despesas administrativas</t>
  </si>
  <si>
    <t>▸Despesas tributárias</t>
  </si>
  <si>
    <t>▸Provisão por redução ao valor recuperável</t>
  </si>
  <si>
    <t>▸Outras receitas</t>
  </si>
  <si>
    <t>▸Outras despesas</t>
  </si>
  <si>
    <t>Tributos sobre o lucro</t>
  </si>
  <si>
    <t>Integralização de capital em investidas</t>
  </si>
  <si>
    <t>CAPEX / aquisição de imobilizado</t>
  </si>
  <si>
    <t>FCFin – Financiamento</t>
  </si>
  <si>
    <t>amortização de dívida</t>
  </si>
  <si>
    <t>Emissão</t>
  </si>
  <si>
    <t>Dividendos pagos</t>
  </si>
  <si>
    <t>Dividendos intercalares</t>
  </si>
  <si>
    <t>FCFin</t>
  </si>
  <si>
    <t>Receita</t>
  </si>
  <si>
    <t>Taxa_desconto</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</si>
</sst>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mm/yyyy"/>
    <numFmt numFmtId="165" formatCode="dd/MM/yyyy"/>
    <numFmt numFmtId="166" formatCode="[$R$ -416]#,##0.00"/>
    <numFmt numFmtId="167" formatCode="_(* #,##0.0_);_(* \(#,##0.0\);_(* &quot;-&quot;_);_(@_)"/>
    <numFmt numFmtId="168" formatCode="_(* #,##0_);_(* \(#,##0\);_(* &quot;-&quot;_);_(@_)"/>
    <numFmt numFmtId="169" formatCode="[$$]#,##0.00"/>
    <numFmt numFmtId="170" formatCode="m/d/yyyy h:mm:ss"/>
    <numFmt numFmtId="171" formatCode="0.0%"/>
  </numFmts>
  <fonts count="17">
    <font>
      <sz val="10.0"/>
      <color rgb="FF000000"/>
      <name val="Arial"/>
      <scheme val="minor"/>
    </font>
    <font>
      <color theme="1"/>
      <name val="Arial"/>
      <scheme val="minor"/>
    </font>
    <font>
      <color theme="1"/>
      <name val="Arial"/>
    </font>
    <font>
      <color rgb="FF00FFFF"/>
      <name val="Arial"/>
    </font>
    <font>
      <color rgb="FF00FFFF"/>
      <name val="Arial"/>
      <scheme val="minor"/>
    </font>
    <font>
      <sz val="9.0"/>
      <color theme="1"/>
      <name val="Google Sans Mono"/>
    </font>
    <font>
      <sz val="10.0"/>
      <color theme="1"/>
      <name val="Arial"/>
    </font>
    <font>
      <b/>
      <color theme="1"/>
      <name val="Arial"/>
      <scheme val="minor"/>
    </font>
    <font>
      <color theme="1"/>
      <name val="Roboto"/>
    </font>
    <font>
      <color rgb="FF434343"/>
      <name val="Roboto"/>
    </font>
    <font>
      <color rgb="FF434343"/>
      <name val="Arial"/>
      <scheme val="minor"/>
    </font>
    <font>
      <b/>
      <i/>
      <sz val="10.0"/>
      <color rgb="FF3D3D3A"/>
      <name val="Arial"/>
    </font>
    <font>
      <b/>
      <i/>
      <color theme="1"/>
      <name val="Arial"/>
    </font>
    <font>
      <b/>
      <color theme="1"/>
      <name val="Arial"/>
    </font>
    <font>
      <b/>
      <i/>
      <color rgb="FF3D3D3A"/>
      <name val="Arial"/>
    </font>
    <font>
      <b/>
      <color rgb="FF434343"/>
      <name val="Roboto"/>
    </font>
    <font>
      <b/>
      <color theme="1"/>
      <name val="Roboto"/>
    </font>
  </fonts>
  <fills count="25">
    <fill>
      <patternFill patternType="none"/>
    </fill>
    <fill>
      <patternFill patternType="lightGray"/>
    </fill>
    <fill>
      <patternFill patternType="solid">
        <fgColor rgb="FF000000"/>
        <bgColor rgb="FF000000"/>
      </patternFill>
    </fill>
    <fill>
      <patternFill patternType="solid">
        <fgColor rgb="FFFFFF00"/>
        <bgColor rgb="FFFFFF00"/>
      </patternFill>
    </fill>
    <fill>
      <patternFill patternType="solid">
        <fgColor rgb="FFFFF2CC"/>
        <bgColor rgb="FFFFF2CC"/>
      </patternFill>
    </fill>
    <fill>
      <patternFill patternType="solid">
        <fgColor rgb="FFD5A6BD"/>
        <bgColor rgb="FFD5A6BD"/>
      </patternFill>
    </fill>
    <fill>
      <patternFill patternType="solid">
        <fgColor rgb="FFFCE5CD"/>
        <bgColor rgb="FFFCE5CD"/>
      </patternFill>
    </fill>
    <fill>
      <patternFill patternType="solid">
        <fgColor rgb="FFCECECE"/>
        <bgColor rgb="FFCECECE"/>
      </patternFill>
    </fill>
    <fill>
      <patternFill patternType="solid">
        <fgColor rgb="FFF4CCCC"/>
        <bgColor rgb="FFF4CCCC"/>
      </patternFill>
    </fill>
    <fill>
      <patternFill patternType="solid">
        <fgColor rgb="FF00FFFF"/>
        <bgColor rgb="FF00FFFF"/>
      </patternFill>
    </fill>
    <fill>
      <patternFill patternType="solid">
        <fgColor rgb="FFC9DAF8"/>
        <bgColor rgb="FFC9DAF8"/>
      </patternFill>
    </fill>
    <fill>
      <patternFill patternType="solid">
        <fgColor rgb="FF9FC5E8"/>
        <bgColor rgb="FF9FC5E8"/>
      </patternFill>
    </fill>
    <fill>
      <patternFill patternType="solid">
        <fgColor theme="6"/>
        <bgColor theme="6"/>
      </patternFill>
    </fill>
    <fill>
      <patternFill patternType="solid">
        <fgColor rgb="FFFFFFFF"/>
        <bgColor rgb="FFFFFFFF"/>
      </patternFill>
    </fill>
    <fill>
      <patternFill patternType="solid">
        <fgColor rgb="FFF6F8F9"/>
        <bgColor rgb="FFF6F8F9"/>
      </patternFill>
    </fill>
    <fill>
      <patternFill patternType="solid">
        <fgColor rgb="FFF9CB9C"/>
        <bgColor rgb="FFF9CB9C"/>
      </patternFill>
    </fill>
    <fill>
      <patternFill patternType="solid">
        <fgColor rgb="FFD9EAD3"/>
        <bgColor rgb="FFD9EAD3"/>
      </patternFill>
    </fill>
    <fill>
      <patternFill patternType="solid">
        <fgColor rgb="FFD0E0E3"/>
        <bgColor rgb="FFD0E0E3"/>
      </patternFill>
    </fill>
    <fill>
      <patternFill patternType="solid">
        <fgColor rgb="FFCFE2F3"/>
        <bgColor rgb="FFCFE2F3"/>
      </patternFill>
    </fill>
    <fill>
      <patternFill patternType="solid">
        <fgColor rgb="FFEA9999"/>
        <bgColor rgb="FFEA9999"/>
      </patternFill>
    </fill>
    <fill>
      <patternFill patternType="solid">
        <fgColor rgb="FFFBBC04"/>
        <bgColor rgb="FFFBBC04"/>
      </patternFill>
    </fill>
    <fill>
      <patternFill patternType="solid">
        <fgColor rgb="FFFFE599"/>
        <bgColor rgb="FFFFE599"/>
      </patternFill>
    </fill>
    <fill>
      <patternFill patternType="solid">
        <fgColor rgb="FFF6B26B"/>
        <bgColor rgb="FFF6B26B"/>
      </patternFill>
    </fill>
    <fill>
      <patternFill patternType="solid">
        <fgColor rgb="FFCCCCCC"/>
        <bgColor rgb="FFCCCCCC"/>
      </patternFill>
    </fill>
    <fill>
      <patternFill patternType="solid">
        <fgColor rgb="FF93C47D"/>
        <bgColor rgb="FF93C47D"/>
      </patternFill>
    </fill>
  </fills>
  <borders count="14">
    <border/>
    <border>
      <bottom style="thin">
        <color rgb="FFD8D8D8"/>
      </bottom>
    </border>
    <border>
      <top style="thin">
        <color rgb="FFD0CECE"/>
      </top>
      <bottom style="thin">
        <color rgb="FFD8D8D8"/>
      </bottom>
    </border>
    <border>
      <left style="thin">
        <color rgb="FFFFFFFF"/>
      </left>
      <right style="thin">
        <color rgb="FF284E3F"/>
      </right>
      <top style="thin">
        <color rgb="FFFFFFFF"/>
      </top>
      <bottom style="thin">
        <color rgb="FFFFFFFF"/>
      </bottom>
    </border>
    <border>
      <left style="thin">
        <color rgb="FFF6F8F9"/>
      </left>
      <right style="thin">
        <color rgb="FF284E3F"/>
      </right>
      <top style="thin">
        <color rgb="FFF6F8F9"/>
      </top>
      <bottom style="thin">
        <color rgb="FFF6F8F9"/>
      </bottom>
    </border>
    <border>
      <left style="thin">
        <color rgb="FFF6F8F9"/>
      </left>
      <right style="thin">
        <color rgb="FF284E3F"/>
      </right>
      <top style="thin">
        <color rgb="FFF6F8F9"/>
      </top>
      <bottom style="thin">
        <color rgb="FF284E3F"/>
      </bottom>
    </border>
    <border>
      <top style="thin">
        <color rgb="FFD8D8D8"/>
      </top>
      <bottom style="thin">
        <color rgb="FFD8D8D8"/>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312">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ill="1" applyFont="1">
      <alignment readingOrder="0" vertical="bottom"/>
    </xf>
    <xf borderId="0" fillId="2" fontId="3" numFmtId="164" xfId="0" applyAlignment="1" applyFill="1" applyFont="1" applyNumberFormat="1">
      <alignment horizontal="right" vertical="bottom"/>
    </xf>
    <xf borderId="0" fillId="2" fontId="3" numFmtId="164" xfId="0" applyAlignment="1" applyFill="1" applyFont="1" applyNumberFormat="1">
      <alignment horizontal="right" readingOrder="0" vertical="bottom"/>
    </xf>
    <xf borderId="0" fillId="2" fontId="3" numFmtId="0" xfId="0" applyAlignment="1" applyFill="1" applyFont="1">
      <alignment vertical="bottom"/>
    </xf>
    <xf borderId="0" fillId="2" fontId="4" numFmtId="0" xfId="0" applyAlignment="1" applyFill="1" applyFont="1">
      <alignment readingOrder="0"/>
    </xf>
    <xf borderId="0" fillId="2" fontId="3" numFmtId="165" xfId="0" applyAlignment="1" applyFill="1" applyFont="1" applyNumberFormat="1">
      <alignment horizontal="right" readingOrder="0" vertical="bottom"/>
    </xf>
    <xf borderId="0" fillId="2" fontId="4" numFmtId="165" xfId="0" applyFill="1" applyFont="1" applyNumberFormat="1"/>
    <xf borderId="0" fillId="0" fontId="1" numFmtId="0" xfId="0" applyAlignment="1" applyFont="1">
      <alignment readingOrder="0"/>
    </xf>
    <xf borderId="0" fillId="3" fontId="1" numFmtId="0" xfId="0" applyAlignment="1" applyFill="1" applyFont="1">
      <alignment readingOrder="0"/>
    </xf>
    <xf borderId="0" fillId="2" fontId="3" numFmtId="0" xfId="0" applyAlignment="1" applyFill="1" applyFont="1">
      <alignment readingOrder="0" vertical="bottom"/>
    </xf>
    <xf borderId="0" fillId="2" fontId="4" numFmtId="166" xfId="0" applyFill="1" applyFont="1" applyNumberFormat="1"/>
    <xf borderId="0" fillId="2" fontId="4" numFmtId="4" xfId="0" applyAlignment="1" applyFill="1" applyFont="1" applyNumberFormat="1">
      <alignment shrinkToFit="0" wrapText="0"/>
    </xf>
    <xf borderId="0" fillId="2" fontId="3" numFmtId="4" xfId="0" applyAlignment="1" applyFill="1" applyFont="1" applyNumberFormat="1">
      <alignment horizontal="right" shrinkToFit="0" vertical="bottom" wrapText="0"/>
    </xf>
    <xf borderId="0" fillId="2" fontId="3" numFmtId="0" xfId="0" applyAlignment="1" applyFill="1" applyFont="1">
      <alignment shrinkToFit="0" vertical="bottom" wrapText="0"/>
    </xf>
    <xf borderId="0" fillId="2" fontId="4" numFmtId="0" xfId="0" applyAlignment="1" applyFill="1" applyFont="1">
      <alignment shrinkToFit="0" wrapText="0"/>
    </xf>
    <xf borderId="0" fillId="3" fontId="2" numFmtId="0" xfId="0" applyAlignment="1" applyFill="1" applyFont="1">
      <alignment vertical="bottom"/>
    </xf>
    <xf borderId="0" fillId="3" fontId="2" numFmtId="0" xfId="0" applyAlignment="1" applyFill="1" applyFont="1">
      <alignment horizontal="right" vertical="bottom"/>
    </xf>
    <xf borderId="0" fillId="0" fontId="2" numFmtId="10" xfId="0" applyAlignment="1" applyFont="1" applyNumberFormat="1">
      <alignment horizontal="right" vertical="bottom"/>
    </xf>
    <xf borderId="0" fillId="0" fontId="1" numFmtId="10" xfId="0" applyFont="1" applyNumberFormat="1"/>
    <xf borderId="0" fillId="0" fontId="2" numFmtId="4" xfId="0" applyAlignment="1" applyFont="1" applyNumberFormat="1">
      <alignment vertical="bottom"/>
    </xf>
    <xf borderId="0" fillId="0" fontId="2" numFmtId="0" xfId="0" applyAlignment="1" applyFont="1">
      <alignment vertical="bottom"/>
    </xf>
    <xf borderId="0" fillId="0" fontId="1" numFmtId="4" xfId="0" applyFont="1" applyNumberFormat="1"/>
    <xf borderId="0" fillId="4" fontId="1" numFmtId="0" xfId="0" applyAlignment="1" applyFill="1" applyFont="1">
      <alignment readingOrder="0"/>
    </xf>
    <xf borderId="0" fillId="4" fontId="2" numFmtId="0" xfId="0" applyAlignment="1" applyFill="1" applyFont="1">
      <alignment vertical="bottom"/>
    </xf>
    <xf borderId="0" fillId="4" fontId="1" numFmtId="166" xfId="0" applyFill="1" applyFont="1" applyNumberFormat="1"/>
    <xf borderId="0" fillId="0" fontId="1" numFmtId="4" xfId="0" applyAlignment="1" applyFont="1" applyNumberFormat="1">
      <alignment readingOrder="0"/>
    </xf>
    <xf borderId="0" fillId="0" fontId="2" numFmtId="4" xfId="0" applyAlignment="1" applyFont="1" applyNumberFormat="1">
      <alignment horizontal="right" vertical="bottom"/>
    </xf>
    <xf borderId="0" fillId="0" fontId="1" numFmtId="166" xfId="0" applyFont="1" applyNumberFormat="1"/>
    <xf borderId="1" fillId="0" fontId="2" numFmtId="4" xfId="0" applyAlignment="1" applyBorder="1" applyFont="1" applyNumberFormat="1">
      <alignment horizontal="right" readingOrder="0" vertical="bottom"/>
    </xf>
    <xf borderId="1" fillId="0" fontId="5" numFmtId="4" xfId="0" applyAlignment="1" applyBorder="1" applyFont="1" applyNumberFormat="1">
      <alignment horizontal="right" readingOrder="0" vertical="bottom"/>
    </xf>
    <xf borderId="0" fillId="0" fontId="1" numFmtId="3" xfId="0" applyAlignment="1" applyFont="1" applyNumberFormat="1">
      <alignment readingOrder="0"/>
    </xf>
    <xf borderId="0" fillId="0" fontId="1" numFmtId="167" xfId="0" applyAlignment="1" applyFont="1" applyNumberFormat="1">
      <alignment readingOrder="0"/>
    </xf>
    <xf borderId="1" fillId="0" fontId="2" numFmtId="4" xfId="0" applyBorder="1" applyFont="1" applyNumberFormat="1"/>
    <xf borderId="1" fillId="0" fontId="6" numFmtId="168" xfId="0" applyAlignment="1" applyBorder="1" applyFont="1" applyNumberFormat="1">
      <alignment horizontal="left" vertical="center"/>
    </xf>
    <xf borderId="1" fillId="0" fontId="2" numFmtId="4" xfId="0" applyAlignment="1" applyBorder="1" applyFont="1" applyNumberFormat="1">
      <alignment horizontal="right"/>
    </xf>
    <xf borderId="0" fillId="0" fontId="1" numFmtId="4" xfId="0" applyAlignment="1" applyFont="1" applyNumberFormat="1">
      <alignment horizontal="right" readingOrder="0"/>
    </xf>
    <xf borderId="1" fillId="0" fontId="6" numFmtId="4" xfId="0" applyAlignment="1" applyBorder="1" applyFont="1" applyNumberFormat="1">
      <alignment horizontal="right" vertical="center"/>
    </xf>
    <xf borderId="1" fillId="0" fontId="2" numFmtId="4" xfId="0" applyAlignment="1" applyBorder="1" applyFont="1" applyNumberFormat="1">
      <alignment readingOrder="0"/>
    </xf>
    <xf borderId="1" fillId="0" fontId="2" numFmtId="4" xfId="0" applyAlignment="1" applyBorder="1" applyFont="1" applyNumberFormat="1">
      <alignment horizontal="right" readingOrder="0"/>
    </xf>
    <xf borderId="1" fillId="0" fontId="2" numFmtId="4" xfId="0" applyAlignment="1" applyBorder="1" applyFont="1" applyNumberFormat="1">
      <alignment horizontal="right" vertical="bottom"/>
    </xf>
    <xf borderId="0" fillId="5" fontId="1" numFmtId="4" xfId="0" applyAlignment="1" applyFill="1" applyFont="1" applyNumberFormat="1">
      <alignment readingOrder="0"/>
    </xf>
    <xf borderId="0" fillId="5" fontId="1" numFmtId="0" xfId="0" applyAlignment="1" applyFill="1" applyFont="1">
      <alignment readingOrder="0"/>
    </xf>
    <xf borderId="0" fillId="0" fontId="2" numFmtId="10" xfId="0" applyAlignment="1" applyFont="1" applyNumberFormat="1">
      <alignment readingOrder="0" vertical="bottom"/>
    </xf>
    <xf borderId="0" fillId="4" fontId="2" numFmtId="166" xfId="0" applyAlignment="1" applyFill="1" applyFont="1" applyNumberFormat="1">
      <alignment horizontal="right" vertical="bottom"/>
    </xf>
    <xf borderId="1" fillId="0" fontId="2" numFmtId="168" xfId="0" applyBorder="1" applyFont="1" applyNumberFormat="1"/>
    <xf borderId="0" fillId="0" fontId="2" numFmtId="0" xfId="0" applyAlignment="1" applyFont="1">
      <alignment horizontal="right" vertical="bottom"/>
    </xf>
    <xf borderId="0" fillId="5" fontId="1" numFmtId="10" xfId="0" applyFill="1" applyFont="1" applyNumberFormat="1"/>
    <xf borderId="0" fillId="4" fontId="2" numFmtId="0" xfId="0" applyAlignment="1" applyFill="1" applyFont="1">
      <alignment readingOrder="0" vertical="bottom"/>
    </xf>
    <xf borderId="0" fillId="0" fontId="2" numFmtId="166" xfId="0" applyAlignment="1" applyFont="1" applyNumberFormat="1">
      <alignment horizontal="right" vertical="bottom"/>
    </xf>
    <xf borderId="0" fillId="0" fontId="2" numFmtId="0" xfId="0" applyAlignment="1" applyFont="1">
      <alignment readingOrder="0" vertical="bottom"/>
    </xf>
    <xf borderId="0" fillId="0" fontId="1" numFmtId="168" xfId="0" applyAlignment="1" applyFont="1" applyNumberFormat="1">
      <alignment readingOrder="0"/>
    </xf>
    <xf borderId="0" fillId="0" fontId="2" numFmtId="4" xfId="0" applyAlignment="1" applyFont="1" applyNumberFormat="1">
      <alignment horizontal="right" readingOrder="0" vertical="bottom"/>
    </xf>
    <xf borderId="2" fillId="0" fontId="2" numFmtId="4" xfId="0" applyAlignment="1" applyBorder="1" applyFont="1" applyNumberFormat="1">
      <alignment horizontal="right" readingOrder="0"/>
    </xf>
    <xf borderId="0" fillId="0" fontId="2" numFmtId="3" xfId="0" applyAlignment="1" applyFont="1" applyNumberFormat="1">
      <alignment vertical="bottom"/>
    </xf>
    <xf borderId="0" fillId="6" fontId="1" numFmtId="0" xfId="0" applyFill="1" applyFont="1"/>
    <xf borderId="0" fillId="6" fontId="1" numFmtId="4" xfId="0" applyAlignment="1" applyFill="1" applyFont="1" applyNumberFormat="1">
      <alignment readingOrder="0"/>
    </xf>
    <xf borderId="0" fillId="6" fontId="1" numFmtId="10" xfId="0" applyFill="1" applyFont="1" applyNumberFormat="1"/>
    <xf borderId="0" fillId="4" fontId="1" numFmtId="10" xfId="0" applyFill="1" applyFont="1" applyNumberFormat="1"/>
    <xf borderId="2" fillId="0" fontId="6" numFmtId="4" xfId="0" applyAlignment="1" applyBorder="1" applyFont="1" applyNumberFormat="1">
      <alignment readingOrder="0" vertical="center"/>
    </xf>
    <xf borderId="0" fillId="3" fontId="1" numFmtId="0" xfId="0" applyFill="1" applyFont="1"/>
    <xf borderId="0" fillId="7" fontId="1" numFmtId="0" xfId="0" applyAlignment="1" applyFill="1" applyFont="1">
      <alignment readingOrder="0"/>
    </xf>
    <xf borderId="0" fillId="7" fontId="1" numFmtId="0" xfId="0" applyFill="1" applyFont="1"/>
    <xf borderId="0" fillId="8" fontId="1" numFmtId="4" xfId="0" applyFill="1" applyFont="1" applyNumberFormat="1"/>
    <xf borderId="0" fillId="8" fontId="1" numFmtId="0" xfId="0" applyAlignment="1" applyFill="1" applyFont="1">
      <alignment readingOrder="0"/>
    </xf>
    <xf borderId="0" fillId="8" fontId="1" numFmtId="2" xfId="0" applyFill="1" applyFont="1" applyNumberFormat="1"/>
    <xf borderId="0" fillId="0" fontId="7" numFmtId="0" xfId="0" applyAlignment="1" applyFont="1">
      <alignment readingOrder="0"/>
    </xf>
    <xf borderId="0" fillId="9" fontId="2" numFmtId="2" xfId="0" applyAlignment="1" applyFill="1" applyFont="1" applyNumberFormat="1">
      <alignment horizontal="right" vertical="bottom"/>
    </xf>
    <xf borderId="0" fillId="9" fontId="2" numFmtId="0" xfId="0" applyAlignment="1" applyFill="1" applyFont="1">
      <alignment vertical="bottom"/>
    </xf>
    <xf borderId="0" fillId="10" fontId="7" numFmtId="0" xfId="0" applyAlignment="1" applyFill="1" applyFont="1">
      <alignment readingOrder="0"/>
    </xf>
    <xf borderId="0" fillId="8" fontId="2" numFmtId="0" xfId="0" applyAlignment="1" applyFill="1" applyFont="1">
      <alignment vertical="bottom"/>
    </xf>
    <xf borderId="0" fillId="11" fontId="1" numFmtId="0" xfId="0" applyAlignment="1" applyFill="1" applyFont="1">
      <alignment readingOrder="0"/>
    </xf>
    <xf borderId="0" fillId="8" fontId="1" numFmtId="10" xfId="0" applyFill="1" applyFont="1" applyNumberFormat="1"/>
    <xf borderId="0" fillId="7" fontId="1" numFmtId="10" xfId="0" applyFill="1" applyFont="1" applyNumberFormat="1"/>
    <xf borderId="0" fillId="0" fontId="1" numFmtId="2" xfId="0" applyAlignment="1" applyFont="1" applyNumberFormat="1">
      <alignment readingOrder="0"/>
    </xf>
    <xf borderId="0" fillId="4" fontId="2" numFmtId="0" xfId="0" applyAlignment="1" applyFill="1" applyFont="1">
      <alignment horizontal="right" vertical="bottom"/>
    </xf>
    <xf borderId="0" fillId="5" fontId="1" numFmtId="166" xfId="0" applyFill="1" applyFont="1" applyNumberFormat="1"/>
    <xf borderId="0" fillId="3" fontId="2" numFmtId="10" xfId="0" applyAlignment="1" applyFill="1" applyFont="1" applyNumberFormat="1">
      <alignment horizontal="right" vertical="bottom"/>
    </xf>
    <xf borderId="0" fillId="0" fontId="2" numFmtId="0" xfId="0" applyAlignment="1" applyFont="1">
      <alignment vertical="bottom"/>
    </xf>
    <xf borderId="0" fillId="12" fontId="1" numFmtId="0" xfId="0" applyFill="1" applyFont="1"/>
    <xf borderId="0" fillId="3" fontId="7" numFmtId="0" xfId="0" applyAlignment="1" applyFill="1" applyFont="1">
      <alignment readingOrder="0"/>
    </xf>
    <xf borderId="0" fillId="0" fontId="8" numFmtId="0" xfId="0" applyAlignment="1" applyFont="1">
      <alignment horizontal="left" readingOrder="0" shrinkToFit="0" vertical="center" wrapText="0"/>
    </xf>
    <xf borderId="0" fillId="0" fontId="9" numFmtId="0" xfId="0" applyAlignment="1" applyFont="1">
      <alignment readingOrder="0" shrinkToFit="0" wrapText="0"/>
    </xf>
    <xf borderId="0" fillId="0" fontId="1" numFmtId="4" xfId="0" applyAlignment="1" applyFont="1" applyNumberFormat="1">
      <alignment horizontal="left" readingOrder="0" shrinkToFit="0" vertical="center" wrapText="0"/>
    </xf>
    <xf borderId="0" fillId="0" fontId="8" numFmtId="4" xfId="0" applyAlignment="1" applyFont="1" applyNumberFormat="1">
      <alignment horizontal="left" readingOrder="0" shrinkToFit="0" vertical="center" wrapText="0"/>
    </xf>
    <xf borderId="0" fillId="4" fontId="1" numFmtId="0" xfId="0" applyFill="1" applyFont="1"/>
    <xf borderId="0" fillId="13" fontId="9" numFmtId="0" xfId="0" applyAlignment="1" applyFill="1" applyFont="1">
      <alignment shrinkToFit="0" vertical="center" wrapText="0"/>
    </xf>
    <xf borderId="0" fillId="13" fontId="9" numFmtId="4" xfId="0" applyAlignment="1" applyFill="1" applyFont="1" applyNumberFormat="1">
      <alignment shrinkToFit="0" vertical="center" wrapText="0"/>
    </xf>
    <xf borderId="0" fillId="13" fontId="9" numFmtId="0" xfId="0" applyAlignment="1" applyFill="1" applyFont="1">
      <alignment horizontal="right" shrinkToFit="0" vertical="center" wrapText="0"/>
    </xf>
    <xf borderId="0" fillId="13" fontId="9" numFmtId="166" xfId="0" applyAlignment="1" applyFill="1" applyFont="1" applyNumberFormat="1">
      <alignment shrinkToFit="0" vertical="center" wrapText="0"/>
    </xf>
    <xf borderId="0" fillId="13" fontId="2" numFmtId="166" xfId="0" applyAlignment="1" applyFill="1" applyFont="1" applyNumberFormat="1">
      <alignment shrinkToFit="0" vertical="center" wrapText="0"/>
    </xf>
    <xf borderId="0" fillId="14" fontId="9" numFmtId="4" xfId="0" applyAlignment="1" applyFill="1" applyFont="1" applyNumberFormat="1">
      <alignment readingOrder="0" shrinkToFit="0" vertical="center" wrapText="0"/>
    </xf>
    <xf borderId="0" fillId="0" fontId="1" numFmtId="0" xfId="0" applyAlignment="1" applyFont="1">
      <alignment horizontal="right" readingOrder="0" shrinkToFit="0" vertical="center" wrapText="0"/>
    </xf>
    <xf borderId="0" fillId="3" fontId="1" numFmtId="10" xfId="0" applyFill="1" applyFont="1" applyNumberFormat="1"/>
    <xf borderId="3" fillId="13" fontId="9" numFmtId="166" xfId="0" applyAlignment="1" applyBorder="1" applyFill="1" applyFont="1" applyNumberFormat="1">
      <alignment horizontal="right" shrinkToFit="0" vertical="center" wrapText="0"/>
    </xf>
    <xf borderId="0" fillId="12" fontId="1" numFmtId="4" xfId="0" applyFill="1" applyFont="1" applyNumberFormat="1"/>
    <xf borderId="0" fillId="14" fontId="9" numFmtId="0" xfId="0" applyAlignment="1" applyFill="1" applyFont="1">
      <alignment shrinkToFit="0" vertical="center" wrapText="0"/>
    </xf>
    <xf borderId="0" fillId="14" fontId="9" numFmtId="4" xfId="0" applyAlignment="1" applyFill="1" applyFont="1" applyNumberFormat="1">
      <alignment shrinkToFit="0" vertical="center" wrapText="0"/>
    </xf>
    <xf borderId="0" fillId="14" fontId="9" numFmtId="0" xfId="0" applyAlignment="1" applyFill="1" applyFont="1">
      <alignment horizontal="right" shrinkToFit="0" vertical="center" wrapText="0"/>
    </xf>
    <xf borderId="0" fillId="14" fontId="9" numFmtId="166" xfId="0" applyAlignment="1" applyFill="1" applyFont="1" applyNumberFormat="1">
      <alignment shrinkToFit="0" vertical="center" wrapText="0"/>
    </xf>
    <xf borderId="4" fillId="14" fontId="9" numFmtId="166" xfId="0" applyAlignment="1" applyBorder="1" applyFill="1" applyFont="1" applyNumberFormat="1">
      <alignment horizontal="right"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166" xfId="0" applyAlignment="1" applyFont="1" applyNumberFormat="1">
      <alignment shrinkToFit="0" vertical="center" wrapText="0"/>
    </xf>
    <xf borderId="0" fillId="13" fontId="9" numFmtId="4" xfId="0" applyAlignment="1" applyFill="1" applyFont="1" applyNumberFormat="1">
      <alignment readingOrder="0" shrinkToFit="0" vertical="center" wrapText="0"/>
    </xf>
    <xf borderId="0" fillId="0" fontId="1" numFmtId="166" xfId="0" applyAlignment="1" applyFont="1" applyNumberFormat="1">
      <alignment shrinkToFit="0" vertical="center" wrapText="0"/>
    </xf>
    <xf borderId="0" fillId="0" fontId="1" numFmtId="0" xfId="0" applyFont="1"/>
    <xf borderId="0" fillId="14" fontId="9" numFmtId="0" xfId="0" applyAlignment="1" applyFill="1" applyFont="1">
      <alignment readingOrder="0" shrinkToFit="0" vertical="center" wrapText="0"/>
    </xf>
    <xf borderId="0" fillId="11" fontId="1" numFmtId="4" xfId="0" applyAlignment="1" applyFill="1" applyFont="1" applyNumberFormat="1">
      <alignment readingOrder="0"/>
    </xf>
    <xf borderId="0" fillId="13" fontId="9" numFmtId="0" xfId="0" applyAlignment="1" applyFill="1" applyFont="1">
      <alignment readingOrder="0" shrinkToFit="0" vertical="center" wrapText="0"/>
    </xf>
    <xf borderId="0" fillId="11" fontId="1" numFmtId="10" xfId="0" applyFill="1" applyFont="1" applyNumberFormat="1"/>
    <xf borderId="0" fillId="15" fontId="9" numFmtId="0" xfId="0" applyAlignment="1" applyFill="1" applyFont="1">
      <alignment readingOrder="0" shrinkToFit="0" vertical="center" wrapText="0"/>
    </xf>
    <xf borderId="0" fillId="4" fontId="1" numFmtId="4" xfId="0" applyAlignment="1" applyFill="1" applyFont="1" applyNumberFormat="1">
      <alignment readingOrder="0"/>
    </xf>
    <xf borderId="5" fillId="14" fontId="9" numFmtId="10" xfId="0" applyAlignment="1" applyBorder="1" applyFill="1" applyFont="1" applyNumberFormat="1">
      <alignment horizontal="right" shrinkToFit="0" vertical="center" wrapText="0"/>
    </xf>
    <xf borderId="0" fillId="4" fontId="1" numFmtId="4" xfId="0" applyFill="1" applyFont="1" applyNumberFormat="1"/>
    <xf borderId="0" fillId="13" fontId="2" numFmtId="0" xfId="0" applyAlignment="1" applyFill="1" applyFont="1">
      <alignment shrinkToFit="0" vertical="center" wrapText="0"/>
    </xf>
    <xf borderId="6" fillId="0" fontId="1" numFmtId="0" xfId="0" applyBorder="1" applyFont="1"/>
    <xf borderId="0" fillId="0" fontId="2" numFmtId="10" xfId="0" applyAlignment="1" applyFont="1" applyNumberFormat="1">
      <alignment vertical="bottom"/>
    </xf>
    <xf borderId="0" fillId="0" fontId="1" numFmtId="10" xfId="0" applyAlignment="1" applyFont="1" applyNumberFormat="1">
      <alignment shrinkToFit="0" vertical="center" wrapText="0"/>
    </xf>
    <xf borderId="0" fillId="11" fontId="1" numFmtId="4" xfId="0" applyFill="1" applyFont="1" applyNumberFormat="1"/>
    <xf borderId="0" fillId="16" fontId="1" numFmtId="0" xfId="0" applyAlignment="1" applyFill="1" applyFont="1">
      <alignment readingOrder="0"/>
    </xf>
    <xf borderId="0" fillId="16" fontId="1" numFmtId="4" xfId="0" applyAlignment="1" applyFill="1" applyFont="1" applyNumberFormat="1">
      <alignment readingOrder="0"/>
    </xf>
    <xf borderId="0" fillId="16" fontId="1" numFmtId="10" xfId="0" applyFill="1" applyFont="1" applyNumberFormat="1"/>
    <xf borderId="0" fillId="0" fontId="1" numFmtId="10" xfId="0" applyAlignment="1" applyFont="1" applyNumberFormat="1">
      <alignment readingOrder="0"/>
    </xf>
    <xf borderId="6" fillId="0" fontId="1" numFmtId="0" xfId="0" applyAlignment="1" applyBorder="1" applyFont="1">
      <alignment readingOrder="0"/>
    </xf>
    <xf borderId="0" fillId="17" fontId="1" numFmtId="0" xfId="0" applyAlignment="1" applyFill="1" applyFont="1">
      <alignment readingOrder="0" shrinkToFit="0" wrapText="0"/>
    </xf>
    <xf borderId="0" fillId="17" fontId="1" numFmtId="4" xfId="0" applyAlignment="1" applyFill="1" applyFont="1" applyNumberFormat="1">
      <alignment readingOrder="0"/>
    </xf>
    <xf borderId="0" fillId="17" fontId="1" numFmtId="10" xfId="0" applyFill="1" applyFont="1" applyNumberFormat="1"/>
    <xf borderId="0" fillId="11" fontId="7" numFmtId="0" xfId="0" applyAlignment="1" applyFill="1" applyFont="1">
      <alignment readingOrder="0"/>
    </xf>
    <xf borderId="0" fillId="11" fontId="7" numFmtId="4" xfId="0" applyAlignment="1" applyFill="1" applyFont="1" applyNumberFormat="1">
      <alignment readingOrder="0"/>
    </xf>
    <xf borderId="0" fillId="10" fontId="1" numFmtId="0" xfId="0" applyAlignment="1" applyFill="1" applyFont="1">
      <alignment readingOrder="0"/>
    </xf>
    <xf borderId="0" fillId="10" fontId="1" numFmtId="4" xfId="0" applyAlignment="1" applyFill="1" applyFont="1" applyNumberFormat="1">
      <alignment readingOrder="0"/>
    </xf>
    <xf borderId="0" fillId="10" fontId="1" numFmtId="10" xfId="0" applyFill="1" applyFont="1" applyNumberFormat="1"/>
    <xf borderId="0" fillId="15" fontId="1" numFmtId="0" xfId="0" applyAlignment="1" applyFill="1" applyFont="1">
      <alignment readingOrder="0"/>
    </xf>
    <xf borderId="0" fillId="15" fontId="1" numFmtId="166" xfId="0" applyFill="1" applyFont="1" applyNumberFormat="1"/>
    <xf borderId="0" fillId="8" fontId="1" numFmtId="4" xfId="0" applyAlignment="1" applyFill="1" applyFont="1" applyNumberFormat="1">
      <alignment readingOrder="0"/>
    </xf>
    <xf borderId="0" fillId="18" fontId="1" numFmtId="0" xfId="0" applyAlignment="1" applyFill="1" applyFont="1">
      <alignment readingOrder="0"/>
    </xf>
    <xf borderId="0" fillId="18" fontId="1" numFmtId="4" xfId="0" applyAlignment="1" applyFill="1" applyFont="1" applyNumberFormat="1">
      <alignment readingOrder="0"/>
    </xf>
    <xf borderId="0" fillId="18" fontId="1" numFmtId="10" xfId="0" applyFill="1" applyFont="1" applyNumberFormat="1"/>
    <xf borderId="0" fillId="11" fontId="7" numFmtId="4" xfId="0" applyFill="1" applyFont="1" applyNumberFormat="1"/>
    <xf borderId="0" fillId="6" fontId="1" numFmtId="0" xfId="0" applyAlignment="1" applyFill="1" applyFont="1">
      <alignment readingOrder="0"/>
    </xf>
    <xf borderId="0" fillId="0" fontId="1" numFmtId="166" xfId="0" applyFont="1" applyNumberFormat="1"/>
    <xf borderId="0" fillId="0" fontId="1" numFmtId="2" xfId="0" applyFont="1" applyNumberFormat="1"/>
    <xf borderId="0" fillId="0" fontId="1" numFmtId="0" xfId="0" applyAlignment="1" applyFont="1">
      <alignment horizontal="center" readingOrder="0"/>
    </xf>
    <xf borderId="0" fillId="0" fontId="2" numFmtId="2" xfId="0" applyAlignment="1" applyFont="1" applyNumberFormat="1">
      <alignment horizontal="right" vertical="bottom"/>
    </xf>
    <xf borderId="0" fillId="0" fontId="7" numFmtId="4" xfId="0" applyFont="1" applyNumberFormat="1"/>
    <xf borderId="0" fillId="0" fontId="2" numFmtId="2" xfId="0" applyAlignment="1" applyFont="1" applyNumberFormat="1">
      <alignment horizontal="right" readingOrder="0" vertical="bottom"/>
    </xf>
    <xf borderId="0" fillId="0" fontId="2" numFmtId="0" xfId="0" applyAlignment="1" applyFont="1">
      <alignment horizontal="center" vertical="bottom"/>
    </xf>
    <xf borderId="0" fillId="0" fontId="2" numFmtId="0" xfId="0" applyAlignment="1" applyFont="1">
      <alignment readingOrder="0" vertical="bottom"/>
    </xf>
    <xf borderId="0" fillId="0" fontId="1" numFmtId="0" xfId="0" applyAlignment="1" applyFont="1">
      <alignment readingOrder="0" shrinkToFit="0" wrapText="0"/>
    </xf>
    <xf borderId="0" fillId="13" fontId="1" numFmtId="0" xfId="0" applyFill="1" applyFont="1"/>
    <xf borderId="0" fillId="13" fontId="2" numFmtId="0" xfId="0" applyAlignment="1" applyFill="1" applyFont="1">
      <alignment vertical="bottom"/>
    </xf>
    <xf borderId="0" fillId="13" fontId="2" numFmtId="0" xfId="0" applyAlignment="1" applyFill="1" applyFont="1">
      <alignment vertical="bottom"/>
    </xf>
    <xf borderId="0" fillId="0" fontId="2" numFmtId="166" xfId="0" applyAlignment="1" applyFont="1" applyNumberFormat="1">
      <alignment horizontal="right" vertical="bottom"/>
    </xf>
    <xf borderId="0" fillId="13" fontId="2" numFmtId="10" xfId="0" applyAlignment="1" applyFill="1" applyFont="1" applyNumberFormat="1">
      <alignment vertical="bottom"/>
    </xf>
    <xf borderId="0" fillId="13" fontId="2" numFmtId="166" xfId="0" applyAlignment="1" applyFill="1" applyFont="1" applyNumberFormat="1">
      <alignment horizontal="right" vertical="bottom"/>
    </xf>
    <xf borderId="0" fillId="13" fontId="1" numFmtId="10" xfId="0" applyFill="1" applyFont="1" applyNumberFormat="1"/>
    <xf borderId="0" fillId="0" fontId="7" numFmtId="4" xfId="0" applyAlignment="1" applyFont="1" applyNumberFormat="1">
      <alignment readingOrder="0"/>
    </xf>
    <xf borderId="0" fillId="13" fontId="2" numFmtId="4" xfId="0" applyAlignment="1" applyFill="1" applyFont="1" applyNumberFormat="1">
      <alignment horizontal="right" vertical="bottom"/>
    </xf>
    <xf borderId="0" fillId="0" fontId="7" numFmtId="10" xfId="0" applyFont="1" applyNumberFormat="1"/>
    <xf borderId="0" fillId="13" fontId="2" numFmtId="4" xfId="0" applyAlignment="1" applyFill="1" applyFont="1" applyNumberFormat="1">
      <alignment vertical="bottom"/>
    </xf>
    <xf borderId="0" fillId="13" fontId="1" numFmtId="4" xfId="0" applyFill="1" applyFont="1" applyNumberFormat="1"/>
    <xf borderId="0" fillId="6" fontId="7" numFmtId="0" xfId="0" applyAlignment="1" applyFill="1" applyFont="1">
      <alignment readingOrder="0"/>
    </xf>
    <xf borderId="0" fillId="6" fontId="7" numFmtId="4" xfId="0" applyAlignment="1" applyFill="1" applyFont="1" applyNumberFormat="1">
      <alignment readingOrder="0"/>
    </xf>
    <xf borderId="2" fillId="0" fontId="6" numFmtId="168" xfId="0" applyAlignment="1" applyBorder="1" applyFont="1" applyNumberFormat="1">
      <alignment readingOrder="0" vertical="center"/>
    </xf>
    <xf borderId="2" fillId="0" fontId="6" numFmtId="168" xfId="0" applyAlignment="1" applyBorder="1" applyFont="1" applyNumberFormat="1">
      <alignment vertical="center"/>
    </xf>
    <xf borderId="6" fillId="0" fontId="6" numFmtId="0" xfId="0" applyAlignment="1" applyBorder="1" applyFont="1">
      <alignment horizontal="left" vertical="center"/>
    </xf>
    <xf borderId="0" fillId="0" fontId="10" numFmtId="166" xfId="0" applyAlignment="1" applyFont="1" applyNumberFormat="1">
      <alignment shrinkToFit="0" wrapText="0"/>
    </xf>
    <xf borderId="2" fillId="0" fontId="2" numFmtId="4" xfId="0" applyAlignment="1" applyBorder="1" applyFont="1" applyNumberFormat="1">
      <alignment horizontal="right"/>
    </xf>
    <xf borderId="0" fillId="2" fontId="3" numFmtId="166" xfId="0" applyAlignment="1" applyFill="1" applyFont="1" applyNumberFormat="1">
      <alignment horizontal="right" vertical="bottom"/>
    </xf>
    <xf borderId="0" fillId="3" fontId="2" numFmtId="0" xfId="0" applyAlignment="1" applyFill="1" applyFont="1">
      <alignment horizontal="right" vertical="bottom"/>
    </xf>
    <xf borderId="0" fillId="0" fontId="2" numFmtId="3" xfId="0" applyAlignment="1" applyFont="1" applyNumberFormat="1">
      <alignment horizontal="right" vertical="bottom"/>
    </xf>
    <xf borderId="1" fillId="0" fontId="2" numFmtId="168" xfId="0" applyAlignment="1" applyBorder="1" applyFont="1" applyNumberFormat="1">
      <alignment readingOrder="0"/>
    </xf>
    <xf borderId="0" fillId="0" fontId="2" numFmtId="167" xfId="0" applyAlignment="1" applyFont="1" applyNumberFormat="1">
      <alignment horizontal="right" vertical="bottom"/>
    </xf>
    <xf borderId="1" fillId="0" fontId="2" numFmtId="4" xfId="0" applyAlignment="1" applyBorder="1" applyFont="1" applyNumberFormat="1">
      <alignment vertical="bottom"/>
    </xf>
    <xf borderId="0" fillId="0" fontId="2" numFmtId="0" xfId="0" applyAlignment="1" applyFont="1">
      <alignment horizontal="right" vertical="bottom"/>
    </xf>
    <xf borderId="1" fillId="0" fontId="2" numFmtId="168" xfId="0" applyAlignment="1" applyBorder="1" applyFont="1" applyNumberFormat="1">
      <alignment vertical="bottom"/>
    </xf>
    <xf borderId="0" fillId="3" fontId="2" numFmtId="0" xfId="0" applyAlignment="1" applyFill="1" applyFont="1">
      <alignment horizontal="right" readingOrder="0" vertical="bottom"/>
    </xf>
    <xf borderId="0" fillId="4" fontId="2" numFmtId="0" xfId="0" applyAlignment="1" applyFill="1" applyFont="1">
      <alignment vertical="bottom"/>
    </xf>
    <xf borderId="0" fillId="0" fontId="2" numFmtId="2" xfId="0" applyAlignment="1" applyFont="1" applyNumberFormat="1">
      <alignment vertical="bottom"/>
    </xf>
    <xf borderId="0" fillId="2" fontId="3" numFmtId="165" xfId="0" applyAlignment="1" applyFill="1" applyFont="1" applyNumberFormat="1">
      <alignment horizontal="right" vertical="bottom"/>
    </xf>
    <xf borderId="0" fillId="8" fontId="2" numFmtId="4" xfId="0" applyAlignment="1" applyFill="1" applyFont="1" applyNumberFormat="1">
      <alignment horizontal="right" vertical="bottom"/>
    </xf>
    <xf borderId="0" fillId="0" fontId="2" numFmtId="0" xfId="0" applyAlignment="1" applyFont="1">
      <alignment horizontal="right" readingOrder="0" vertical="bottom"/>
    </xf>
    <xf borderId="0" fillId="8" fontId="2" numFmtId="2" xfId="0" applyAlignment="1" applyFill="1" applyFont="1" applyNumberFormat="1">
      <alignment horizontal="right" vertical="bottom"/>
    </xf>
    <xf borderId="0" fillId="8" fontId="2" numFmtId="10" xfId="0" applyAlignment="1" applyFill="1" applyFont="1" applyNumberFormat="1">
      <alignment horizontal="right" vertical="bottom"/>
    </xf>
    <xf borderId="0" fillId="8" fontId="2" numFmtId="10" xfId="0" applyAlignment="1" applyFill="1" applyFont="1" applyNumberFormat="1">
      <alignment vertical="bottom"/>
    </xf>
    <xf borderId="0" fillId="7" fontId="2" numFmtId="0" xfId="0" applyAlignment="1" applyFill="1" applyFont="1">
      <alignment vertical="bottom"/>
    </xf>
    <xf borderId="0" fillId="7" fontId="2" numFmtId="10" xfId="0" applyAlignment="1" applyFill="1" applyFont="1" applyNumberFormat="1">
      <alignment horizontal="right" vertical="bottom"/>
    </xf>
    <xf borderId="0" fillId="4" fontId="11" numFmtId="0" xfId="0" applyAlignment="1" applyFill="1" applyFont="1">
      <alignment readingOrder="0" shrinkToFit="0" wrapText="0"/>
    </xf>
    <xf borderId="0" fillId="8" fontId="2" numFmtId="0" xfId="0" applyAlignment="1" applyFill="1" applyFont="1">
      <alignment vertical="bottom"/>
    </xf>
    <xf borderId="0" fillId="8" fontId="2" numFmtId="0" xfId="0" applyAlignment="1" applyFill="1" applyFont="1">
      <alignment readingOrder="0" vertical="bottom"/>
    </xf>
    <xf borderId="0" fillId="0" fontId="2" numFmtId="166" xfId="0" applyAlignment="1" applyFont="1" applyNumberFormat="1">
      <alignment vertical="bottom"/>
    </xf>
    <xf borderId="0" fillId="8" fontId="1" numFmtId="166" xfId="0" applyFill="1" applyFont="1" applyNumberFormat="1"/>
    <xf borderId="0" fillId="8" fontId="2" numFmtId="4" xfId="0" applyAlignment="1" applyFill="1" applyFont="1" applyNumberFormat="1">
      <alignment vertical="bottom"/>
    </xf>
    <xf borderId="0" fillId="4" fontId="12" numFmtId="0" xfId="0" applyAlignment="1" applyFill="1" applyFont="1">
      <alignment readingOrder="0" vertical="bottom"/>
    </xf>
    <xf borderId="0" fillId="8" fontId="2" numFmtId="166" xfId="0" applyAlignment="1" applyFill="1" applyFont="1" applyNumberFormat="1">
      <alignment horizontal="right" vertical="bottom"/>
    </xf>
    <xf borderId="0" fillId="0" fontId="1" numFmtId="9" xfId="0" applyAlignment="1" applyFont="1" applyNumberFormat="1">
      <alignment readingOrder="0"/>
    </xf>
    <xf borderId="0" fillId="3" fontId="2" numFmtId="0" xfId="0" applyAlignment="1" applyFill="1" applyFont="1">
      <alignment readingOrder="0" vertical="bottom"/>
    </xf>
    <xf borderId="0" fillId="0" fontId="2" numFmtId="4" xfId="0" applyAlignment="1" applyFont="1" applyNumberFormat="1">
      <alignment readingOrder="0" vertical="bottom"/>
    </xf>
    <xf borderId="0" fillId="3" fontId="2" numFmtId="0" xfId="0" applyAlignment="1" applyFill="1" applyFont="1">
      <alignment vertical="bottom"/>
    </xf>
    <xf borderId="0" fillId="0" fontId="2" numFmtId="168" xfId="0" applyAlignment="1" applyFont="1" applyNumberFormat="1">
      <alignment vertical="bottom"/>
    </xf>
    <xf borderId="0" fillId="10" fontId="1" numFmtId="4" xfId="0" applyFill="1" applyFont="1" applyNumberFormat="1"/>
    <xf borderId="0" fillId="0" fontId="1" numFmtId="169" xfId="0" applyAlignment="1" applyFont="1" applyNumberFormat="1">
      <alignment readingOrder="0"/>
    </xf>
    <xf borderId="0" fillId="0" fontId="8" numFmtId="10" xfId="0" applyAlignment="1" applyFont="1" applyNumberFormat="1">
      <alignment horizontal="left" readingOrder="0" shrinkToFit="0" vertical="center" wrapText="0"/>
    </xf>
    <xf borderId="7" fillId="13" fontId="9" numFmtId="0" xfId="0" applyAlignment="1" applyBorder="1" applyFill="1" applyFont="1">
      <alignment shrinkToFit="0" vertical="center" wrapText="0"/>
    </xf>
    <xf borderId="8" fillId="13" fontId="9" numFmtId="4" xfId="0" applyAlignment="1" applyBorder="1" applyFill="1" applyFont="1" applyNumberFormat="1">
      <alignment horizontal="right" shrinkToFit="0" vertical="center" wrapText="0"/>
    </xf>
    <xf borderId="8" fillId="13" fontId="9" numFmtId="0" xfId="0" applyAlignment="1" applyBorder="1" applyFill="1" applyFont="1">
      <alignment horizontal="right" shrinkToFit="0" vertical="center" wrapText="0"/>
    </xf>
    <xf borderId="8" fillId="13" fontId="9" numFmtId="166" xfId="0" applyAlignment="1" applyBorder="1" applyFill="1" applyFont="1" applyNumberFormat="1">
      <alignment horizontal="right" shrinkToFit="0" vertical="center" wrapText="0"/>
    </xf>
    <xf borderId="8" fillId="13" fontId="2" numFmtId="166" xfId="0" applyAlignment="1" applyBorder="1" applyFill="1" applyFont="1" applyNumberFormat="1">
      <alignment shrinkToFit="0" vertical="center" wrapText="0"/>
    </xf>
    <xf borderId="9" fillId="14" fontId="9" numFmtId="0" xfId="0" applyAlignment="1" applyBorder="1" applyFill="1" applyFont="1">
      <alignment shrinkToFit="0" vertical="center" wrapText="0"/>
    </xf>
    <xf borderId="10" fillId="14" fontId="9" numFmtId="4" xfId="0" applyAlignment="1" applyBorder="1" applyFill="1" applyFont="1" applyNumberFormat="1">
      <alignment horizontal="right" shrinkToFit="0" vertical="center" wrapText="0"/>
    </xf>
    <xf borderId="10" fillId="14" fontId="9" numFmtId="0" xfId="0" applyAlignment="1" applyBorder="1" applyFill="1" applyFont="1">
      <alignment horizontal="right" shrinkToFit="0" vertical="center" wrapText="0"/>
    </xf>
    <xf borderId="10" fillId="14" fontId="9" numFmtId="166" xfId="0" applyAlignment="1" applyBorder="1" applyFill="1" applyFont="1" applyNumberFormat="1">
      <alignment horizontal="right" shrinkToFit="0" vertical="center" wrapText="0"/>
    </xf>
    <xf borderId="0" fillId="0" fontId="2" numFmtId="166" xfId="0" applyAlignment="1" applyFont="1" applyNumberFormat="1">
      <alignment vertical="bottom"/>
    </xf>
    <xf borderId="0" fillId="9" fontId="1" numFmtId="10" xfId="0" applyFill="1" applyFont="1" applyNumberFormat="1"/>
    <xf borderId="0" fillId="9" fontId="1" numFmtId="0" xfId="0" applyAlignment="1" applyFill="1" applyFont="1">
      <alignment readingOrder="0"/>
    </xf>
    <xf borderId="0" fillId="0" fontId="2" numFmtId="166" xfId="0" applyAlignment="1" applyFont="1" applyNumberFormat="1">
      <alignment horizontal="right" readingOrder="0" vertical="bottom"/>
    </xf>
    <xf borderId="3" fillId="13" fontId="9" numFmtId="4" xfId="0" applyAlignment="1" applyBorder="1" applyFill="1" applyFont="1" applyNumberFormat="1">
      <alignment horizontal="right" readingOrder="0" shrinkToFit="0" vertical="center" wrapText="0"/>
    </xf>
    <xf borderId="0" fillId="10" fontId="1" numFmtId="0" xfId="0" applyFill="1" applyFont="1"/>
    <xf borderId="4" fillId="14" fontId="2" numFmtId="4" xfId="0" applyAlignment="1" applyBorder="1" applyFill="1" applyFont="1" applyNumberFormat="1">
      <alignment shrinkToFit="0" vertical="center" wrapText="0"/>
    </xf>
    <xf borderId="11" fillId="13" fontId="9" numFmtId="0" xfId="0" applyAlignment="1" applyBorder="1" applyFill="1" applyFont="1">
      <alignment shrinkToFit="0" vertical="center" wrapText="0"/>
    </xf>
    <xf borderId="12" fillId="13" fontId="9" numFmtId="4" xfId="0" applyAlignment="1" applyBorder="1" applyFill="1" applyFont="1" applyNumberFormat="1">
      <alignment horizontal="right" shrinkToFit="0" vertical="center" wrapText="0"/>
    </xf>
    <xf borderId="12" fillId="13" fontId="2" numFmtId="0" xfId="0" applyAlignment="1" applyBorder="1" applyFill="1" applyFont="1">
      <alignment shrinkToFit="0" vertical="center" wrapText="0"/>
    </xf>
    <xf borderId="12" fillId="13" fontId="2" numFmtId="166" xfId="0" applyAlignment="1" applyBorder="1" applyFill="1" applyFont="1" applyNumberFormat="1">
      <alignment shrinkToFit="0" vertical="center" wrapText="0"/>
    </xf>
    <xf borderId="12" fillId="13" fontId="9" numFmtId="166" xfId="0" applyAlignment="1" applyBorder="1" applyFill="1" applyFont="1" applyNumberFormat="1">
      <alignment horizontal="right" shrinkToFit="0" vertical="center" wrapText="0"/>
    </xf>
    <xf borderId="13" fillId="13" fontId="2" numFmtId="4" xfId="0" applyAlignment="1" applyBorder="1" applyFill="1" applyFont="1" applyNumberFormat="1">
      <alignment shrinkToFit="0" vertical="center" wrapText="0"/>
    </xf>
    <xf borderId="0" fillId="12" fontId="1" numFmtId="0" xfId="0" applyAlignment="1" applyFill="1" applyFont="1">
      <alignment readingOrder="0"/>
    </xf>
    <xf borderId="0" fillId="6" fontId="1" numFmtId="10" xfId="0" applyAlignment="1" applyFill="1" applyFont="1" applyNumberFormat="1">
      <alignment readingOrder="0"/>
    </xf>
    <xf borderId="0" fillId="0" fontId="1" numFmtId="166" xfId="0" applyAlignment="1" applyFont="1" applyNumberFormat="1">
      <alignment readingOrder="0"/>
    </xf>
    <xf borderId="0" fillId="17" fontId="1" numFmtId="0" xfId="0" applyAlignment="1" applyFill="1" applyFont="1">
      <alignment readingOrder="0"/>
    </xf>
    <xf borderId="0" fillId="10" fontId="2" numFmtId="0" xfId="0" applyAlignment="1" applyFill="1" applyFont="1">
      <alignment vertical="bottom"/>
    </xf>
    <xf borderId="0" fillId="0" fontId="13" numFmtId="4" xfId="0" applyAlignment="1" applyFont="1" applyNumberFormat="1">
      <alignment horizontal="right" vertical="bottom"/>
    </xf>
    <xf borderId="0" fillId="10" fontId="2" numFmtId="0" xfId="0" applyAlignment="1" applyFill="1" applyFont="1">
      <alignment vertical="bottom"/>
    </xf>
    <xf borderId="0" fillId="10" fontId="13" numFmtId="4" xfId="0" applyAlignment="1" applyFill="1" applyFont="1" applyNumberFormat="1">
      <alignment horizontal="right" vertical="bottom"/>
    </xf>
    <xf borderId="0" fillId="19" fontId="2" numFmtId="0" xfId="0" applyAlignment="1" applyFill="1" applyFont="1">
      <alignment vertical="bottom"/>
    </xf>
    <xf borderId="0" fillId="19" fontId="13" numFmtId="4" xfId="0" applyAlignment="1" applyFill="1" applyFont="1" applyNumberFormat="1">
      <alignment horizontal="right" vertical="bottom"/>
    </xf>
    <xf borderId="0" fillId="19" fontId="2" numFmtId="10" xfId="0" applyAlignment="1" applyFill="1" applyFont="1" applyNumberFormat="1">
      <alignment horizontal="right" vertical="bottom"/>
    </xf>
    <xf borderId="0" fillId="20" fontId="1" numFmtId="0" xfId="0" applyFill="1" applyFont="1"/>
    <xf borderId="0" fillId="20" fontId="1" numFmtId="10" xfId="0" applyFill="1" applyFont="1" applyNumberFormat="1"/>
    <xf borderId="0" fillId="20" fontId="1" numFmtId="3" xfId="0" applyAlignment="1" applyFill="1" applyFont="1" applyNumberFormat="1">
      <alignment readingOrder="0"/>
    </xf>
    <xf borderId="0" fillId="20" fontId="1" numFmtId="4" xfId="0" applyFill="1" applyFont="1" applyNumberFormat="1"/>
    <xf borderId="0" fillId="10" fontId="7" numFmtId="4" xfId="0" applyAlignment="1" applyFill="1" applyFont="1" applyNumberFormat="1">
      <alignment readingOrder="0"/>
    </xf>
    <xf borderId="0" fillId="10" fontId="7" numFmtId="4" xfId="0" applyFill="1" applyFont="1" applyNumberFormat="1"/>
    <xf borderId="0" fillId="21" fontId="1" numFmtId="4" xfId="0" applyAlignment="1" applyFill="1" applyFont="1" applyNumberFormat="1">
      <alignment readingOrder="0"/>
    </xf>
    <xf borderId="0" fillId="4" fontId="14" numFmtId="0" xfId="0" applyAlignment="1" applyFill="1" applyFont="1">
      <alignment horizontal="center" readingOrder="0" vertical="bottom"/>
    </xf>
    <xf borderId="0" fillId="4" fontId="12" numFmtId="0" xfId="0" applyAlignment="1" applyFill="1" applyFont="1">
      <alignment horizontal="center" readingOrder="0" vertical="bottom"/>
    </xf>
    <xf borderId="0" fillId="3" fontId="2" numFmtId="0" xfId="0" applyAlignment="1" applyFill="1" applyFont="1">
      <alignment horizontal="center" vertical="bottom"/>
    </xf>
    <xf borderId="0" fillId="4" fontId="2" numFmtId="0" xfId="0" applyAlignment="1" applyFill="1" applyFont="1">
      <alignment horizontal="center" readingOrder="0" vertical="bottom"/>
    </xf>
    <xf borderId="0" fillId="16" fontId="1" numFmtId="166" xfId="0" applyFill="1" applyFont="1" applyNumberFormat="1"/>
    <xf borderId="0" fillId="4" fontId="1" numFmtId="0" xfId="0" applyAlignment="1" applyFill="1" applyFont="1">
      <alignment horizontal="center" readingOrder="0"/>
    </xf>
    <xf borderId="0" fillId="3" fontId="2" numFmtId="0" xfId="0" applyAlignment="1" applyFill="1" applyFont="1">
      <alignment horizontal="center" readingOrder="0" vertical="bottom"/>
    </xf>
    <xf borderId="0" fillId="22" fontId="1" numFmtId="0" xfId="0" applyFill="1" applyFont="1"/>
    <xf borderId="0" fillId="22" fontId="1" numFmtId="4" xfId="0" applyAlignment="1" applyFill="1" applyFont="1" applyNumberFormat="1">
      <alignment readingOrder="0"/>
    </xf>
    <xf borderId="0" fillId="22" fontId="1" numFmtId="10" xfId="0" applyFill="1" applyFont="1" applyNumberFormat="1"/>
    <xf borderId="0" fillId="0" fontId="13" numFmtId="4" xfId="0" applyAlignment="1" applyFont="1" applyNumberFormat="1">
      <alignment horizontal="right" readingOrder="0" vertical="bottom"/>
    </xf>
    <xf borderId="0" fillId="0" fontId="13" numFmtId="4" xfId="0" applyAlignment="1" applyFont="1" applyNumberFormat="1">
      <alignment horizontal="right" readingOrder="0" shrinkToFit="0" vertical="bottom" wrapText="0"/>
    </xf>
    <xf borderId="0" fillId="8" fontId="13" numFmtId="4" xfId="0" applyAlignment="1" applyFill="1" applyFont="1" applyNumberFormat="1">
      <alignment horizontal="right" readingOrder="0" vertical="bottom"/>
    </xf>
    <xf borderId="0" fillId="10" fontId="2" numFmtId="10" xfId="0" applyAlignment="1" applyFill="1" applyFont="1" applyNumberFormat="1">
      <alignment horizontal="right" vertical="bottom"/>
    </xf>
    <xf borderId="0" fillId="0" fontId="2" numFmtId="0" xfId="0" applyAlignment="1" applyFont="1">
      <alignment readingOrder="0" shrinkToFit="0" vertical="bottom" wrapText="0"/>
    </xf>
    <xf borderId="0" fillId="10" fontId="13" numFmtId="4" xfId="0" applyAlignment="1" applyFill="1" applyFont="1" applyNumberFormat="1">
      <alignment horizontal="right" readingOrder="0" vertical="bottom"/>
    </xf>
    <xf borderId="0" fillId="10" fontId="2" numFmtId="0" xfId="0" applyAlignment="1" applyFill="1" applyFont="1">
      <alignment readingOrder="0" vertical="bottom"/>
    </xf>
    <xf borderId="0" fillId="6" fontId="2" numFmtId="10" xfId="0" applyAlignment="1" applyFill="1" applyFont="1" applyNumberFormat="1">
      <alignment horizontal="right" vertical="bottom"/>
    </xf>
    <xf borderId="0" fillId="10" fontId="2" numFmtId="4" xfId="0" applyAlignment="1" applyFill="1" applyFont="1" applyNumberFormat="1">
      <alignment horizontal="right" vertical="bottom"/>
    </xf>
    <xf borderId="0" fillId="4" fontId="2" numFmtId="10" xfId="0" applyAlignment="1" applyFill="1" applyFont="1" applyNumberFormat="1">
      <alignment horizontal="right" vertical="bottom"/>
    </xf>
    <xf borderId="0" fillId="0" fontId="13" numFmtId="166" xfId="0" applyAlignment="1" applyFont="1" applyNumberFormat="1">
      <alignment horizontal="right" vertical="bottom"/>
    </xf>
    <xf borderId="0" fillId="7" fontId="2" numFmtId="10" xfId="0" applyAlignment="1" applyFill="1" applyFont="1" applyNumberFormat="1">
      <alignment horizontal="right" vertical="bottom"/>
    </xf>
    <xf borderId="0" fillId="7" fontId="1" numFmtId="10" xfId="0" applyFill="1" applyFont="1" applyNumberFormat="1"/>
    <xf borderId="0" fillId="7" fontId="2" numFmtId="0" xfId="0" applyAlignment="1" applyFill="1" applyFont="1">
      <alignment readingOrder="0" vertical="bottom"/>
    </xf>
    <xf borderId="0" fillId="9" fontId="2" numFmtId="10" xfId="0" applyAlignment="1" applyFill="1" applyFont="1" applyNumberFormat="1">
      <alignment horizontal="right" vertical="bottom"/>
    </xf>
    <xf borderId="0" fillId="4" fontId="2" numFmtId="4" xfId="0" applyAlignment="1" applyFill="1" applyFont="1" applyNumberFormat="1">
      <alignment vertical="bottom"/>
    </xf>
    <xf borderId="0" fillId="23" fontId="9" numFmtId="0" xfId="0" applyAlignment="1" applyFill="1" applyFont="1">
      <alignment shrinkToFit="0" vertical="center" wrapText="0"/>
    </xf>
    <xf borderId="0" fillId="23" fontId="9" numFmtId="10" xfId="0" applyAlignment="1" applyFill="1" applyFont="1" applyNumberFormat="1">
      <alignment horizontal="right" readingOrder="0" shrinkToFit="0" vertical="center" wrapText="0"/>
    </xf>
    <xf borderId="0" fillId="23" fontId="9" numFmtId="10" xfId="0" applyAlignment="1" applyFill="1" applyFont="1" applyNumberFormat="1">
      <alignment horizontal="right" shrinkToFit="0" vertical="center" wrapText="0"/>
    </xf>
    <xf borderId="0" fillId="23" fontId="9" numFmtId="0" xfId="0" applyAlignment="1" applyFill="1" applyFont="1">
      <alignment readingOrder="0" shrinkToFit="0" vertical="bottom" wrapText="0"/>
    </xf>
    <xf borderId="0" fillId="23" fontId="9" numFmtId="10" xfId="0" applyAlignment="1" applyFill="1" applyFont="1" applyNumberFormat="1">
      <alignment horizontal="right" shrinkToFit="0" vertical="bottom"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23" fontId="15" numFmtId="0" xfId="0" applyAlignment="1" applyFill="1" applyFont="1">
      <alignment shrinkToFit="0" vertical="bottom" wrapText="0"/>
    </xf>
    <xf borderId="0" fillId="23" fontId="1" numFmtId="164" xfId="0" applyAlignment="1" applyFill="1" applyFont="1" applyNumberFormat="1">
      <alignment readingOrder="0" shrinkToFit="0" vertical="center" wrapText="0"/>
    </xf>
    <xf borderId="0" fillId="23" fontId="1" numFmtId="2" xfId="0" applyAlignment="1" applyFill="1" applyFont="1" applyNumberFormat="1">
      <alignment readingOrder="0" shrinkToFit="0" vertical="center" wrapText="0"/>
    </xf>
    <xf borderId="0" fillId="23" fontId="1" numFmtId="0" xfId="0" applyAlignment="1" applyFill="1" applyFont="1">
      <alignment readingOrder="0" shrinkToFit="0" vertical="center" wrapText="0"/>
    </xf>
    <xf borderId="0" fillId="0" fontId="1" numFmtId="170" xfId="0" applyAlignment="1" applyFont="1" applyNumberFormat="1">
      <alignment readingOrder="0"/>
    </xf>
    <xf borderId="0" fillId="0" fontId="1" numFmtId="170" xfId="0" applyFont="1" applyNumberFormat="1"/>
    <xf borderId="0" fillId="0" fontId="1" numFmtId="171" xfId="0" applyFont="1" applyNumberFormat="1"/>
    <xf borderId="0" fillId="23" fontId="15" numFmtId="0" xfId="0" applyAlignment="1" applyFill="1" applyFont="1">
      <alignment readingOrder="0" shrinkToFit="0" vertical="bottom" wrapText="0"/>
    </xf>
    <xf borderId="0" fillId="23" fontId="7" numFmtId="0" xfId="0" applyAlignment="1" applyFill="1" applyFont="1">
      <alignment readingOrder="0" shrinkToFit="0" vertical="center" wrapText="0"/>
    </xf>
    <xf borderId="0" fillId="0" fontId="1" numFmtId="0" xfId="0" applyAlignment="1" applyFont="1">
      <alignment readingOrder="0"/>
    </xf>
    <xf borderId="0" fillId="0" fontId="16" numFmtId="0" xfId="0" applyAlignment="1" applyFont="1">
      <alignment horizontal="center" readingOrder="0" shrinkToFit="0" vertical="center" wrapText="0"/>
    </xf>
    <xf borderId="0" fillId="0" fontId="8"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24" fontId="16" numFmtId="0" xfId="0" applyAlignment="1" applyFill="1" applyFont="1">
      <alignment shrinkToFit="0" vertical="bottom" wrapText="0"/>
    </xf>
    <xf borderId="0" fillId="13" fontId="9" numFmtId="166" xfId="0" applyAlignment="1" applyFill="1" applyFont="1" applyNumberFormat="1">
      <alignment horizontal="right" shrinkToFit="0" vertical="center" wrapText="0"/>
    </xf>
    <xf borderId="0" fillId="24" fontId="16" numFmtId="0" xfId="0" applyAlignment="1" applyFill="1" applyFont="1">
      <alignment shrinkToFit="0" vertical="bottom" wrapText="0"/>
    </xf>
    <xf borderId="0" fillId="24" fontId="16" numFmtId="0" xfId="0" applyAlignment="1" applyFill="1" applyFont="1">
      <alignment readingOrder="0" shrinkToFit="0" vertical="bottom" wrapText="0"/>
    </xf>
    <xf borderId="0" fillId="20" fontId="2" numFmtId="0" xfId="0" applyAlignment="1" applyFill="1" applyFont="1">
      <alignment vertical="bottom"/>
    </xf>
    <xf borderId="0" fillId="20" fontId="2" numFmtId="4" xfId="0" applyAlignment="1" applyFill="1" applyFont="1" applyNumberFormat="1">
      <alignment vertical="bottom"/>
    </xf>
    <xf borderId="0" fillId="0" fontId="13" numFmtId="0" xfId="0" applyAlignment="1" applyFont="1">
      <alignment vertical="bottom"/>
    </xf>
    <xf borderId="0" fillId="17" fontId="2" numFmtId="0" xfId="0" applyAlignment="1" applyFill="1" applyFont="1">
      <alignment vertical="bottom"/>
    </xf>
    <xf borderId="0" fillId="17" fontId="2" numFmtId="4" xfId="0" applyAlignment="1" applyFill="1" applyFont="1" applyNumberFormat="1">
      <alignment horizontal="right" readingOrder="0" vertical="bottom"/>
    </xf>
    <xf borderId="0" fillId="17" fontId="2" numFmtId="10" xfId="0" applyAlignment="1" applyFill="1" applyFont="1" applyNumberFormat="1">
      <alignment horizontal="right" vertical="bottom"/>
    </xf>
    <xf borderId="0" fillId="11" fontId="13" numFmtId="0" xfId="0" applyAlignment="1" applyFill="1" applyFont="1">
      <alignment vertical="bottom"/>
    </xf>
    <xf borderId="0" fillId="11" fontId="13" numFmtId="4" xfId="0" applyAlignment="1" applyFill="1" applyFont="1" applyNumberFormat="1">
      <alignment horizontal="right" vertical="bottom"/>
    </xf>
    <xf borderId="0" fillId="11" fontId="2" numFmtId="10" xfId="0" applyAlignment="1" applyFill="1" applyFont="1" applyNumberFormat="1">
      <alignment horizontal="right" vertical="bottom"/>
    </xf>
    <xf borderId="0" fillId="11" fontId="13" numFmtId="0" xfId="0" applyAlignment="1" applyFill="1" applyFont="1">
      <alignment readingOrder="0" vertical="bottom"/>
    </xf>
    <xf borderId="0" fillId="11" fontId="2" numFmtId="0" xfId="0" applyAlignment="1" applyFill="1" applyFont="1">
      <alignment vertical="bottom"/>
    </xf>
    <xf borderId="0" fillId="11" fontId="2" numFmtId="4" xfId="0" applyAlignment="1" applyFill="1" applyFont="1" applyNumberFormat="1">
      <alignment horizontal="right" vertical="bottom"/>
    </xf>
    <xf borderId="0" fillId="0" fontId="2" numFmtId="3" xfId="0" applyAlignment="1" applyFont="1" applyNumberFormat="1">
      <alignment horizontal="right" readingOrder="0" vertical="bottom"/>
    </xf>
    <xf borderId="0" fillId="5" fontId="2" numFmtId="0" xfId="0" applyAlignment="1" applyFill="1" applyFont="1">
      <alignment vertical="bottom"/>
    </xf>
    <xf borderId="0" fillId="5" fontId="2" numFmtId="4" xfId="0" applyAlignment="1" applyFill="1" applyFont="1" applyNumberFormat="1">
      <alignment horizontal="right" vertical="bottom"/>
    </xf>
    <xf borderId="0" fillId="5" fontId="2" numFmtId="10" xfId="0" applyAlignment="1" applyFill="1" applyFont="1" applyNumberFormat="1">
      <alignment horizontal="right"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8">
    <tableStyle count="4" pivot="0" name="ISAE4-style">
      <tableStyleElement dxfId="1" type="headerRow"/>
      <tableStyleElement dxfId="2" type="firstRowStripe"/>
      <tableStyleElement dxfId="3" type="secondRowStripe"/>
      <tableStyleElement dxfId="4" size="0" type="wholeTable"/>
    </tableStyle>
    <tableStyle count="4" pivot="0" name="SAPR4-style">
      <tableStyleElement dxfId="1" type="headerRow"/>
      <tableStyleElement dxfId="2" type="firstRowStripe"/>
      <tableStyleElement dxfId="3" type="secondRowStripe"/>
      <tableStyleElement dxfId="4" size="0" type="wholeTable"/>
    </tableStyle>
    <tableStyle count="4" pivot="0" name="TAEE11-style">
      <tableStyleElement dxfId="1" type="headerRow"/>
      <tableStyleElement dxfId="2" type="firstRowStripe"/>
      <tableStyleElement dxfId="3" type="secondRowStripe"/>
      <tableStyleElement dxfId="4" size="0" type="wholeTable"/>
    </tableStyle>
    <tableStyle count="4" pivot="0" name="CMIG4-style">
      <tableStyleElement dxfId="1" type="headerRow"/>
      <tableStyleElement dxfId="2" type="firstRowStripe"/>
      <tableStyleElement dxfId="3" type="secondRowStripe"/>
      <tableStyleElement dxfId="4" size="0" type="wholeTable"/>
    </tableStyle>
    <tableStyle count="4" pivot="0" name="ISAE4-style 2">
      <tableStyleElement dxfId="1" type="headerRow"/>
      <tableStyleElement dxfId="2" type="firstRowStripe"/>
      <tableStyleElement dxfId="3" type="secondRowStripe"/>
      <tableStyleElement dxfId="4" size="0" type="wholeTable"/>
    </tableStyle>
    <tableStyle count="4" pivot="0" name="CMIG4-style 2">
      <tableStyleElement dxfId="1" type="headerRow"/>
      <tableStyleElement dxfId="2" type="firstRowStripe"/>
      <tableStyleElement dxfId="3" type="secondRowStripe"/>
      <tableStyleElement dxfId="4" size="0" type="wholeTable"/>
    </tableStyle>
    <tableStyle count="4" pivot="0" name="SAPR4-style 2">
      <tableStyleElement dxfId="1" type="headerRow"/>
      <tableStyleElement dxfId="2" type="firstRowStripe"/>
      <tableStyleElement dxfId="3" type="secondRowStripe"/>
      <tableStyleElement dxfId="4" size="0" type="wholeTable"/>
    </tableStyle>
    <tableStyle count="4" pivot="0" name="TAEE11-style 2">
      <tableStyleElement dxfId="1" type="headerRow"/>
      <tableStyleElement dxfId="2" type="firstRowStripe"/>
      <tableStyleElement dxfId="3" type="secondRowStripe"/>
      <tableStyleElement dxfId="4" size="0" type="wholeTable"/>
    </tableStyle>
    <tableStyle count="2" pivot="0" name="SAPR4-style 3">
      <tableStyleElement dxfId="3" type="firstRowStripe"/>
      <tableStyleElement dxfId="2" type="secondRowStripe"/>
    </tableStyle>
    <tableStyle count="4" pivot="0" name="WEGE3-style">
      <tableStyleElement dxfId="1" type="headerRow"/>
      <tableStyleElement dxfId="2" type="firstRowStripe"/>
      <tableStyleElement dxfId="3" type="secondRowStripe"/>
      <tableStyleElement dxfId="4" size="0" type="wholeTable"/>
    </tableStyle>
    <tableStyle count="4" pivot="0" name="WEGE3-style 2">
      <tableStyleElement dxfId="1" type="headerRow"/>
      <tableStyleElement dxfId="2" type="firstRowStripe"/>
      <tableStyleElement dxfId="3" type="secondRowStripe"/>
      <tableStyleElement dxfId="4" size="0" type="wholeTable"/>
    </tableStyle>
    <tableStyle count="2" pivot="0" name="WEGE3-style 3">
      <tableStyleElement dxfId="3" type="firstRowStripe"/>
      <tableStyleElement dxfId="2" type="secondRowStripe"/>
    </tableStyle>
    <tableStyle count="4" pivot="0" name="Petr4-style">
      <tableStyleElement dxfId="1" type="headerRow"/>
      <tableStyleElement dxfId="2" type="firstRowStripe"/>
      <tableStyleElement dxfId="3" type="secondRowStripe"/>
      <tableStyleElement dxfId="4" size="0" type="wholeTable"/>
    </tableStyle>
    <tableStyle count="4" pivot="0" name="Petr4-style 2">
      <tableStyleElement dxfId="1" type="headerRow"/>
      <tableStyleElement dxfId="2" type="firstRowStripe"/>
      <tableStyleElement dxfId="3" type="secondRowStripe"/>
      <tableStyleElement dxfId="4" size="0" type="wholeTable"/>
    </tableStyle>
    <tableStyle count="4" pivot="0" name="BBAS3-style">
      <tableStyleElement dxfId="1" type="headerRow"/>
      <tableStyleElement dxfId="2" type="firstRowStripe"/>
      <tableStyleElement dxfId="3" type="secondRowStripe"/>
      <tableStyleElement dxfId="4" size="0" type="wholeTable"/>
    </tableStyle>
    <tableStyle count="4" pivot="0" name="Vale3-style">
      <tableStyleElement dxfId="1" type="headerRow"/>
      <tableStyleElement dxfId="2" type="firstRowStripe"/>
      <tableStyleElement dxfId="3" type="secondRowStripe"/>
      <tableStyleElement dxfId="4" size="0" type="wholeTable"/>
    </tableStyle>
    <tableStyle count="4" pivot="0" name="BBAS3-style 2">
      <tableStyleElement dxfId="1" type="headerRow"/>
      <tableStyleElement dxfId="2" type="firstRowStripe"/>
      <tableStyleElement dxfId="3" type="secondRowStripe"/>
      <tableStyleElement dxfId="4" size="0" type="wholeTable"/>
    </tableStyle>
    <tableStyle count="4" pivot="0" name="Vale3-style 2">
      <tableStyleElement dxfId="1" type="headerRow"/>
      <tableStyleElement dxfId="2" type="firstRowStripe"/>
      <tableStyleElement dxfId="3" type="secondRowStripe"/>
      <tableStyleElement dxfId="4" size="0" type="wholeTable"/>
    </tableStyle>
    <tableStyle count="4" pivot="0" name="ITUB3-style">
      <tableStyleElement dxfId="1" type="headerRow"/>
      <tableStyleElement dxfId="2" type="firstRowStripe"/>
      <tableStyleElement dxfId="3" type="secondRowStripe"/>
      <tableStyleElement dxfId="4" size="0" type="wholeTable"/>
    </tableStyle>
    <tableStyle count="4" pivot="0" name="ITUB3-style 2">
      <tableStyleElement dxfId="1" type="headerRow"/>
      <tableStyleElement dxfId="2" type="firstRowStripe"/>
      <tableStyleElement dxfId="3" type="secondRowStripe"/>
      <tableStyleElement dxfId="4" size="0" type="wholeTable"/>
    </tableStyle>
    <tableStyle count="4" pivot="0" name="BBSE3-style">
      <tableStyleElement dxfId="1" type="headerRow"/>
      <tableStyleElement dxfId="2" type="firstRowStripe"/>
      <tableStyleElement dxfId="3" type="secondRowStripe"/>
      <tableStyleElement dxfId="4" size="0" type="wholeTable"/>
    </tableStyle>
    <tableStyle count="4" pivot="0" name="BBSE3-style 2">
      <tableStyleElement dxfId="1" type="headerRow"/>
      <tableStyleElement dxfId="2" type="firstRowStripe"/>
      <tableStyleElement dxfId="3" type="secondRowStripe"/>
      <tableStyleElement dxfId="4" size="0" type="wholeTable"/>
    </tableStyle>
    <tableStyle count="4" pivot="0" name="ITSA4-style">
      <tableStyleElement dxfId="1" type="headerRow"/>
      <tableStyleElement dxfId="2" type="firstRowStripe"/>
      <tableStyleElement dxfId="3" type="secondRowStripe"/>
      <tableStyleElement dxfId="4" size="0" type="wholeTable"/>
    </tableStyle>
    <tableStyle count="4" pivot="0" name="ITSA4-style 2">
      <tableStyleElement dxfId="1" type="headerRow"/>
      <tableStyleElement dxfId="2" type="firstRowStripe"/>
      <tableStyleElement dxfId="3" type="secondRowStripe"/>
      <tableStyleElement dxfId="4" size="0" type="wholeTable"/>
    </tableStyle>
    <tableStyle count="4" pivot="0" name="BRBI11-style">
      <tableStyleElement dxfId="1" type="headerRow"/>
      <tableStyleElement dxfId="2" type="firstRowStripe"/>
      <tableStyleElement dxfId="3" type="secondRowStripe"/>
      <tableStyleElement dxfId="4" size="0" type="wholeTable"/>
    </tableStyle>
    <tableStyle count="4" pivot="0" name="Indicadores_Ações-style">
      <tableStyleElement dxfId="1" type="headerRow"/>
      <tableStyleElement dxfId="2" type="firstRowStripe"/>
      <tableStyleElement dxfId="3" type="secondRowStripe"/>
      <tableStyleElement dxfId="4" size="0" type="wholeTable"/>
    </tableStyle>
    <tableStyle count="4" pivot="0" name="Indicadores_Ações-style 2">
      <tableStyleElement dxfId="1" type="headerRow"/>
      <tableStyleElement dxfId="2" type="firstRowStripe"/>
      <tableStyleElement dxfId="3" type="secondRowStripe"/>
      <tableStyleElement dxfId="4" size="0" type="wholeTable"/>
    </tableStyle>
    <tableStyle count="4" pivot="0" name="Indicadores_Ações-style 3">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2.xml.rels><?xml version="1.0" encoding="UTF-8" standalone="yes"?><Relationships xmlns="http://schemas.openxmlformats.org/package/2006/relationships"><Relationship Id="rId1" Type="http://schemas.openxmlformats.org/officeDocument/2006/relationships/image" Target="../media/Chart1.png"/></Relationships>
</file>

<file path=xl/drawings/_rels/drawing13.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1171575</xdr:colOff>
      <xdr:row>0</xdr:row>
      <xdr:rowOff>0</xdr:rowOff>
    </xdr:from>
    <xdr:ext cx="5715000" cy="1276350"/>
    <xdr:pic>
      <xdr:nvPicPr>
        <xdr:cNvPr id="1818265023" name="Chart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5</xdr:row>
      <xdr:rowOff>171450</xdr:rowOff>
    </xdr:from>
    <xdr:ext cx="5715000" cy="1276350"/>
    <xdr:pic>
      <xdr:nvPicPr>
        <xdr:cNvPr id="1221595576" name="Chart2"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J27:O36" displayName="CMIG_FCFE" name="CMIG_FCFE" id="2">
  <tableColumns count="6">
    <tableColumn name="Ticker" id="1"/>
    <tableColumn name="Valores" id="2"/>
    <tableColumn name="Ano" id="3"/>
    <tableColumn name="VLF" id="4"/>
    <tableColumn name="VLP" id="5"/>
    <tableColumn name="Cresc" id="6"/>
  </tableColumns>
  <tableStyleInfo name="CMIG4-style" showColumnStripes="0" showFirstColumn="1" showLastColumn="1" showRowStripes="1"/>
</table>
</file>

<file path=xl/tables/table2.xml><?xml version="1.0" encoding="utf-8"?>
<table xmlns="http://schemas.openxmlformats.org/spreadsheetml/2006/main" ref="Q28:R36" displayName="CMIG_TIR" name="CMIG_TIR" id="7">
  <tableColumns count="2">
    <tableColumn name="Ano" id="1"/>
    <tableColumn name="Fluxo" id="2"/>
  </tableColumns>
  <tableStyleInfo name="CMIG4-style 2" showColumnStripes="0" showFirstColumn="1" showLastColumn="1" showRowStripes="1"/>
</table>
</file>

<file path=xl/tables/table3.xml><?xml version="1.0" encoding="utf-8"?>
<table xmlns="http://schemas.openxmlformats.org/spreadsheetml/2006/main" ref="J28:O37" displayName="TAEE_FCFE" name="TAEE_FCFE" id="3">
  <tableColumns count="6">
    <tableColumn name="Ticker" id="1"/>
    <tableColumn name="Valores" id="2"/>
    <tableColumn name="Ano" id="3"/>
    <tableColumn name="VLF" id="4"/>
    <tableColumn name="VLP" id="5"/>
    <tableColumn name="Cresc" id="6"/>
  </tableColumns>
  <tableStyleInfo name="TAEE11-style" showColumnStripes="0" showFirstColumn="1" showLastColumn="1" showRowStripes="1"/>
</table>
</file>

<file path=xl/tables/table4.xml><?xml version="1.0" encoding="utf-8"?>
<table xmlns="http://schemas.openxmlformats.org/spreadsheetml/2006/main" ref="Q28:R36" displayName="TAEE_TIR" name="TAEE_TIR" id="8">
  <tableColumns count="2">
    <tableColumn name="Ano" id="1"/>
    <tableColumn name="Fluxo" id="2"/>
  </tableColumns>
  <tableStyleInfo name="TAEE11-style 2" showColumnStripes="0" showFirstColumn="1" showLastColumn="1" showRowStripes="1"/>
</table>
</file>

<file path=xl/tables/table5.xml><?xml version="1.0" encoding="utf-8"?>
<table xmlns="http://schemas.openxmlformats.org/spreadsheetml/2006/main" ref="J28:O37" displayName="ISAE_FCFE" name="ISAE_FCFE" id="1">
  <tableColumns count="6">
    <tableColumn name="Ticker" id="1"/>
    <tableColumn name="Valores" id="2"/>
    <tableColumn name="Ano" id="3"/>
    <tableColumn name="VLF" id="4"/>
    <tableColumn name="VLP" id="5"/>
    <tableColumn name="Cresc" id="6"/>
  </tableColumns>
  <tableStyleInfo name="ISAE4-style" showColumnStripes="0" showFirstColumn="1" showLastColumn="1" showRowStripes="1"/>
</table>
</file>

<file path=xl/tables/table6.xml><?xml version="1.0" encoding="utf-8"?>
<table xmlns="http://schemas.openxmlformats.org/spreadsheetml/2006/main" ref="Q28:R36" displayName="ISAE_TIR" name="ISAE_TIR" id="5">
  <tableColumns count="2">
    <tableColumn name="Ano" id="1"/>
    <tableColumn name="Fluxo" id="2"/>
  </tableColumns>
  <tableStyleInfo name="ISAE4-style 2" showColumnStripes="0" showFirstColumn="1" showLastColumn="1" showRowStripes="1"/>
</table>
</file>

<file path=xl/tables/table7.xml><?xml version="1.0" encoding="utf-8"?>
<table xmlns="http://schemas.openxmlformats.org/spreadsheetml/2006/main" ref="J27:O36" displayName="SAPR_FCFE" name="SAPR_FCFE" id="4">
  <tableColumns count="6">
    <tableColumn name="Ticker" id="1"/>
    <tableColumn name="Valores" id="2"/>
    <tableColumn name="Ano" id="3"/>
    <tableColumn name="VLF" id="4"/>
    <tableColumn name="VLP" id="5"/>
    <tableColumn name="Cresc" id="6"/>
  </tableColumns>
  <tableStyleInfo name="SAPR4-style" showColumnStripes="0" showFirstColumn="1" showLastColumn="1" showRowStripes="1"/>
</table>
</file>

<file path=xl/tables/table8.xml><?xml version="1.0" encoding="utf-8"?>
<table xmlns="http://schemas.openxmlformats.org/spreadsheetml/2006/main" ref="Q27:R35" displayName="SAPR_TIR" name="SAPR_TIR" id="6">
  <tableColumns count="2">
    <tableColumn name="Ano" id="1"/>
    <tableColumn name="Fluxo" id="2"/>
  </tableColumns>
  <tableStyleInfo name="SAPR4-style 2" showColumnStripes="0" showFirstColumn="1" showLastColumn="1" showRowStripes="1"/>
</table>
</file>

<file path=xl/tables/table9.xml><?xml version="1.0" encoding="utf-8"?>
<table xmlns="http://schemas.openxmlformats.org/spreadsheetml/2006/main" headerRowCount="0" ref="A81:E81" displayName="Table_1" name="Table_1" id="9">
  <tableColumns count="5">
    <tableColumn name="Column1" id="1"/>
    <tableColumn name="Column2" id="2"/>
    <tableColumn name="Column3" id="3"/>
    <tableColumn name="Column4" id="4"/>
    <tableColumn name="Column5" id="5"/>
  </tableColumns>
  <tableStyleInfo name="SAPR4-style 3" showColumnStripes="0" showFirstColumn="1" showLastColumn="1" showRowStripes="1"/>
</table>
</file>

<file path=xl/tables/table10.xml><?xml version="1.0" encoding="utf-8"?>
<table xmlns="http://schemas.openxmlformats.org/spreadsheetml/2006/main" ref="J27:O36" displayName="WEGE_FCFE" name="WEGE_FCFE" id="10">
  <tableColumns count="6">
    <tableColumn name="Ticker" id="1"/>
    <tableColumn name="Valores" id="2"/>
    <tableColumn name="Ano" id="3"/>
    <tableColumn name="VLF" id="4"/>
    <tableColumn name="VLP" id="5"/>
    <tableColumn name="Cresc" id="6"/>
  </tableColumns>
  <tableStyleInfo name="WEGE3-style" showColumnStripes="0" showFirstColumn="1" showLastColumn="1" showRowStripes="1"/>
</table>
</file>

<file path=xl/tables/table11.xml><?xml version="1.0" encoding="utf-8"?>
<table xmlns="http://schemas.openxmlformats.org/spreadsheetml/2006/main" ref="Q27:R35" displayName="WEGE_TIR" name="WEGE_TIR" id="11">
  <tableColumns count="2">
    <tableColumn name="Ano" id="1"/>
    <tableColumn name="Fluxo" id="2"/>
  </tableColumns>
  <tableStyleInfo name="WEGE3-style 2" showColumnStripes="0" showFirstColumn="1" showLastColumn="1" showRowStripes="1"/>
</table>
</file>

<file path=xl/tables/table12.xml><?xml version="1.0" encoding="utf-8"?>
<table xmlns="http://schemas.openxmlformats.org/spreadsheetml/2006/main" headerRowCount="0" ref="A85:E85" displayName="Table_2" name="Table_2" id="12">
  <tableColumns count="5">
    <tableColumn name="Column1" id="1"/>
    <tableColumn name="Column2" id="2"/>
    <tableColumn name="Column3" id="3"/>
    <tableColumn name="Column4" id="4"/>
    <tableColumn name="Column5" id="5"/>
  </tableColumns>
  <tableStyleInfo name="WEGE3-style 3" showColumnStripes="0" showFirstColumn="1" showLastColumn="1" showRowStripes="1"/>
</table>
</file>

<file path=xl/tables/table13.xml><?xml version="1.0" encoding="utf-8"?>
<table xmlns="http://schemas.openxmlformats.org/spreadsheetml/2006/main" ref="J31:O40" displayName="PETR_FCFE" name="PETR_FCFE" id="13">
  <tableColumns count="6">
    <tableColumn name="Ticker" id="1"/>
    <tableColumn name="Valores" id="2"/>
    <tableColumn name="Ano" id="3"/>
    <tableColumn name="VLF" id="4"/>
    <tableColumn name="VLP" id="5"/>
    <tableColumn name="Cresc" id="6"/>
  </tableColumns>
  <tableStyleInfo name="Petr4-style" showColumnStripes="0" showFirstColumn="1" showLastColumn="1" showRowStripes="1"/>
</table>
</file>

<file path=xl/tables/table14.xml><?xml version="1.0" encoding="utf-8"?>
<table xmlns="http://schemas.openxmlformats.org/spreadsheetml/2006/main" ref="Q31:R39" displayName="PETR_TIR" name="PETR_TIR" id="14">
  <tableColumns count="2">
    <tableColumn name="Ano" id="1"/>
    <tableColumn name="Fluxo" id="2"/>
  </tableColumns>
  <tableStyleInfo name="Petr4-style 2" showColumnStripes="0" showFirstColumn="1" showLastColumn="1" showRowStripes="1"/>
</table>
</file>

<file path=xl/tables/table15.xml><?xml version="1.0" encoding="utf-8"?>
<table xmlns="http://schemas.openxmlformats.org/spreadsheetml/2006/main" ref="J27:O36" displayName="VALE_FCFE" name="VALE_FCFE" id="16">
  <tableColumns count="6">
    <tableColumn name="Ticker" id="1"/>
    <tableColumn name="Valores" id="2"/>
    <tableColumn name="Ano" id="3"/>
    <tableColumn name="VLF" id="4"/>
    <tableColumn name="VLP" id="5"/>
    <tableColumn name="Cresc" id="6"/>
  </tableColumns>
  <tableStyleInfo name="Vale3-style" showColumnStripes="0" showFirstColumn="1" showLastColumn="1" showRowStripes="1"/>
</table>
</file>

<file path=xl/tables/table16.xml><?xml version="1.0" encoding="utf-8"?>
<table xmlns="http://schemas.openxmlformats.org/spreadsheetml/2006/main" ref="Q27:R35" displayName="VALE_TIR" name="VALE_TIR" id="18">
  <tableColumns count="2">
    <tableColumn name="Ano" id="1"/>
    <tableColumn name="Fluxo" id="2"/>
  </tableColumns>
  <tableStyleInfo name="Vale3-style 2" showColumnStripes="0" showFirstColumn="1" showLastColumn="1" showRowStripes="1"/>
</table>
</file>

<file path=xl/tables/table17.xml><?xml version="1.0" encoding="utf-8"?>
<table xmlns="http://schemas.openxmlformats.org/spreadsheetml/2006/main" ref="J53:O62" displayName="BBAS_FCFE" name="BBAS_FCFE" id="15">
  <tableColumns count="6">
    <tableColumn name="Ticker" id="1"/>
    <tableColumn name="Valores" id="2"/>
    <tableColumn name="Ano" id="3"/>
    <tableColumn name="VLF" id="4"/>
    <tableColumn name="VLP" id="5"/>
    <tableColumn name="Cresc" id="6"/>
  </tableColumns>
  <tableStyleInfo name="BBAS3-style" showColumnStripes="0" showFirstColumn="1" showLastColumn="1" showRowStripes="1"/>
</table>
</file>

<file path=xl/tables/table18.xml><?xml version="1.0" encoding="utf-8"?>
<table xmlns="http://schemas.openxmlformats.org/spreadsheetml/2006/main" ref="J65:K73" displayName="BBAS_TIR" name="BBAS_TIR" id="17">
  <tableColumns count="2">
    <tableColumn name="Ano" id="1"/>
    <tableColumn name="Fluxo" id="2"/>
  </tableColumns>
  <tableStyleInfo name="BBAS3-style 2" showColumnStripes="0" showFirstColumn="1" showLastColumn="1" showRowStripes="1"/>
</table>
</file>

<file path=xl/tables/table19.xml><?xml version="1.0" encoding="utf-8"?>
<table xmlns="http://schemas.openxmlformats.org/spreadsheetml/2006/main" ref="J50:O59" displayName="ITUB_FCFE" name="ITUB_FCFE" id="19">
  <tableColumns count="6">
    <tableColumn name="Ticker" id="1"/>
    <tableColumn name="Valores" id="2"/>
    <tableColumn name="Ano" id="3"/>
    <tableColumn name="VLF" id="4"/>
    <tableColumn name="VLP" id="5"/>
    <tableColumn name="Cresc" id="6"/>
  </tableColumns>
  <tableStyleInfo name="ITUB3-style" showColumnStripes="0" showFirstColumn="1" showLastColumn="1" showRowStripes="1"/>
</table>
</file>

<file path=xl/tables/table20.xml><?xml version="1.0" encoding="utf-8"?>
<table xmlns="http://schemas.openxmlformats.org/spreadsheetml/2006/main" ref="J62:K70" displayName="ITUB_TIR" name="ITUB_TIR" id="20">
  <tableColumns count="2">
    <tableColumn name="Ano" id="1"/>
    <tableColumn name="Fluxo" id="2"/>
  </tableColumns>
  <tableStyleInfo name="ITUB3-style 2" showColumnStripes="0" showFirstColumn="1" showLastColumn="1" showRowStripes="1"/>
</table>
</file>

<file path=xl/tables/table21.xml><?xml version="1.0" encoding="utf-8"?>
<table xmlns="http://schemas.openxmlformats.org/spreadsheetml/2006/main" ref="J51:O60" displayName="BBSE_FCFE" name="BBSE_FCFE" id="21">
  <tableColumns count="6">
    <tableColumn name="Ticker" id="1"/>
    <tableColumn name="Valores" id="2"/>
    <tableColumn name="Ano" id="3"/>
    <tableColumn name="VLF" id="4"/>
    <tableColumn name="VLP" id="5"/>
    <tableColumn name="Cresc" id="6"/>
  </tableColumns>
  <tableStyleInfo name="BBSE3-style" showColumnStripes="0" showFirstColumn="1" showLastColumn="1" showRowStripes="1"/>
</table>
</file>

<file path=xl/tables/table22.xml><?xml version="1.0" encoding="utf-8"?>
<table xmlns="http://schemas.openxmlformats.org/spreadsheetml/2006/main" ref="J63:K71" displayName="BBSE_TIR" name="BBSE_TIR" id="22">
  <tableColumns count="2">
    <tableColumn name="Ano" id="1"/>
    <tableColumn name="Fluxo" id="2"/>
  </tableColumns>
  <tableStyleInfo name="BBSE3-style 2" showColumnStripes="0" showFirstColumn="1" showLastColumn="1" showRowStripes="1"/>
</table>
</file>

<file path=xl/tables/table23.xml><?xml version="1.0" encoding="utf-8"?>
<table xmlns="http://schemas.openxmlformats.org/spreadsheetml/2006/main" ref="J49:O58" displayName="ITSA_FCFE" name="ITSA_FCFE" id="23">
  <tableColumns count="6">
    <tableColumn name="Ticker" id="1"/>
    <tableColumn name="Valores" id="2"/>
    <tableColumn name="Ano" id="3"/>
    <tableColumn name="VLF" id="4"/>
    <tableColumn name="VLP" id="5"/>
    <tableColumn name="Cresc" id="6"/>
  </tableColumns>
  <tableStyleInfo name="ITSA4-style" showColumnStripes="0" showFirstColumn="1" showLastColumn="1" showRowStripes="1"/>
</table>
</file>

<file path=xl/tables/table24.xml><?xml version="1.0" encoding="utf-8"?>
<table xmlns="http://schemas.openxmlformats.org/spreadsheetml/2006/main" ref="J61:K69" displayName="ITSA_TIR" name="ITSA_TIR" id="24">
  <tableColumns count="2">
    <tableColumn name="Ano" id="1"/>
    <tableColumn name="Fluxo" id="2"/>
  </tableColumns>
  <tableStyleInfo name="ITSA4-style 2" showColumnStripes="0" showFirstColumn="1" showLastColumn="1" showRowStripes="1"/>
</table>
</file>

<file path=xl/tables/table25.xml><?xml version="1.0" encoding="utf-8"?>
<table xmlns="http://schemas.openxmlformats.org/spreadsheetml/2006/main" ref="A2:B6" displayName="BCB" name="BCB" id="26">
  <tableColumns count="2">
    <tableColumn name="Renda" id="1"/>
    <tableColumn name="valor" id="2"/>
  </tableColumns>
  <tableStyleInfo name="Indicadores_Ações-style" showColumnStripes="0" showFirstColumn="1" showLastColumn="1" showRowStripes="1"/>
</table>
</file>

<file path=xl/tables/table26.xml><?xml version="1.0" encoding="utf-8"?>
<table xmlns="http://schemas.openxmlformats.org/spreadsheetml/2006/main" ref="A9:L23" displayName="Indicador_Ações" name="Indicador_Ações" id="27">
  <tableColumns count="12">
    <tableColumn name="Stock" id="1"/>
    <tableColumn name="ult_balanco_processado" id="2"/>
    <tableColumn name="qtd_acao" id="3"/>
    <tableColumn name="cagr_receita_5a" id="4"/>
    <tableColumn name="ativo" id="5"/>
    <tableColumn name="disponibilidades" id="6"/>
    <tableColumn name="divida_bruta" id="7"/>
    <tableColumn name="patrimonio_liquido" id="8"/>
    <tableColumn name="receita_liquida_12m" id="9"/>
    <tableColumn name="ebit_12m" id="10"/>
    <tableColumn name="lucro_liquido_12m" id="11"/>
    <tableColumn name="beta_ibov_3a" id="12"/>
  </tableColumns>
  <tableStyleInfo name="Indicadores_Ações-style 2" showColumnStripes="0" showFirstColumn="1" showLastColumn="1" showRowStripes="1"/>
</table>
</file>

<file path=xl/tables/table27.xml><?xml version="1.0" encoding="utf-8"?>
<table xmlns="http://schemas.openxmlformats.org/spreadsheetml/2006/main" ref="A30:D41" displayName="FCD" name="FCD" id="28">
  <tableColumns count="4">
    <tableColumn name="Ticker" id="1"/>
    <tableColumn name="FCFE_Valor" id="2"/>
    <tableColumn name="Excess_Return" id="3"/>
    <tableColumn name="TIR" id="4"/>
  </tableColumns>
  <tableStyleInfo name="Indicadores_Ações-style 3" showColumnStripes="0" showFirstColumn="1" showLastColumn="1" showRowStripes="1"/>
</table>
</file>

<file path=xl/tables/table28.xml><?xml version="1.0" encoding="utf-8"?>
<table xmlns="http://schemas.openxmlformats.org/spreadsheetml/2006/main" ref="A142:F151" displayName="BRBI11_FCD" name="BRBI11_FCD" id="25">
  <tableColumns count="6">
    <tableColumn name="Ticker" id="1"/>
    <tableColumn name="Valores" id="2"/>
    <tableColumn name="Ano" id="3"/>
    <tableColumn name="VLF" id="4"/>
    <tableColumn name="VLP" id="5"/>
    <tableColumn name="Cresc" id="6"/>
  </tableColumns>
  <tableStyleInfo name="BRBI1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A86E8"/>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6" Type="http://schemas.openxmlformats.org/officeDocument/2006/relationships/table" Target="../tables/table1.xml"/><Relationship Id="rId7"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6" Type="http://schemas.openxmlformats.org/officeDocument/2006/relationships/table" Target="../tables/table3.xml"/><Relationship Id="rId7"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 Id="rId6" Type="http://schemas.openxmlformats.org/officeDocument/2006/relationships/table" Target="../tables/table5.xml"/><Relationship Id="rId7"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 Id="rId9" Type="http://schemas.openxmlformats.org/officeDocument/2006/relationships/table" Target="../tables/table9.xml"/><Relationship Id="rId7" Type="http://schemas.openxmlformats.org/officeDocument/2006/relationships/table" Target="../tables/table7.xml"/><Relationship Id="rId8"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 Id="rId9" Type="http://schemas.openxmlformats.org/officeDocument/2006/relationships/table" Target="../tables/table12.xml"/><Relationship Id="rId7" Type="http://schemas.openxmlformats.org/officeDocument/2006/relationships/table" Target="../tables/table10.xml"/><Relationship Id="rId8" Type="http://schemas.openxmlformats.org/officeDocument/2006/relationships/table" Target="../tables/table11.x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 Id="rId6" Type="http://schemas.openxmlformats.org/officeDocument/2006/relationships/table" Target="../tables/table13.xml"/><Relationship Id="rId7" Type="http://schemas.openxmlformats.org/officeDocument/2006/relationships/table" Target="../tables/table14.x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 Id="rId6" Type="http://schemas.openxmlformats.org/officeDocument/2006/relationships/table" Target="../tables/table15.xml"/><Relationship Id="rId7" Type="http://schemas.openxmlformats.org/officeDocument/2006/relationships/table" Target="../tables/table16.x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 Id="rId6" Type="http://schemas.openxmlformats.org/officeDocument/2006/relationships/table" Target="../tables/table17.xml"/><Relationship Id="rId7" Type="http://schemas.openxmlformats.org/officeDocument/2006/relationships/table" Target="../tables/table1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 Id="rId6" Type="http://schemas.openxmlformats.org/officeDocument/2006/relationships/table" Target="../tables/table19.xml"/><Relationship Id="rId7" Type="http://schemas.openxmlformats.org/officeDocument/2006/relationships/table" Target="../tables/table20.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10.vml"/><Relationship Id="rId6" Type="http://schemas.openxmlformats.org/officeDocument/2006/relationships/table" Target="../tables/table21.xml"/><Relationship Id="rId7" Type="http://schemas.openxmlformats.org/officeDocument/2006/relationships/table" Target="../tables/table22.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1.xml"/><Relationship Id="rId3" Type="http://schemas.openxmlformats.org/officeDocument/2006/relationships/vmlDrawing" Target="../drawings/vmlDrawing11.vml"/><Relationship Id="rId6" Type="http://schemas.openxmlformats.org/officeDocument/2006/relationships/table" Target="../tables/table23.xml"/><Relationship Id="rId7" Type="http://schemas.openxmlformats.org/officeDocument/2006/relationships/table" Target="../tables/table2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5" Type="http://schemas.openxmlformats.org/officeDocument/2006/relationships/table" Target="../tables/table25.xml"/><Relationship Id="rId6" Type="http://schemas.openxmlformats.org/officeDocument/2006/relationships/table" Target="../tables/table26.xml"/><Relationship Id="rId7" Type="http://schemas.openxmlformats.org/officeDocument/2006/relationships/table" Target="../tables/table2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4.xml"/><Relationship Id="rId3" Type="http://schemas.openxmlformats.org/officeDocument/2006/relationships/vmlDrawing" Target="../drawings/vmlDrawing12.vml"/><Relationship Id="rId5"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38"/>
    <col customWidth="1" min="2" max="2" width="18.0"/>
    <col customWidth="1" min="3" max="3" width="12.38"/>
    <col customWidth="1" min="4" max="4" width="15.63"/>
    <col customWidth="1" min="5" max="5" width="16.38"/>
    <col customWidth="1" min="6" max="6" width="16.0"/>
    <col customWidth="1" min="7" max="7" width="15.0"/>
    <col customWidth="1" min="8" max="8" width="15.63"/>
    <col customWidth="1" min="9" max="9" width="14.13"/>
    <col customWidth="1" min="10" max="10" width="22.5"/>
    <col customWidth="1" min="11" max="11" width="17.5"/>
    <col customWidth="1" min="12" max="12" width="15.0"/>
    <col customWidth="1" min="13" max="13" width="29.25"/>
    <col customWidth="1" min="14" max="14" width="19.63"/>
    <col customWidth="1" min="15" max="15" width="22.38"/>
    <col customWidth="1" min="16" max="16" width="18.25"/>
    <col customWidth="1" min="17" max="17" width="21.88"/>
    <col customWidth="1" min="18" max="18" width="24.25"/>
    <col customWidth="1" min="20" max="20" width="20.88"/>
    <col customWidth="1" min="21" max="21" width="20.75"/>
  </cols>
  <sheetData>
    <row r="1">
      <c r="A1" s="1" t="s">
        <v>0</v>
      </c>
      <c r="B1" s="2" t="s">
        <v>1</v>
      </c>
      <c r="C1" s="3">
        <v>46058.0</v>
      </c>
      <c r="D1" s="2" t="s">
        <v>2</v>
      </c>
      <c r="E1" s="4">
        <v>46247.0</v>
      </c>
      <c r="F1" s="2" t="s">
        <v>3</v>
      </c>
      <c r="G1" s="3">
        <v>46058.0</v>
      </c>
      <c r="H1" s="2" t="s">
        <v>3</v>
      </c>
      <c r="I1" s="3">
        <v>46058.0</v>
      </c>
      <c r="J1" s="6" t="s">
        <v>4</v>
      </c>
      <c r="K1" s="8">
        <f t="array" ref="K1">IFERROR(INDEX(Indicador_Ações[], MATCH($J$2, Indicador_Ações[Stock], 0), MATCH(Indicador_Ações[[#HEADERS],[ult_balanco_processado]], Indicador_Ações[#HEADERS], 0)),"")</f>
        <v>46203</v>
      </c>
      <c r="L1" s="9"/>
      <c r="M1" s="9"/>
      <c r="N1" s="9"/>
      <c r="O1" s="9"/>
      <c r="P1" s="9"/>
      <c r="Q1" s="9"/>
    </row>
    <row r="2">
      <c r="A2" s="10" t="s">
        <v>5</v>
      </c>
      <c r="J2" s="6" t="s">
        <v>8</v>
      </c>
      <c r="K2" s="12">
        <f>IFERROR(__xludf.DUMMYFUNCTION("(GOOGLEFINANCE(""BVMF:"" &amp; J2))"),11.28)</f>
        <v>11.28</v>
      </c>
      <c r="L2" s="13">
        <f t="array" ref="L2">IFERROR(INDEX(Indicador_Ações[], MATCH($J$2, Indicador_Ações[Stock], 0), MATCH(Indicador_Ações[[#HEADERS],[qtd_acao]], Indicador_Ações[#HEADERS], 0)),"")</f>
        <v>2861780000</v>
      </c>
      <c r="M2" s="16" t="s">
        <v>10</v>
      </c>
    </row>
    <row r="3">
      <c r="A3" s="9" t="s">
        <v>11</v>
      </c>
      <c r="B3" s="9" t="s">
        <v>12</v>
      </c>
      <c r="C3" s="9" t="s">
        <v>13</v>
      </c>
      <c r="D3" s="9" t="s">
        <v>14</v>
      </c>
      <c r="E3" s="9" t="s">
        <v>15</v>
      </c>
      <c r="F3" s="9" t="s">
        <v>16</v>
      </c>
      <c r="G3" s="9" t="s">
        <v>17</v>
      </c>
      <c r="H3" s="9" t="s">
        <v>18</v>
      </c>
      <c r="J3" s="10" t="s">
        <v>19</v>
      </c>
      <c r="K3" s="10">
        <v>1000.0</v>
      </c>
      <c r="L3" s="20">
        <f>IFERROR(K22/K14,0)</f>
        <v>0.08913682141</v>
      </c>
      <c r="M3" s="9" t="s">
        <v>23</v>
      </c>
      <c r="N3" s="9" t="s">
        <v>21</v>
      </c>
      <c r="P3" s="23"/>
      <c r="R3" s="23"/>
      <c r="T3" s="23"/>
      <c r="V3" s="23"/>
    </row>
    <row r="4">
      <c r="A4" s="9" t="s">
        <v>24</v>
      </c>
      <c r="B4" s="23">
        <f>B5+B6</f>
        <v>68174293</v>
      </c>
      <c r="C4" s="20">
        <f t="shared" ref="C4:C6" si="1">IFERROR(SUM((D4/B4)-1),0)</f>
        <v>0.03941303799</v>
      </c>
      <c r="D4" s="23">
        <f>D5+D6</f>
        <v>70861249</v>
      </c>
      <c r="E4" s="20">
        <f t="shared" ref="E4:E6" si="2">IFERROR(SUM((F4/D4)-1),0)</f>
        <v>-0.08624044998</v>
      </c>
      <c r="F4" s="23">
        <f>F5+F6</f>
        <v>64750143</v>
      </c>
      <c r="G4" s="20">
        <f t="shared" ref="G4:G6" si="3">IFERROR(SUM((H4/F4)-1),0)</f>
        <v>0.03518035474</v>
      </c>
      <c r="H4" s="23">
        <f>H5+H6</f>
        <v>67028076</v>
      </c>
      <c r="J4" s="24" t="s">
        <v>25</v>
      </c>
      <c r="K4" s="26">
        <f t="array" ref="K4">IFERROR(INDEX(Indicador_Ações[], MATCH($J$2, Indicador_Ações[Stock], 0), MATCH(Indicador_Ações[[#HEADERS],[ativo]], Indicador_Ações[#HEADERS], 0)),"")</f>
        <v>70861300000</v>
      </c>
      <c r="L4" s="20">
        <f>IFERROR(K19/K14,0)</f>
        <v>0.1643656649</v>
      </c>
      <c r="M4" s="9" t="s">
        <v>26</v>
      </c>
      <c r="N4" s="9" t="s">
        <v>27</v>
      </c>
      <c r="O4" s="27">
        <v>657957.0</v>
      </c>
      <c r="P4" s="27"/>
      <c r="Q4" s="20"/>
      <c r="R4" s="27"/>
      <c r="S4" s="20"/>
      <c r="T4" s="27"/>
      <c r="U4" s="20"/>
      <c r="V4" s="27"/>
    </row>
    <row r="5">
      <c r="A5" s="9" t="s">
        <v>28</v>
      </c>
      <c r="B5" s="27">
        <v>1.441742E7</v>
      </c>
      <c r="C5" s="20">
        <f t="shared" si="1"/>
        <v>0.09038128875</v>
      </c>
      <c r="D5" s="27">
        <v>1.5720485E7</v>
      </c>
      <c r="E5" s="20">
        <f t="shared" si="2"/>
        <v>-0.1573695086</v>
      </c>
      <c r="F5" s="27">
        <v>1.324656E7</v>
      </c>
      <c r="G5" s="20">
        <f t="shared" si="3"/>
        <v>0.09309798166</v>
      </c>
      <c r="H5" s="27">
        <v>1.4479788E7</v>
      </c>
      <c r="J5" s="9" t="s">
        <v>29</v>
      </c>
      <c r="K5" s="29">
        <f>K2*L2</f>
        <v>32280878400</v>
      </c>
      <c r="L5" s="20">
        <f>IFERROR(K16/K14,0)</f>
        <v>0.1374009762</v>
      </c>
      <c r="M5" s="9" t="s">
        <v>30</v>
      </c>
      <c r="N5" s="9" t="s">
        <v>32</v>
      </c>
      <c r="O5" s="32">
        <v>0.0</v>
      </c>
      <c r="P5" s="35"/>
      <c r="Q5" s="20"/>
      <c r="R5" s="37"/>
      <c r="S5" s="20"/>
      <c r="T5" s="35"/>
      <c r="U5" s="20"/>
      <c r="V5" s="38"/>
    </row>
    <row r="6">
      <c r="A6" s="9" t="s">
        <v>33</v>
      </c>
      <c r="B6" s="27">
        <v>5.3756873E7</v>
      </c>
      <c r="C6" s="20">
        <f t="shared" si="1"/>
        <v>0.02574351748</v>
      </c>
      <c r="D6" s="27">
        <v>5.5140764E7</v>
      </c>
      <c r="E6" s="20">
        <f t="shared" si="2"/>
        <v>-0.06596174474</v>
      </c>
      <c r="F6" s="27">
        <v>5.1503583E7</v>
      </c>
      <c r="G6" s="20">
        <f t="shared" si="3"/>
        <v>0.02028412276</v>
      </c>
      <c r="H6" s="27">
        <v>5.2548288E7</v>
      </c>
      <c r="J6" s="24" t="s">
        <v>34</v>
      </c>
      <c r="K6" s="26">
        <f>SUM(K5,K10)</f>
        <v>51551468400</v>
      </c>
      <c r="L6" s="20">
        <f>IFERROR(K17/K14,0)</f>
        <v>0.1937222419</v>
      </c>
      <c r="M6" s="9" t="s">
        <v>40</v>
      </c>
      <c r="N6" s="9" t="s">
        <v>39</v>
      </c>
      <c r="O6" s="23">
        <f>SUM(O4:O5)</f>
        <v>657957</v>
      </c>
      <c r="P6" s="35"/>
      <c r="Q6" s="20"/>
      <c r="R6" s="38"/>
      <c r="S6" s="20"/>
      <c r="T6" s="35"/>
      <c r="U6" s="20"/>
      <c r="V6" s="38"/>
    </row>
    <row r="7">
      <c r="B7" s="27"/>
      <c r="C7" s="20"/>
      <c r="D7" s="27"/>
      <c r="E7" s="20"/>
      <c r="F7" s="27"/>
      <c r="G7" s="20"/>
      <c r="H7" s="27"/>
      <c r="J7" s="9" t="s">
        <v>36</v>
      </c>
      <c r="K7" s="29">
        <f t="array" ref="K7">IFERROR(INDEX(Indicador_Ações[], MATCH($J$2, Indicador_Ações[Stock], 0), MATCH(Indicador_Ações[[#HEADERS],[disponibilidades]], Indicador_Ações[#HEADERS], 0)),"")</f>
        <v>3082110000</v>
      </c>
      <c r="L7" s="27">
        <f>K22/L2</f>
        <v>1.362368875</v>
      </c>
      <c r="M7" s="9" t="s">
        <v>45</v>
      </c>
      <c r="N7" s="9" t="s">
        <v>44</v>
      </c>
      <c r="O7" s="44">
        <f>ABS(SUM(B67,D67,F67,H67)/SUM(B66,D66,F66,H66))</f>
        <v>0.1093879077</v>
      </c>
      <c r="P7" s="35"/>
      <c r="Q7" s="20"/>
      <c r="R7" s="38"/>
      <c r="S7" s="20"/>
      <c r="T7" s="35"/>
      <c r="U7" s="20"/>
      <c r="V7" s="38"/>
    </row>
    <row r="8">
      <c r="A8" s="9" t="s">
        <v>42</v>
      </c>
      <c r="B8" s="27">
        <v>0.0</v>
      </c>
      <c r="C8" s="20">
        <f t="shared" ref="C8:C11" si="4">IFERROR(SUM((D8/B8)-1),0)</f>
        <v>0</v>
      </c>
      <c r="D8" s="27">
        <v>0.0</v>
      </c>
      <c r="E8" s="20">
        <f t="shared" ref="E8:E11" si="5">IFERROR(SUM((F8/D8)-1),0)</f>
        <v>0</v>
      </c>
      <c r="F8" s="27">
        <v>0.0</v>
      </c>
      <c r="G8" s="20">
        <f t="shared" ref="G8:G11" si="6">IFERROR(SUM((H8/F8)-1),0)</f>
        <v>0</v>
      </c>
      <c r="H8" s="27">
        <v>0.0</v>
      </c>
      <c r="J8" s="49" t="s">
        <v>43</v>
      </c>
      <c r="K8" s="45">
        <f t="array" ref="K8">IFERROR(INDEX(Indicador_Ações[], MATCH($J$2, Indicador_Ações[Stock], 0), MATCH(Indicador_Ações[[#HEADERS],[patrimonio_liquido]], Indicador_Ações[#HEADERS], 0)),"")</f>
        <v>29181600000</v>
      </c>
      <c r="L8" s="29">
        <f t="array" ref="L8">IFERROR(INDEX(O6*K3,0)/L2,"")</f>
        <v>0.2299118031</v>
      </c>
      <c r="M8" s="9" t="s">
        <v>46</v>
      </c>
      <c r="N8" s="9" t="s">
        <v>50</v>
      </c>
      <c r="O8" s="21">
        <f>K16*(1-O7)</f>
        <v>5352445083</v>
      </c>
      <c r="P8" s="9"/>
      <c r="R8" s="9"/>
      <c r="S8" s="20"/>
      <c r="T8" s="27"/>
      <c r="U8" s="20"/>
      <c r="V8" s="27"/>
    </row>
    <row r="9">
      <c r="A9" s="43" t="s">
        <v>47</v>
      </c>
      <c r="B9" s="42">
        <v>1377560.0</v>
      </c>
      <c r="C9" s="48">
        <f t="shared" si="4"/>
        <v>0.5697290862</v>
      </c>
      <c r="D9" s="42">
        <v>2162396.0</v>
      </c>
      <c r="E9" s="48">
        <f t="shared" si="5"/>
        <v>-0.3286687545</v>
      </c>
      <c r="F9" s="42">
        <v>1451684.0</v>
      </c>
      <c r="G9" s="48">
        <f t="shared" si="6"/>
        <v>0.3099517526</v>
      </c>
      <c r="H9" s="42">
        <v>1901636.0</v>
      </c>
      <c r="J9" s="51" t="s">
        <v>48</v>
      </c>
      <c r="K9" s="50">
        <f t="array" ref="K9">IFERROR(INDEX(Indicador_Ações[], MATCH($J$2, Indicador_Ações[Stock], 0), MATCH(Indicador_Ações[[#HEADERS],[divida_bruta]], Indicador_Ações[#HEADERS], 0)),"")</f>
        <v>22352700000</v>
      </c>
      <c r="L9" s="20">
        <f>IFERROR(L8/L7,0)</f>
        <v>0.1687588489</v>
      </c>
      <c r="M9" s="51" t="s">
        <v>49</v>
      </c>
      <c r="N9" s="20"/>
      <c r="O9" s="9"/>
      <c r="P9" s="23"/>
      <c r="Q9" s="20"/>
      <c r="R9" s="23"/>
    </row>
    <row r="10">
      <c r="A10" s="9" t="s">
        <v>51</v>
      </c>
      <c r="B10" s="27">
        <v>414962.0</v>
      </c>
      <c r="C10" s="20">
        <f t="shared" si="4"/>
        <v>1.216378849</v>
      </c>
      <c r="D10" s="27">
        <v>919713.0</v>
      </c>
      <c r="E10" s="20">
        <f t="shared" si="5"/>
        <v>-0.05909887106</v>
      </c>
      <c r="F10" s="27">
        <v>865359.0</v>
      </c>
      <c r="G10" s="20">
        <f t="shared" si="6"/>
        <v>-0.1220961474</v>
      </c>
      <c r="H10" s="27">
        <v>759702.0</v>
      </c>
      <c r="J10" s="49" t="s">
        <v>52</v>
      </c>
      <c r="K10" s="45">
        <f>K9-K7</f>
        <v>19270590000</v>
      </c>
      <c r="L10" s="23">
        <f>IFERROR(K14/K4,0)</f>
        <v>0.6172551167</v>
      </c>
      <c r="M10" s="9" t="s">
        <v>53</v>
      </c>
      <c r="N10" s="20"/>
      <c r="P10" s="27"/>
      <c r="Q10" s="20"/>
      <c r="R10" s="27"/>
    </row>
    <row r="11">
      <c r="A11" s="9" t="s">
        <v>54</v>
      </c>
      <c r="B11" s="27">
        <f>SUM(B9,B10)</f>
        <v>1792522</v>
      </c>
      <c r="C11" s="20">
        <f t="shared" si="4"/>
        <v>0.7194260377</v>
      </c>
      <c r="D11" s="27">
        <f>SUM(D9,D10)</f>
        <v>3082109</v>
      </c>
      <c r="E11" s="20">
        <f t="shared" si="5"/>
        <v>-0.2482280802</v>
      </c>
      <c r="F11" s="27">
        <f>SUM(F9,F10)</f>
        <v>2317043</v>
      </c>
      <c r="G11" s="20">
        <f t="shared" si="6"/>
        <v>0.1485924085</v>
      </c>
      <c r="H11" s="27">
        <f>SUM(H9,H10)</f>
        <v>2661338</v>
      </c>
      <c r="J11" s="9" t="s">
        <v>56</v>
      </c>
      <c r="K11" s="29">
        <f>SUM(K8,K9)</f>
        <v>51534300000</v>
      </c>
      <c r="L11" s="20">
        <f>IFERROR(K22/K8,0)</f>
        <v>0.1336047372</v>
      </c>
      <c r="M11" s="9" t="s">
        <v>57</v>
      </c>
      <c r="N11" s="20"/>
      <c r="P11" s="27"/>
      <c r="Q11" s="20"/>
      <c r="R11" s="60"/>
    </row>
    <row r="12">
      <c r="A12" s="56"/>
      <c r="B12" s="57"/>
      <c r="C12" s="58"/>
      <c r="D12" s="57"/>
      <c r="E12" s="58"/>
      <c r="F12" s="57"/>
      <c r="G12" s="58"/>
      <c r="H12" s="57"/>
      <c r="J12" s="24" t="s">
        <v>58</v>
      </c>
      <c r="K12" s="59">
        <f>K9/K11</f>
        <v>0.4337441277</v>
      </c>
      <c r="L12" s="20">
        <f>O8/K11</f>
        <v>0.1038617985</v>
      </c>
      <c r="M12" s="9" t="s">
        <v>59</v>
      </c>
      <c r="N12" s="20"/>
    </row>
    <row r="13">
      <c r="A13" s="9" t="s">
        <v>60</v>
      </c>
      <c r="B13" s="23">
        <f>SUM(B14+B15)</f>
        <v>39280917</v>
      </c>
      <c r="C13" s="20">
        <f t="shared" ref="C13:C17" si="7">IFERROR(SUM((D13/B13)-1),0)</f>
        <v>0.06095018097</v>
      </c>
      <c r="D13" s="23">
        <f>SUM(D14+D15)</f>
        <v>41675096</v>
      </c>
      <c r="E13" s="20">
        <f t="shared" ref="E13:E17" si="8">IFERROR(SUM((F13/D13)-1),0)</f>
        <v>-0.1358032145</v>
      </c>
      <c r="F13" s="23">
        <f>SUM(F14+F15)</f>
        <v>36015484</v>
      </c>
      <c r="G13" s="20">
        <f t="shared" ref="G13:G17" si="9">IFERROR(SUM((H13/F13)-1),0)</f>
        <v>0.06749566381</v>
      </c>
      <c r="H13" s="23">
        <f>SUM(H14+H15)</f>
        <v>38446373</v>
      </c>
      <c r="J13" s="10" t="s">
        <v>61</v>
      </c>
      <c r="K13" s="61"/>
      <c r="L13" s="20">
        <f>IFERROR(K22/K4,0)</f>
        <v>0.0550201591</v>
      </c>
      <c r="M13" s="9" t="s">
        <v>62</v>
      </c>
      <c r="N13" s="20"/>
      <c r="Q13" s="9"/>
    </row>
    <row r="14">
      <c r="A14" s="9" t="s">
        <v>63</v>
      </c>
      <c r="B14" s="27">
        <v>1.5478646E7</v>
      </c>
      <c r="C14" s="20">
        <f t="shared" si="7"/>
        <v>-0.1301951088</v>
      </c>
      <c r="D14" s="27">
        <v>1.3463402E7</v>
      </c>
      <c r="E14" s="20">
        <f t="shared" si="8"/>
        <v>0.1054869341</v>
      </c>
      <c r="F14" s="27">
        <v>1.4883615E7</v>
      </c>
      <c r="G14" s="20">
        <f t="shared" si="9"/>
        <v>-0.0282935295</v>
      </c>
      <c r="H14" s="27">
        <v>1.4462505E7</v>
      </c>
      <c r="J14" s="24" t="s">
        <v>67</v>
      </c>
      <c r="K14" s="45">
        <f t="array" ref="K14">IFERROR(INDEX(Indicador_Ações[], MATCH($J$2, Indicador_Ações[Stock], 0), MATCH(Indicador_Ações[[#HEADERS],[receita_liquida_12m]], Indicador_Ações[#HEADERS], 0)),"")</f>
        <v>43739500000</v>
      </c>
      <c r="L14" s="23">
        <f>K6/K17</f>
        <v>6.083979468</v>
      </c>
      <c r="M14" s="9" t="s">
        <v>65</v>
      </c>
      <c r="N14" s="20"/>
      <c r="R14" s="23"/>
    </row>
    <row r="15">
      <c r="A15" s="9" t="s">
        <v>66</v>
      </c>
      <c r="B15" s="27">
        <v>2.3802271E7</v>
      </c>
      <c r="C15" s="20">
        <f t="shared" si="7"/>
        <v>0.1852521972</v>
      </c>
      <c r="D15" s="27">
        <v>2.8211694E7</v>
      </c>
      <c r="E15" s="20">
        <f t="shared" si="8"/>
        <v>-0.2509535585</v>
      </c>
      <c r="F15" s="27">
        <v>2.1131869E7</v>
      </c>
      <c r="G15" s="20">
        <f t="shared" si="9"/>
        <v>0.1349619856</v>
      </c>
      <c r="H15" s="27">
        <v>2.3983868E7</v>
      </c>
      <c r="J15" s="62" t="s">
        <v>71</v>
      </c>
      <c r="K15" s="63">
        <f t="array" ref="K15">IFERROR(INDEX(Indicador_Ações[], MATCH($J$2, Indicador_Ações[Stock], 0), MATCH(Indicador_Ações[[#HEADERS],[cagr_receita_5a]], Indicador_Ações[#HEADERS], 0)),"")</f>
        <v>6.1</v>
      </c>
      <c r="L15" s="20">
        <f>K17/K6</f>
        <v>0.1643661037</v>
      </c>
      <c r="M15" s="9" t="s">
        <v>69</v>
      </c>
      <c r="N15" s="20"/>
      <c r="Q15" s="9"/>
      <c r="R15" s="23"/>
    </row>
    <row r="16">
      <c r="A16" s="9" t="s">
        <v>70</v>
      </c>
      <c r="B16" s="27">
        <v>3083137.0</v>
      </c>
      <c r="C16" s="20">
        <f t="shared" si="7"/>
        <v>-0.5072615975</v>
      </c>
      <c r="D16" s="27">
        <v>1519180.0</v>
      </c>
      <c r="E16" s="20">
        <f t="shared" si="8"/>
        <v>0.9631452494</v>
      </c>
      <c r="F16" s="27">
        <v>2982371.0</v>
      </c>
      <c r="G16" s="20">
        <f t="shared" si="9"/>
        <v>0.02322715718</v>
      </c>
      <c r="H16" s="27">
        <v>3051643.0</v>
      </c>
      <c r="J16" s="9" t="s">
        <v>76</v>
      </c>
      <c r="K16" s="29">
        <f t="array" ref="K16">IFERROR(INDEX(Indicador_Ações[], MATCH($J$2, Indicador_Ações[Stock], 0), MATCH(Indicador_Ações[[#HEADERS],[ebit_12m]], Indicador_Ações[#HEADERS], 0)),"")</f>
        <v>6009850000</v>
      </c>
      <c r="L16" s="64">
        <f>IFERROR(K10/K17,0)</f>
        <v>2.274268368</v>
      </c>
      <c r="M16" s="65" t="s">
        <v>81</v>
      </c>
      <c r="N16" s="20"/>
      <c r="Q16" s="9"/>
      <c r="R16" s="23"/>
      <c r="V16" s="32"/>
    </row>
    <row r="17">
      <c r="A17" s="9" t="s">
        <v>73</v>
      </c>
      <c r="B17" s="27">
        <v>1.652738E7</v>
      </c>
      <c r="C17" s="20">
        <f t="shared" si="7"/>
        <v>0.2605463782</v>
      </c>
      <c r="D17" s="27">
        <v>2.0833529E7</v>
      </c>
      <c r="E17" s="20">
        <f t="shared" si="8"/>
        <v>-0.4034127391</v>
      </c>
      <c r="F17" s="27">
        <v>1.2429018E7</v>
      </c>
      <c r="G17" s="20">
        <f t="shared" si="9"/>
        <v>0.3205941129</v>
      </c>
      <c r="H17" s="27">
        <v>1.6413688E7</v>
      </c>
      <c r="J17" s="24" t="s">
        <v>83</v>
      </c>
      <c r="K17" s="26">
        <f>SUM(B70,D70,F70,H70)*K3</f>
        <v>8473314000</v>
      </c>
      <c r="L17" s="66">
        <f>IFERROR(SUM(B5,D5,F5,H5)/SUM(B14,D14,F14,H14),0)</f>
        <v>0.9927272547</v>
      </c>
      <c r="M17" s="65" t="s">
        <v>85</v>
      </c>
      <c r="R17" s="27"/>
      <c r="V17" s="27"/>
    </row>
    <row r="18">
      <c r="A18" s="67"/>
      <c r="B18" s="27"/>
      <c r="C18" s="20"/>
      <c r="D18" s="27"/>
      <c r="E18" s="20"/>
      <c r="F18" s="27"/>
      <c r="G18" s="20"/>
      <c r="H18" s="27"/>
      <c r="J18" s="9" t="s">
        <v>80</v>
      </c>
      <c r="K18" s="29">
        <f>SUM(B33,D33,F33,H33)*1000</f>
        <v>-36550266000</v>
      </c>
      <c r="L18" s="68">
        <f>IFERROR(SUM(B58,D58,F58,H58)/ABS(SUM(B61,D61,F61,H61)),0)</f>
        <v>2.489852593</v>
      </c>
      <c r="M18" s="69" t="s">
        <v>78</v>
      </c>
      <c r="R18" s="27"/>
    </row>
    <row r="19">
      <c r="A19" s="70" t="s">
        <v>79</v>
      </c>
      <c r="B19" s="27"/>
      <c r="C19" s="20"/>
      <c r="D19" s="27"/>
      <c r="E19" s="20"/>
      <c r="F19" s="27"/>
      <c r="G19" s="20"/>
      <c r="H19" s="27"/>
      <c r="J19" s="24" t="s">
        <v>86</v>
      </c>
      <c r="K19" s="45">
        <f>IFERROR(SUM(B44,D44,F44,H44),"")*1000</f>
        <v>7189272000</v>
      </c>
      <c r="L19" s="66">
        <f>IFERROR(K4/K8,0)</f>
        <v>2.428287003</v>
      </c>
      <c r="M19" s="65" t="s">
        <v>82</v>
      </c>
      <c r="V19" s="27"/>
    </row>
    <row r="20">
      <c r="A20" s="72" t="s">
        <v>48</v>
      </c>
      <c r="B20" s="27">
        <f>SUM(B17,B16)</f>
        <v>19610517</v>
      </c>
      <c r="C20" s="20">
        <f t="shared" ref="C20:C21" si="10">IFERROR(SUM((D20/B20)-1),0)</f>
        <v>0.1398327234</v>
      </c>
      <c r="D20" s="27">
        <f>SUM(D17,D16)</f>
        <v>22352709</v>
      </c>
      <c r="E20" s="20">
        <f t="shared" ref="E20:E21" si="11">IFERROR(SUM((F20/D20)-1),0)</f>
        <v>-0.3105359623</v>
      </c>
      <c r="F20" s="27">
        <f>SUM(F17,F16)</f>
        <v>15411389</v>
      </c>
      <c r="G20" s="20">
        <f t="shared" ref="G20:G21" si="12">IFERROR(SUM((H20/F20)-1),0)</f>
        <v>0.2630484507</v>
      </c>
      <c r="H20" s="27">
        <f>SUM(H17,H16)</f>
        <v>19465331</v>
      </c>
      <c r="J20" s="9" t="s">
        <v>93</v>
      </c>
      <c r="K20" s="50">
        <f>IFERROR(SUM(B55,D55,F55,H55),"")*1000</f>
        <v>-551913000</v>
      </c>
      <c r="L20" s="73">
        <f>K10/K8</f>
        <v>0.6603678345</v>
      </c>
      <c r="M20" s="65" t="s">
        <v>87</v>
      </c>
      <c r="P20" s="20"/>
      <c r="Q20" s="9"/>
      <c r="V20" s="27"/>
    </row>
    <row r="21">
      <c r="A21" s="9" t="s">
        <v>52</v>
      </c>
      <c r="B21" s="27">
        <f>SUM(B20-B11)</f>
        <v>17817995</v>
      </c>
      <c r="C21" s="20">
        <f t="shared" si="10"/>
        <v>0.08152460476</v>
      </c>
      <c r="D21" s="27">
        <f>SUM(D20-D11)</f>
        <v>19270600</v>
      </c>
      <c r="E21" s="20">
        <f t="shared" si="11"/>
        <v>-0.3205013855</v>
      </c>
      <c r="F21" s="27">
        <f>SUM(F20-F11)</f>
        <v>13094346</v>
      </c>
      <c r="G21" s="20">
        <f t="shared" si="12"/>
        <v>0.2833014341</v>
      </c>
      <c r="H21" s="27">
        <f>SUM(H20-H11)</f>
        <v>16803993</v>
      </c>
      <c r="J21" s="62" t="s">
        <v>90</v>
      </c>
      <c r="K21" s="74">
        <f>'Indicadores_Ações'!$B$4</f>
        <v>0.04443024618</v>
      </c>
      <c r="M21" s="9" t="s">
        <v>89</v>
      </c>
      <c r="P21" s="23"/>
      <c r="Q21" s="20"/>
      <c r="V21" s="27"/>
    </row>
    <row r="22">
      <c r="B22" s="23"/>
      <c r="C22" s="20"/>
      <c r="D22" s="23"/>
      <c r="E22" s="20"/>
      <c r="F22" s="23"/>
      <c r="G22" s="20"/>
      <c r="H22" s="23"/>
      <c r="J22" s="24" t="s">
        <v>97</v>
      </c>
      <c r="K22" s="26">
        <f>SUM(B71,D71,F71,H71)*1000000</f>
        <v>3898800000</v>
      </c>
      <c r="L22" s="23">
        <f>'Indicadores_Ações'!$B$3</f>
        <v>0.139</v>
      </c>
      <c r="M22" s="9" t="s">
        <v>91</v>
      </c>
      <c r="P22" s="23"/>
      <c r="Q22" s="20"/>
      <c r="V22" s="27"/>
    </row>
    <row r="23">
      <c r="A23" s="9" t="s">
        <v>92</v>
      </c>
      <c r="B23" s="23">
        <f>B4-B13</f>
        <v>28893376</v>
      </c>
      <c r="C23" s="20">
        <f>IFERROR(SUM((D23/B23)-1),0)</f>
        <v>0.01013301457</v>
      </c>
      <c r="D23" s="23">
        <f>D4-D13</f>
        <v>29186153</v>
      </c>
      <c r="E23" s="20">
        <f>IFERROR(SUM((F23/D23)-1),0)</f>
        <v>-0.0154694591</v>
      </c>
      <c r="F23" s="23">
        <f>F4-F13</f>
        <v>28734659</v>
      </c>
      <c r="G23" s="20">
        <f>IFERROR(SUM((H23/F23)-1),0)</f>
        <v>-0.005323049075</v>
      </c>
      <c r="H23" s="23">
        <f>H4-H13</f>
        <v>28581703</v>
      </c>
      <c r="J23" s="9" t="s">
        <v>96</v>
      </c>
      <c r="K23" s="29">
        <f t="array" ref="K23">IFERROR(INDEX(Indicador_Ações[], MATCH($J$2, Indicador_Ações[Stock], 0), MATCH(Indicador_Ações[[#HEADERS],[lucro_liquido_12m]], Indicador_Ações[#HEADERS], 0)),"")</f>
        <v>4595100000</v>
      </c>
      <c r="L23" s="75">
        <f>K24</f>
        <v>0.91</v>
      </c>
      <c r="M23" s="9" t="s">
        <v>95</v>
      </c>
      <c r="P23" s="23"/>
      <c r="Q23" s="20"/>
      <c r="V23" s="32"/>
    </row>
    <row r="24">
      <c r="B24" s="23"/>
      <c r="D24" s="23"/>
      <c r="F24" s="23"/>
      <c r="H24" s="23"/>
      <c r="J24" s="24" t="s">
        <v>100</v>
      </c>
      <c r="K24" s="86">
        <f t="array" ref="K24">IFERROR(INDEX(Indicador_Ações[], MATCH($J$2, Indicador_Ações[Stock], 0), MATCH(Indicador_Ações[[#HEADERS],[beta_ibov_3a]], Indicador_Ações[#HEADERS], 0)),"")</f>
        <v>0.91</v>
      </c>
      <c r="L24" s="23">
        <f>L22+0.02</f>
        <v>0.159</v>
      </c>
      <c r="M24" s="9" t="s">
        <v>98</v>
      </c>
      <c r="V24" s="32"/>
    </row>
    <row r="25">
      <c r="A25" s="9" t="s">
        <v>99</v>
      </c>
      <c r="B25" s="27">
        <v>393093.0</v>
      </c>
      <c r="C25" s="20">
        <f t="shared" ref="C25:C27" si="13">IFERROR(SUM((D25/B25)-1),0)</f>
        <v>0</v>
      </c>
      <c r="D25" s="27">
        <v>393093.0</v>
      </c>
      <c r="E25" s="20">
        <f t="shared" ref="E25:E27" si="14">IFERROR(SUM((F25/D25)-1),0)</f>
        <v>0</v>
      </c>
      <c r="F25" s="27">
        <v>393093.0</v>
      </c>
      <c r="G25" s="20">
        <f t="shared" ref="G25:G27" si="15">IFERROR(SUM((H25/F25)-1),0)</f>
        <v>0</v>
      </c>
      <c r="H25" s="27">
        <v>393093.0</v>
      </c>
      <c r="L25" s="94">
        <f>L22+L23*(L24-L22)</f>
        <v>0.1572</v>
      </c>
      <c r="M25" s="10" t="s">
        <v>101</v>
      </c>
      <c r="P25" s="20"/>
      <c r="V25" s="27"/>
    </row>
    <row r="26">
      <c r="A26" s="9" t="s">
        <v>102</v>
      </c>
      <c r="B26" s="27">
        <v>1.4217595E7</v>
      </c>
      <c r="C26" s="20">
        <f t="shared" si="13"/>
        <v>0</v>
      </c>
      <c r="D26" s="27">
        <v>1.4217595E7</v>
      </c>
      <c r="E26" s="20">
        <f t="shared" si="14"/>
        <v>-0.04515158858</v>
      </c>
      <c r="F26" s="27">
        <v>1.3575648E7</v>
      </c>
      <c r="G26" s="20">
        <f t="shared" si="15"/>
        <v>0.04728665622</v>
      </c>
      <c r="H26" s="27">
        <v>1.4217595E7</v>
      </c>
      <c r="J26" s="22"/>
      <c r="K26" s="22"/>
      <c r="L26" s="22"/>
      <c r="M26" s="22"/>
      <c r="N26" s="22"/>
      <c r="O26" s="27"/>
      <c r="P26" s="20"/>
      <c r="Q26" s="20"/>
    </row>
    <row r="27" ht="22.5" customHeight="1">
      <c r="A27" s="9" t="s">
        <v>113</v>
      </c>
      <c r="B27" s="27">
        <v>323712.0</v>
      </c>
      <c r="C27" s="20">
        <f t="shared" si="13"/>
        <v>0.971212065</v>
      </c>
      <c r="D27" s="27">
        <v>638105.0</v>
      </c>
      <c r="E27" s="20">
        <f t="shared" si="14"/>
        <v>1.020612595</v>
      </c>
      <c r="F27" s="27">
        <v>1289363.0</v>
      </c>
      <c r="G27" s="20">
        <f t="shared" si="15"/>
        <v>-1</v>
      </c>
      <c r="H27" s="27">
        <v>0.0</v>
      </c>
      <c r="J27" s="82" t="s">
        <v>104</v>
      </c>
      <c r="K27" s="82" t="s">
        <v>105</v>
      </c>
      <c r="L27" s="82" t="s">
        <v>11</v>
      </c>
      <c r="M27" s="82" t="s">
        <v>106</v>
      </c>
      <c r="N27" s="82" t="s">
        <v>107</v>
      </c>
      <c r="O27" s="84" t="s">
        <v>108</v>
      </c>
      <c r="V27" s="23"/>
    </row>
    <row r="28" ht="22.5" customHeight="1">
      <c r="A28" s="80"/>
      <c r="B28" s="96"/>
      <c r="C28" s="80"/>
      <c r="D28" s="96"/>
      <c r="E28" s="80"/>
      <c r="F28" s="96"/>
      <c r="G28" s="80"/>
      <c r="H28" s="96"/>
      <c r="J28" s="87" t="s">
        <v>112</v>
      </c>
      <c r="K28" s="88">
        <f>K2</f>
        <v>11.28</v>
      </c>
      <c r="L28" s="89">
        <v>1.0</v>
      </c>
      <c r="M28" s="90">
        <f>K33</f>
        <v>3898800000</v>
      </c>
      <c r="N28" s="91"/>
      <c r="O28" s="92">
        <v>5.0</v>
      </c>
      <c r="Q28" s="84" t="s">
        <v>11</v>
      </c>
      <c r="R28" s="102" t="s">
        <v>110</v>
      </c>
      <c r="T28" s="19"/>
      <c r="V28" s="27"/>
    </row>
    <row r="29" ht="22.5" customHeight="1">
      <c r="A29" s="81" t="s">
        <v>103</v>
      </c>
      <c r="B29" s="23"/>
      <c r="D29" s="23"/>
      <c r="F29" s="23"/>
      <c r="H29" s="23"/>
      <c r="J29" s="97" t="s">
        <v>10</v>
      </c>
      <c r="K29" s="98">
        <f>L2</f>
        <v>2861780000</v>
      </c>
      <c r="L29" s="99">
        <v>2.0</v>
      </c>
      <c r="M29" s="100">
        <f t="shared" ref="M29:M34" si="16">M28*(1+O28/100)</f>
        <v>4093740000</v>
      </c>
      <c r="N29" s="100">
        <f>M29/(1+K34)^L28</f>
        <v>3537625302</v>
      </c>
      <c r="O29" s="92">
        <v>5.0</v>
      </c>
      <c r="Q29" s="103">
        <v>0.0</v>
      </c>
      <c r="R29" s="104">
        <f>-K6</f>
        <v>-51551468400</v>
      </c>
      <c r="T29" s="23"/>
      <c r="V29" s="27"/>
    </row>
    <row r="30" ht="22.5" customHeight="1">
      <c r="A30" s="9" t="s">
        <v>111</v>
      </c>
      <c r="B30" s="27" t="s">
        <v>12</v>
      </c>
      <c r="C30" s="9" t="s">
        <v>13</v>
      </c>
      <c r="D30" s="27" t="s">
        <v>14</v>
      </c>
      <c r="E30" s="9" t="s">
        <v>15</v>
      </c>
      <c r="F30" s="27" t="s">
        <v>16</v>
      </c>
      <c r="G30" s="9" t="s">
        <v>17</v>
      </c>
      <c r="H30" s="27" t="s">
        <v>18</v>
      </c>
      <c r="J30" s="87" t="s">
        <v>116</v>
      </c>
      <c r="K30" s="88">
        <f>K5</f>
        <v>32280878400</v>
      </c>
      <c r="L30" s="89">
        <v>3.0</v>
      </c>
      <c r="M30" s="100">
        <f t="shared" si="16"/>
        <v>4298427000</v>
      </c>
      <c r="N30" s="90">
        <f>M30/(1+K34)^L29</f>
        <v>3209908890</v>
      </c>
      <c r="O30" s="92">
        <v>5.0</v>
      </c>
      <c r="P30" s="9"/>
      <c r="Q30" s="103">
        <v>1.0</v>
      </c>
      <c r="R30" s="106">
        <f t="shared" ref="R30:R34" si="17">M29</f>
        <v>4093740000</v>
      </c>
    </row>
    <row r="31" ht="22.5" customHeight="1">
      <c r="A31" s="9" t="s">
        <v>121</v>
      </c>
      <c r="B31" s="27"/>
      <c r="C31" s="20"/>
      <c r="D31" s="27"/>
      <c r="E31" s="20"/>
      <c r="F31" s="27"/>
      <c r="G31" s="20"/>
      <c r="H31" s="27"/>
      <c r="J31" s="97" t="s">
        <v>118</v>
      </c>
      <c r="K31" s="92">
        <f>SUM(O28:O36)/6</f>
        <v>5</v>
      </c>
      <c r="L31" s="99">
        <v>4.0</v>
      </c>
      <c r="M31" s="100">
        <f t="shared" si="16"/>
        <v>4513348350</v>
      </c>
      <c r="N31" s="100">
        <f>M31/(1+K34)^L30</f>
        <v>2912551274</v>
      </c>
      <c r="O31" s="92">
        <v>5.0</v>
      </c>
      <c r="Q31" s="103">
        <v>2.0</v>
      </c>
      <c r="R31" s="106">
        <f t="shared" si="17"/>
        <v>4298427000</v>
      </c>
    </row>
    <row r="32" ht="22.5" customHeight="1">
      <c r="A32" s="9" t="s">
        <v>123</v>
      </c>
      <c r="B32" s="27">
        <v>1.0462543E7</v>
      </c>
      <c r="C32" s="20">
        <f t="shared" ref="C32:C44" si="18">IFERROR(SUM((D32/B32)-1),0)</f>
        <v>0.06630271436</v>
      </c>
      <c r="D32" s="27">
        <v>1.1156238E7</v>
      </c>
      <c r="E32" s="20">
        <f t="shared" ref="E32:E44" si="19">IFERROR(SUM((F32/D32)-1),0)</f>
        <v>-0.04808941867</v>
      </c>
      <c r="F32" s="27">
        <v>1.0619741E7</v>
      </c>
      <c r="G32" s="20">
        <f t="shared" ref="G32:G44" si="20">IFERROR(SUM((H32/F32)-1),0)</f>
        <v>0.08298460386</v>
      </c>
      <c r="H32" s="27">
        <v>1.1501016E7</v>
      </c>
      <c r="J32" s="87" t="s">
        <v>120</v>
      </c>
      <c r="K32" s="105">
        <v>0.04</v>
      </c>
      <c r="L32" s="89">
        <v>5.0</v>
      </c>
      <c r="M32" s="100">
        <f t="shared" si="16"/>
        <v>4739015768</v>
      </c>
      <c r="N32" s="90">
        <f>M32/(1+K34)^L31</f>
        <v>2642740095</v>
      </c>
      <c r="O32" s="92">
        <v>5.0</v>
      </c>
      <c r="P32" s="9"/>
      <c r="Q32" s="103">
        <v>3.0</v>
      </c>
      <c r="R32" s="106">
        <f t="shared" si="17"/>
        <v>4513348350</v>
      </c>
    </row>
    <row r="33" ht="22.5" customHeight="1">
      <c r="A33" s="72" t="s">
        <v>126</v>
      </c>
      <c r="B33" s="109">
        <f>SUM(B34,B38,B39)</f>
        <v>-8737422</v>
      </c>
      <c r="C33" s="111">
        <f t="shared" si="18"/>
        <v>0.04053987549</v>
      </c>
      <c r="D33" s="109">
        <f>SUM(D34,D38,D39)</f>
        <v>-9091636</v>
      </c>
      <c r="E33" s="111">
        <f t="shared" si="19"/>
        <v>0.003040706865</v>
      </c>
      <c r="F33" s="109">
        <f>SUM(F34,F38,F39)</f>
        <v>-9119281</v>
      </c>
      <c r="G33" s="111">
        <f t="shared" si="20"/>
        <v>0.05292588308</v>
      </c>
      <c r="H33" s="109">
        <f>SUM(H34,H38,H39)</f>
        <v>-9601927</v>
      </c>
      <c r="J33" s="108" t="s">
        <v>129</v>
      </c>
      <c r="K33" s="98">
        <f>$K$22</f>
        <v>3898800000</v>
      </c>
      <c r="L33" s="99">
        <v>6.0</v>
      </c>
      <c r="M33" s="100">
        <f t="shared" si="16"/>
        <v>4975966556</v>
      </c>
      <c r="N33" s="100">
        <f>M33/(1+K34)^L32</f>
        <v>2397923522</v>
      </c>
      <c r="O33" s="92">
        <v>5.0</v>
      </c>
      <c r="Q33" s="93">
        <v>4.0</v>
      </c>
      <c r="R33" s="106">
        <f t="shared" si="17"/>
        <v>4739015768</v>
      </c>
      <c r="S33" s="107"/>
      <c r="T33" s="107"/>
      <c r="U33" s="107"/>
      <c r="V33" s="107"/>
    </row>
    <row r="34" ht="22.5" customHeight="1">
      <c r="A34" s="24" t="s">
        <v>134</v>
      </c>
      <c r="B34" s="115">
        <f>SUM(B35:B37)</f>
        <v>-5846956</v>
      </c>
      <c r="C34" s="59">
        <f t="shared" si="18"/>
        <v>-0.005595732207</v>
      </c>
      <c r="D34" s="115">
        <f>SUM(D35:D37)</f>
        <v>-5814238</v>
      </c>
      <c r="E34" s="59">
        <f t="shared" si="19"/>
        <v>0.06119202551</v>
      </c>
      <c r="F34" s="115">
        <f>SUM(F35:F37)</f>
        <v>-6170023</v>
      </c>
      <c r="G34" s="59">
        <f t="shared" si="20"/>
        <v>0.001425926613</v>
      </c>
      <c r="H34" s="115">
        <f>SUM(H35:H37)</f>
        <v>-6178821</v>
      </c>
      <c r="I34" s="20"/>
      <c r="J34" s="110" t="s">
        <v>125</v>
      </c>
      <c r="K34" s="105">
        <f>L25</f>
        <v>0.1572</v>
      </c>
      <c r="L34" s="89">
        <v>7.0</v>
      </c>
      <c r="M34" s="100">
        <f t="shared" si="16"/>
        <v>5224764884</v>
      </c>
      <c r="N34" s="90">
        <f>M34/(1+K34)^L33</f>
        <v>2175786120</v>
      </c>
      <c r="O34" s="92"/>
      <c r="Q34" s="93">
        <v>5.0</v>
      </c>
      <c r="R34" s="106">
        <f t="shared" si="17"/>
        <v>4975966556</v>
      </c>
      <c r="S34" s="107"/>
      <c r="T34" s="107"/>
      <c r="U34" s="107"/>
      <c r="V34" s="107"/>
    </row>
    <row r="35" ht="22.5" customHeight="1">
      <c r="A35" s="117" t="s">
        <v>139</v>
      </c>
      <c r="B35" s="27">
        <v>-4915028.0</v>
      </c>
      <c r="C35" s="20">
        <f t="shared" si="18"/>
        <v>-0.02640290147</v>
      </c>
      <c r="D35" s="27">
        <v>-4785257.0</v>
      </c>
      <c r="E35" s="20">
        <f t="shared" si="19"/>
        <v>0.07895291726</v>
      </c>
      <c r="F35" s="27">
        <v>-5163067.0</v>
      </c>
      <c r="G35" s="20">
        <f t="shared" si="20"/>
        <v>0.007344665487</v>
      </c>
      <c r="H35" s="27">
        <v>-5200988.0</v>
      </c>
      <c r="J35" s="97" t="s">
        <v>128</v>
      </c>
      <c r="K35" s="98">
        <f>K36/K29</f>
        <v>11.72733301</v>
      </c>
      <c r="L35" s="99" t="s">
        <v>131</v>
      </c>
      <c r="M35" s="100">
        <f>IFERROR( M34 * (1 + K32) / (K34  -K32  ), 0 )
</f>
        <v>46363101357</v>
      </c>
      <c r="N35" s="100">
        <f>M35/(1+K34)^L34</f>
        <v>16684511845</v>
      </c>
      <c r="O35" s="92"/>
      <c r="P35" s="9"/>
      <c r="Q35" s="93">
        <v>6.0</v>
      </c>
      <c r="R35" s="106">
        <f>M34+M35</f>
        <v>51587866240</v>
      </c>
      <c r="S35" s="107"/>
      <c r="T35" s="107"/>
      <c r="U35" s="107"/>
      <c r="V35" s="107"/>
    </row>
    <row r="36" ht="22.5" customHeight="1">
      <c r="A36" s="117" t="s">
        <v>144</v>
      </c>
      <c r="B36" s="27">
        <v>-718658.0</v>
      </c>
      <c r="C36" s="20">
        <f t="shared" si="18"/>
        <v>0.1556345299</v>
      </c>
      <c r="D36" s="27">
        <v>-830506.0</v>
      </c>
      <c r="E36" s="20">
        <f t="shared" si="19"/>
        <v>-0.0776153333</v>
      </c>
      <c r="F36" s="27">
        <v>-766046.0</v>
      </c>
      <c r="G36" s="20">
        <f t="shared" si="20"/>
        <v>-0.02012672868</v>
      </c>
      <c r="H36" s="27">
        <v>-750628.0</v>
      </c>
      <c r="J36" s="87" t="s">
        <v>136</v>
      </c>
      <c r="K36" s="88">
        <f>N36</f>
        <v>33561047049</v>
      </c>
      <c r="L36" s="116"/>
      <c r="M36" s="90"/>
      <c r="N36" s="90">
        <f>SUM(N28:N35)</f>
        <v>33561047049</v>
      </c>
      <c r="O36" s="92"/>
      <c r="Q36" s="93" t="s">
        <v>132</v>
      </c>
      <c r="R36" s="119">
        <f>IFERROR(IRR(R29:R35),0)</f>
        <v>0.07521528348</v>
      </c>
      <c r="S36" s="107"/>
      <c r="T36" s="107"/>
      <c r="U36" s="107"/>
      <c r="V36" s="107"/>
    </row>
    <row r="37">
      <c r="A37" s="117" t="s">
        <v>147</v>
      </c>
      <c r="B37" s="27">
        <v>-213270.0</v>
      </c>
      <c r="C37" s="20">
        <f t="shared" si="18"/>
        <v>-0.06937215736</v>
      </c>
      <c r="D37" s="27">
        <v>-198475.0</v>
      </c>
      <c r="E37" s="20">
        <f t="shared" si="19"/>
        <v>0.2138052651</v>
      </c>
      <c r="F37" s="27">
        <v>-240910.0</v>
      </c>
      <c r="G37" s="20">
        <f t="shared" si="20"/>
        <v>-0.05688846457</v>
      </c>
      <c r="H37" s="27">
        <v>-227205.0</v>
      </c>
      <c r="S37" s="107"/>
      <c r="T37" s="107"/>
      <c r="U37" s="107"/>
      <c r="V37" s="107"/>
    </row>
    <row r="38">
      <c r="A38" s="121" t="s">
        <v>148</v>
      </c>
      <c r="B38" s="122">
        <v>-1482436.0</v>
      </c>
      <c r="C38" s="123">
        <f t="shared" si="18"/>
        <v>0.1825738177</v>
      </c>
      <c r="D38" s="122">
        <v>-1753090.0</v>
      </c>
      <c r="E38" s="123">
        <f t="shared" si="19"/>
        <v>-0.08613248607</v>
      </c>
      <c r="F38" s="122">
        <v>-1602092.0</v>
      </c>
      <c r="G38" s="123">
        <f t="shared" si="20"/>
        <v>0.145757547</v>
      </c>
      <c r="H38" s="122">
        <v>-1835609.0</v>
      </c>
      <c r="S38" s="107"/>
      <c r="T38" s="107"/>
      <c r="U38" s="107"/>
      <c r="V38" s="107"/>
    </row>
    <row r="39">
      <c r="A39" s="24" t="s">
        <v>149</v>
      </c>
      <c r="B39" s="115">
        <f>SUM(B40:B43)</f>
        <v>-1408030</v>
      </c>
      <c r="C39" s="59">
        <f t="shared" si="18"/>
        <v>0.08258204726</v>
      </c>
      <c r="D39" s="115">
        <f>SUM(D40:D43)</f>
        <v>-1524308</v>
      </c>
      <c r="E39" s="59">
        <f t="shared" si="19"/>
        <v>-0.1162114218</v>
      </c>
      <c r="F39" s="115">
        <f>SUM(F40:F43)</f>
        <v>-1347166</v>
      </c>
      <c r="G39" s="59">
        <f t="shared" si="20"/>
        <v>0.1783974655</v>
      </c>
      <c r="H39" s="115">
        <f>SUM(H40:H43)</f>
        <v>-1587497</v>
      </c>
      <c r="P39" s="9"/>
      <c r="Q39" s="107"/>
      <c r="R39" s="107"/>
      <c r="S39" s="107"/>
      <c r="T39" s="107"/>
      <c r="U39" s="107"/>
      <c r="V39" s="107"/>
    </row>
    <row r="40">
      <c r="A40" s="117" t="s">
        <v>153</v>
      </c>
      <c r="B40" s="27">
        <v>-365592.0</v>
      </c>
      <c r="C40" s="20">
        <f t="shared" si="18"/>
        <v>0.151029016</v>
      </c>
      <c r="D40" s="27">
        <v>-420807.0</v>
      </c>
      <c r="E40" s="20">
        <f t="shared" si="19"/>
        <v>-0.1986682731</v>
      </c>
      <c r="F40" s="27">
        <v>-337206.0</v>
      </c>
      <c r="G40" s="20">
        <f t="shared" si="20"/>
        <v>0.1314597012</v>
      </c>
      <c r="H40" s="27">
        <v>-381535.0</v>
      </c>
      <c r="P40" s="67"/>
    </row>
    <row r="41">
      <c r="A41" s="125" t="s">
        <v>155</v>
      </c>
      <c r="B41" s="27">
        <v>-45054.0</v>
      </c>
      <c r="C41" s="20">
        <f t="shared" si="18"/>
        <v>0.1848004617</v>
      </c>
      <c r="D41" s="27">
        <v>-53380.0</v>
      </c>
      <c r="E41" s="20">
        <f t="shared" si="19"/>
        <v>-0.1041775946</v>
      </c>
      <c r="F41" s="27">
        <v>-47819.0</v>
      </c>
      <c r="G41" s="20">
        <f t="shared" si="20"/>
        <v>0.6348522554</v>
      </c>
      <c r="H41" s="27">
        <v>-78177.0</v>
      </c>
    </row>
    <row r="42">
      <c r="A42" s="9" t="s">
        <v>157</v>
      </c>
      <c r="B42" s="27">
        <v>-596063.0</v>
      </c>
      <c r="C42" s="20">
        <f t="shared" si="18"/>
        <v>0.07379924605</v>
      </c>
      <c r="D42" s="27">
        <v>-640052.0</v>
      </c>
      <c r="E42" s="20">
        <f t="shared" si="19"/>
        <v>-0.08724759863</v>
      </c>
      <c r="F42" s="27">
        <v>-584209.0</v>
      </c>
      <c r="G42" s="20">
        <f t="shared" si="20"/>
        <v>0.2059742318</v>
      </c>
      <c r="H42" s="27">
        <v>-704541.0</v>
      </c>
      <c r="Q42" s="107"/>
      <c r="R42" s="107"/>
    </row>
    <row r="43">
      <c r="A43" s="24" t="s">
        <v>159</v>
      </c>
      <c r="B43" s="113">
        <v>-401321.0</v>
      </c>
      <c r="C43" s="59">
        <f t="shared" si="18"/>
        <v>0.02179801207</v>
      </c>
      <c r="D43" s="113">
        <v>-410069.0</v>
      </c>
      <c r="E43" s="59">
        <f t="shared" si="19"/>
        <v>-0.07836973778</v>
      </c>
      <c r="F43" s="113">
        <v>-377932.0</v>
      </c>
      <c r="G43" s="59">
        <f t="shared" si="20"/>
        <v>0.1198945842</v>
      </c>
      <c r="H43" s="113">
        <v>-423244.0</v>
      </c>
      <c r="Q43" s="107"/>
      <c r="R43" s="107"/>
    </row>
    <row r="44">
      <c r="A44" s="72" t="s">
        <v>130</v>
      </c>
      <c r="B44" s="109">
        <f>B32+B33</f>
        <v>1725121</v>
      </c>
      <c r="C44" s="111">
        <f t="shared" si="18"/>
        <v>0.1967867761</v>
      </c>
      <c r="D44" s="109">
        <f>D32+D33</f>
        <v>2064602</v>
      </c>
      <c r="E44" s="111">
        <f t="shared" si="19"/>
        <v>-0.273244916</v>
      </c>
      <c r="F44" s="109">
        <f>F32+F33</f>
        <v>1500460</v>
      </c>
      <c r="G44" s="111">
        <f t="shared" si="20"/>
        <v>0.2656711942</v>
      </c>
      <c r="H44" s="109">
        <f>H32+H33</f>
        <v>1899089</v>
      </c>
      <c r="Q44" s="107"/>
      <c r="R44" s="107"/>
    </row>
    <row r="45">
      <c r="A45" s="67" t="s">
        <v>137</v>
      </c>
      <c r="B45" s="23"/>
      <c r="C45" s="20"/>
      <c r="D45" s="23"/>
      <c r="E45" s="20"/>
      <c r="F45" s="23"/>
      <c r="G45" s="20"/>
      <c r="H45" s="23"/>
      <c r="Q45" s="107"/>
      <c r="R45" s="107"/>
    </row>
    <row r="46">
      <c r="A46" s="9" t="s">
        <v>151</v>
      </c>
      <c r="B46" s="20">
        <f>ABS(B47)/B32</f>
        <v>0.01922238217</v>
      </c>
      <c r="C46" s="20">
        <f t="shared" ref="C46:C55" si="21">IFERROR(SUM((D46/B46)-1),0)</f>
        <v>0.5856182781</v>
      </c>
      <c r="D46" s="20">
        <f>ABS(D47)/D32</f>
        <v>0.03047936052</v>
      </c>
      <c r="E46" s="20">
        <f t="shared" ref="E46:E55" si="22">IFERROR(SUM((F46/D46)-1),0)</f>
        <v>-0.1851964124</v>
      </c>
      <c r="F46" s="20">
        <f>ABS(F47)/F32</f>
        <v>0.0248346923</v>
      </c>
      <c r="G46" s="20">
        <f t="shared" ref="G46:G55" si="23">IFERROR(SUM((H46/F46)-1),0)</f>
        <v>1.396666724</v>
      </c>
      <c r="H46" s="20">
        <f>ABS(H47)/H32</f>
        <v>0.05952048063</v>
      </c>
      <c r="Q46" s="107"/>
      <c r="R46" s="107"/>
    </row>
    <row r="47">
      <c r="A47" s="72" t="s">
        <v>167</v>
      </c>
      <c r="B47" s="109">
        <f>SUM(B48:B51)</f>
        <v>-201115</v>
      </c>
      <c r="C47" s="111">
        <f t="shared" si="21"/>
        <v>0.6907490739</v>
      </c>
      <c r="D47" s="109">
        <f>SUM(D48:D51)</f>
        <v>-340035</v>
      </c>
      <c r="E47" s="111">
        <f t="shared" si="22"/>
        <v>-0.2243798433</v>
      </c>
      <c r="F47" s="109">
        <f>SUM(F48:F51)</f>
        <v>-263738</v>
      </c>
      <c r="G47" s="111">
        <f t="shared" si="23"/>
        <v>-3.595553163</v>
      </c>
      <c r="H47" s="109">
        <f>SUM(H48:H51)</f>
        <v>684546</v>
      </c>
      <c r="Q47" s="107"/>
      <c r="R47" s="107"/>
    </row>
    <row r="48">
      <c r="A48" s="9" t="s">
        <v>170</v>
      </c>
      <c r="B48" s="27">
        <v>-50233.0</v>
      </c>
      <c r="C48" s="20">
        <f t="shared" si="21"/>
        <v>0</v>
      </c>
      <c r="D48" s="27">
        <v>-50233.0</v>
      </c>
      <c r="E48" s="20">
        <f t="shared" si="22"/>
        <v>1.096171839</v>
      </c>
      <c r="F48" s="27">
        <v>-105297.0</v>
      </c>
      <c r="G48" s="20">
        <f t="shared" si="23"/>
        <v>-11.13719289</v>
      </c>
      <c r="H48" s="27">
        <v>1067416.0</v>
      </c>
    </row>
    <row r="49">
      <c r="A49" s="9" t="s">
        <v>171</v>
      </c>
      <c r="B49" s="27">
        <v>-32348.0</v>
      </c>
      <c r="C49" s="20">
        <f t="shared" si="21"/>
        <v>-0.247526895</v>
      </c>
      <c r="D49" s="27">
        <v>-24341.0</v>
      </c>
      <c r="E49" s="20">
        <f t="shared" si="22"/>
        <v>0.3317858757</v>
      </c>
      <c r="F49" s="27">
        <v>-32417.0</v>
      </c>
      <c r="G49" s="20">
        <f t="shared" si="23"/>
        <v>1.011876485</v>
      </c>
      <c r="H49" s="27">
        <v>-65219.0</v>
      </c>
    </row>
    <row r="50">
      <c r="A50" s="9" t="s">
        <v>175</v>
      </c>
      <c r="B50" s="27">
        <v>-84000.0</v>
      </c>
      <c r="C50" s="20">
        <f t="shared" si="21"/>
        <v>1.561297619</v>
      </c>
      <c r="D50" s="27">
        <v>-215149.0</v>
      </c>
      <c r="E50" s="20">
        <f t="shared" si="22"/>
        <v>-0.5286615322</v>
      </c>
      <c r="F50" s="27">
        <v>-101408.0</v>
      </c>
      <c r="G50" s="20">
        <f t="shared" si="23"/>
        <v>1.97959727</v>
      </c>
      <c r="H50" s="27">
        <v>-302155.0</v>
      </c>
    </row>
    <row r="51">
      <c r="A51" s="9" t="s">
        <v>178</v>
      </c>
      <c r="B51" s="27">
        <v>-34534.0</v>
      </c>
      <c r="C51" s="20">
        <f t="shared" si="21"/>
        <v>0.4568830718</v>
      </c>
      <c r="D51" s="27">
        <v>-50312.0</v>
      </c>
      <c r="E51" s="20">
        <f t="shared" si="22"/>
        <v>-0.5107330259</v>
      </c>
      <c r="F51" s="27">
        <v>-24616.0</v>
      </c>
      <c r="G51" s="20">
        <f t="shared" si="23"/>
        <v>-0.3704907377</v>
      </c>
      <c r="H51" s="27">
        <v>-15496.0</v>
      </c>
    </row>
    <row r="52">
      <c r="A52" s="24" t="s">
        <v>180</v>
      </c>
      <c r="B52" s="113">
        <v>-83363.0</v>
      </c>
      <c r="C52" s="59">
        <f t="shared" si="21"/>
        <v>-3.12340007</v>
      </c>
      <c r="D52" s="113">
        <v>177013.0</v>
      </c>
      <c r="E52" s="59">
        <f t="shared" si="22"/>
        <v>-1.340675544</v>
      </c>
      <c r="F52" s="113">
        <v>-60304.0</v>
      </c>
      <c r="G52" s="59">
        <f t="shared" si="23"/>
        <v>-0.2141317326</v>
      </c>
      <c r="H52" s="113">
        <v>-47391.0</v>
      </c>
    </row>
    <row r="53">
      <c r="A53" s="9" t="s">
        <v>184</v>
      </c>
      <c r="B53" s="27">
        <v>-131804.0</v>
      </c>
      <c r="C53" s="20">
        <f t="shared" si="21"/>
        <v>0.24212467</v>
      </c>
      <c r="D53" s="27">
        <v>-163717.0</v>
      </c>
      <c r="E53" s="20">
        <f t="shared" si="22"/>
        <v>-0.4225706555</v>
      </c>
      <c r="F53" s="27">
        <v>-94535.0</v>
      </c>
      <c r="G53" s="20">
        <f t="shared" si="23"/>
        <v>1.408303803</v>
      </c>
      <c r="H53" s="27">
        <v>-227669.0</v>
      </c>
    </row>
    <row r="54">
      <c r="A54" s="9" t="s">
        <v>154</v>
      </c>
      <c r="B54" s="27">
        <v>26191.0</v>
      </c>
      <c r="C54" s="20">
        <f t="shared" si="21"/>
        <v>-1</v>
      </c>
      <c r="D54" s="27">
        <v>0.0</v>
      </c>
      <c r="E54" s="20">
        <f t="shared" si="22"/>
        <v>0</v>
      </c>
      <c r="F54" s="27">
        <v>0.0</v>
      </c>
      <c r="G54" s="20">
        <f t="shared" si="23"/>
        <v>0</v>
      </c>
      <c r="H54" s="27">
        <v>174008.0</v>
      </c>
    </row>
    <row r="55">
      <c r="A55" s="72" t="s">
        <v>186</v>
      </c>
      <c r="B55" s="120">
        <f>SUM(B52,B47,B53,B54)</f>
        <v>-390091</v>
      </c>
      <c r="C55" s="111">
        <f t="shared" si="21"/>
        <v>-0.1624031316</v>
      </c>
      <c r="D55" s="120">
        <f>SUM(D52,D47,D53,D54)</f>
        <v>-326739</v>
      </c>
      <c r="E55" s="111">
        <f t="shared" si="22"/>
        <v>0.2810744968</v>
      </c>
      <c r="F55" s="120">
        <f>SUM(F52,F47,F53,F54)</f>
        <v>-418577</v>
      </c>
      <c r="G55" s="111">
        <f t="shared" si="23"/>
        <v>-2.393994414</v>
      </c>
      <c r="H55" s="120">
        <f>SUM(H52,H47,H53,H54)</f>
        <v>583494</v>
      </c>
    </row>
    <row r="56">
      <c r="B56" s="23"/>
      <c r="C56" s="20"/>
      <c r="D56" s="23"/>
      <c r="E56" s="20"/>
      <c r="F56" s="23"/>
      <c r="G56" s="20"/>
      <c r="H56" s="23"/>
    </row>
    <row r="57">
      <c r="A57" s="9" t="s">
        <v>141</v>
      </c>
      <c r="B57" s="27">
        <v>52325.0</v>
      </c>
      <c r="C57" s="20">
        <f t="shared" ref="C57:C58" si="24">IFERROR(SUM((D57/B57)-1),0)</f>
        <v>0.7464500717</v>
      </c>
      <c r="D57" s="27">
        <v>91383.0</v>
      </c>
      <c r="E57" s="20">
        <f t="shared" ref="E57:E58" si="25">IFERROR(SUM((F57/D57)-1),0)</f>
        <v>-0.5545342131</v>
      </c>
      <c r="F57" s="27">
        <v>40708.0</v>
      </c>
      <c r="G57" s="20">
        <f t="shared" ref="G57:G58" si="26">IFERROR(SUM((H57/F57)-1),0)</f>
        <v>-0.0005158691166</v>
      </c>
      <c r="H57" s="27">
        <v>40687.0</v>
      </c>
    </row>
    <row r="58">
      <c r="A58" s="72" t="s">
        <v>143</v>
      </c>
      <c r="B58" s="120">
        <f>SUM(B44,B55,B57)</f>
        <v>1387355</v>
      </c>
      <c r="C58" s="111">
        <f t="shared" si="24"/>
        <v>0.3185132861</v>
      </c>
      <c r="D58" s="120">
        <f>SUM(D44,D55,D57)</f>
        <v>1829246</v>
      </c>
      <c r="E58" s="111">
        <f t="shared" si="25"/>
        <v>-0.3863094412</v>
      </c>
      <c r="F58" s="120">
        <f>SUM(F44,F55,F57)</f>
        <v>1122591</v>
      </c>
      <c r="G58" s="111">
        <f t="shared" si="26"/>
        <v>1.247719784</v>
      </c>
      <c r="H58" s="120">
        <f>SUM(H44,H55,H57)</f>
        <v>2523270</v>
      </c>
    </row>
    <row r="59">
      <c r="B59" s="23"/>
      <c r="C59" s="20"/>
      <c r="D59" s="23"/>
      <c r="E59" s="20"/>
      <c r="F59" s="23"/>
      <c r="G59" s="20"/>
      <c r="H59" s="23"/>
    </row>
    <row r="60">
      <c r="A60" s="9" t="s">
        <v>127</v>
      </c>
      <c r="B60" s="27">
        <v>257960.0</v>
      </c>
      <c r="C60" s="20">
        <f t="shared" ref="C60:C62" si="27">IFERROR(SUM((D60/B60)-1),0)</f>
        <v>0.1249379749</v>
      </c>
      <c r="D60" s="27">
        <v>290189.0</v>
      </c>
      <c r="E60" s="20">
        <f t="shared" ref="E60:E62" si="28">IFERROR(SUM((F60/D60)-1),0)</f>
        <v>-0.1145667134</v>
      </c>
      <c r="F60" s="27">
        <v>256943.0</v>
      </c>
      <c r="G60" s="20">
        <f t="shared" ref="G60:G62" si="29">IFERROR(SUM((H60/F60)-1),0)</f>
        <v>-0.02601744356</v>
      </c>
      <c r="H60" s="27">
        <v>250258.0</v>
      </c>
    </row>
    <row r="61">
      <c r="A61" s="9" t="s">
        <v>135</v>
      </c>
      <c r="B61" s="27">
        <v>-596384.0</v>
      </c>
      <c r="C61" s="20">
        <f t="shared" si="27"/>
        <v>0.8211320223</v>
      </c>
      <c r="D61" s="27">
        <v>-1086094.0</v>
      </c>
      <c r="E61" s="20">
        <f t="shared" si="28"/>
        <v>-0.5092459769</v>
      </c>
      <c r="F61" s="27">
        <v>-533005.0</v>
      </c>
      <c r="G61" s="20">
        <f t="shared" si="29"/>
        <v>0.01441637508</v>
      </c>
      <c r="H61" s="27">
        <v>-540689.0</v>
      </c>
    </row>
    <row r="62">
      <c r="A62" s="9" t="s">
        <v>138</v>
      </c>
      <c r="B62" s="27">
        <f>B60+B61</f>
        <v>-338424</v>
      </c>
      <c r="C62" s="20">
        <f t="shared" si="27"/>
        <v>1.351798336</v>
      </c>
      <c r="D62" s="27">
        <f>D60+D61</f>
        <v>-795905</v>
      </c>
      <c r="E62" s="20">
        <f t="shared" si="28"/>
        <v>-0.6531470464</v>
      </c>
      <c r="F62" s="27">
        <f>F60+F61</f>
        <v>-276062</v>
      </c>
      <c r="G62" s="20">
        <f t="shared" si="29"/>
        <v>0.05204990183</v>
      </c>
      <c r="H62" s="27">
        <f>H60+H61</f>
        <v>-290431</v>
      </c>
    </row>
    <row r="63">
      <c r="B63" s="23"/>
      <c r="C63" s="20"/>
      <c r="D63" s="23"/>
      <c r="E63" s="20"/>
      <c r="F63" s="23"/>
      <c r="G63" s="20"/>
      <c r="H63" s="23"/>
    </row>
    <row r="64">
      <c r="B64" s="27"/>
      <c r="C64" s="20"/>
      <c r="D64" s="27"/>
      <c r="E64" s="20"/>
      <c r="F64" s="27"/>
      <c r="G64" s="20"/>
      <c r="H64" s="27"/>
      <c r="J64" s="67"/>
      <c r="L64" s="20"/>
      <c r="N64" s="20"/>
      <c r="P64" s="20"/>
    </row>
    <row r="65">
      <c r="A65" s="72" t="s">
        <v>207</v>
      </c>
      <c r="B65" s="23">
        <f>B68-B67-B62-B43</f>
        <v>1788676</v>
      </c>
      <c r="C65" s="20">
        <f t="shared" ref="C65:C71" si="30">IFERROR(SUM((D65/B65)-1),0)</f>
        <v>0.2519399824</v>
      </c>
      <c r="D65" s="23">
        <f>D68-D67-D62-D43</f>
        <v>2239315</v>
      </c>
      <c r="E65" s="20">
        <f t="shared" ref="E65:E71" si="31">IFERROR(SUM((F65/D65)-1),0)</f>
        <v>-0.3299187475</v>
      </c>
      <c r="F65" s="23">
        <f>F68-F67-F62-F43</f>
        <v>1500523</v>
      </c>
      <c r="G65" s="20">
        <f t="shared" ref="G65:G71" si="32">IFERROR(SUM((H65/F65)-1),0)</f>
        <v>0.9636580046</v>
      </c>
      <c r="H65" s="23">
        <f>H68-H67-H62-H43</f>
        <v>2946514</v>
      </c>
      <c r="J65" s="9"/>
      <c r="K65" s="20"/>
      <c r="L65" s="20"/>
      <c r="M65" s="20"/>
      <c r="N65" s="20"/>
      <c r="O65" s="20"/>
      <c r="P65" s="20"/>
      <c r="Q65" s="20"/>
    </row>
    <row r="66">
      <c r="A66" s="9" t="s">
        <v>150</v>
      </c>
      <c r="B66" s="23">
        <f>B58+B62</f>
        <v>1048931</v>
      </c>
      <c r="C66" s="20">
        <f t="shared" si="30"/>
        <v>-0.01486275074</v>
      </c>
      <c r="D66" s="23">
        <f>D58+D62</f>
        <v>1033341</v>
      </c>
      <c r="E66" s="20">
        <f t="shared" si="31"/>
        <v>-0.1807844651</v>
      </c>
      <c r="F66" s="23">
        <f>F58+F62</f>
        <v>846529</v>
      </c>
      <c r="G66" s="20">
        <f t="shared" si="32"/>
        <v>1.637640293</v>
      </c>
      <c r="H66" s="23">
        <f>H58+H62</f>
        <v>2232839</v>
      </c>
      <c r="K66" s="23"/>
      <c r="L66" s="20"/>
      <c r="M66" s="23"/>
      <c r="N66" s="20"/>
      <c r="O66" s="23"/>
      <c r="P66" s="20"/>
      <c r="Q66" s="23"/>
    </row>
    <row r="67">
      <c r="A67" s="9" t="s">
        <v>152</v>
      </c>
      <c r="B67" s="27">
        <v>-69952.0</v>
      </c>
      <c r="C67" s="20">
        <f t="shared" si="30"/>
        <v>0.2565330512</v>
      </c>
      <c r="D67" s="27">
        <v>-87897.0</v>
      </c>
      <c r="E67" s="20">
        <f t="shared" si="31"/>
        <v>-0.4335756624</v>
      </c>
      <c r="F67" s="27">
        <v>-49787.0</v>
      </c>
      <c r="G67" s="20">
        <f t="shared" si="32"/>
        <v>6.170245245</v>
      </c>
      <c r="H67" s="27">
        <v>-356985.0</v>
      </c>
      <c r="J67" s="9"/>
      <c r="L67" s="20"/>
      <c r="N67" s="20"/>
      <c r="P67" s="20"/>
    </row>
    <row r="68">
      <c r="A68" s="72" t="s">
        <v>211</v>
      </c>
      <c r="B68" s="27">
        <f>B66+B67</f>
        <v>978979</v>
      </c>
      <c r="C68" s="20">
        <f t="shared" si="30"/>
        <v>-0.03425507595</v>
      </c>
      <c r="D68" s="27">
        <f>D66+D67</f>
        <v>945444</v>
      </c>
      <c r="E68" s="20">
        <f t="shared" si="31"/>
        <v>-0.1572827158</v>
      </c>
      <c r="F68" s="27">
        <f>F66+F67</f>
        <v>796742</v>
      </c>
      <c r="G68" s="20">
        <f t="shared" si="32"/>
        <v>1.354405818</v>
      </c>
      <c r="H68" s="27">
        <f>H66+H67</f>
        <v>1875854</v>
      </c>
      <c r="K68" s="23"/>
      <c r="L68" s="20"/>
      <c r="M68" s="23"/>
      <c r="N68" s="20"/>
      <c r="O68" s="23"/>
      <c r="P68" s="20"/>
      <c r="Q68" s="23"/>
    </row>
    <row r="69">
      <c r="A69" s="141" t="s">
        <v>215</v>
      </c>
      <c r="B69" s="57">
        <v>434.0</v>
      </c>
      <c r="C69" s="58">
        <f t="shared" si="30"/>
        <v>-0.05069124424</v>
      </c>
      <c r="D69" s="57">
        <v>412.0</v>
      </c>
      <c r="E69" s="58">
        <f t="shared" si="31"/>
        <v>0.05339805825</v>
      </c>
      <c r="F69" s="57">
        <v>434.0</v>
      </c>
      <c r="G69" s="58">
        <f t="shared" si="32"/>
        <v>0</v>
      </c>
      <c r="H69" s="57">
        <v>434.0</v>
      </c>
    </row>
    <row r="70">
      <c r="A70" s="141" t="s">
        <v>216</v>
      </c>
      <c r="B70" s="57">
        <f>B68-B67-B62-B43-B69</f>
        <v>1788242</v>
      </c>
      <c r="C70" s="58">
        <f t="shared" si="30"/>
        <v>0.2520134299</v>
      </c>
      <c r="D70" s="57">
        <f>D68-D67-D62-D43-D69</f>
        <v>2238903</v>
      </c>
      <c r="E70" s="58">
        <f t="shared" si="31"/>
        <v>-0.3299892849</v>
      </c>
      <c r="F70" s="57">
        <f>F68-F67-F62-F43-F69</f>
        <v>1500089</v>
      </c>
      <c r="G70" s="58">
        <f t="shared" si="32"/>
        <v>0.9639368064</v>
      </c>
      <c r="H70" s="57">
        <f>H68-H67-H62-H43-H69</f>
        <v>2946080</v>
      </c>
    </row>
    <row r="71">
      <c r="A71" s="141" t="s">
        <v>217</v>
      </c>
      <c r="B71" s="57">
        <v>979.0</v>
      </c>
      <c r="C71" s="58">
        <f t="shared" si="30"/>
        <v>0.1407558733</v>
      </c>
      <c r="D71" s="57">
        <v>1116.8</v>
      </c>
      <c r="E71" s="58">
        <f t="shared" si="31"/>
        <v>-0.3015759312</v>
      </c>
      <c r="F71" s="57">
        <v>780.0</v>
      </c>
      <c r="G71" s="58">
        <f t="shared" si="32"/>
        <v>0.3115384615</v>
      </c>
      <c r="H71" s="57">
        <v>1023.0</v>
      </c>
    </row>
    <row r="72">
      <c r="A72" s="80"/>
      <c r="B72" s="96"/>
      <c r="C72" s="80"/>
      <c r="D72" s="96"/>
      <c r="E72" s="80"/>
      <c r="F72" s="96"/>
      <c r="G72" s="80"/>
      <c r="H72" s="96"/>
      <c r="N72" s="20"/>
      <c r="P72" s="20"/>
    </row>
    <row r="73">
      <c r="A73" s="10" t="s">
        <v>160</v>
      </c>
      <c r="B73" s="23"/>
      <c r="D73" s="23"/>
      <c r="F73" s="23"/>
      <c r="H73" s="23"/>
      <c r="N73" s="20"/>
      <c r="P73" s="20"/>
    </row>
    <row r="74">
      <c r="A74" s="67" t="s">
        <v>162</v>
      </c>
      <c r="B74" s="27" t="s">
        <v>12</v>
      </c>
      <c r="C74" s="9" t="s">
        <v>13</v>
      </c>
      <c r="D74" s="27" t="s">
        <v>14</v>
      </c>
      <c r="E74" s="9" t="s">
        <v>15</v>
      </c>
      <c r="F74" s="27" t="s">
        <v>16</v>
      </c>
      <c r="G74" s="9" t="s">
        <v>17</v>
      </c>
      <c r="H74" s="27" t="s">
        <v>18</v>
      </c>
      <c r="N74" s="20"/>
      <c r="O74" s="20"/>
      <c r="P74" s="20"/>
      <c r="Q74" s="20"/>
    </row>
    <row r="75">
      <c r="A75" s="9" t="s">
        <v>163</v>
      </c>
      <c r="B75" s="27">
        <v>978979.0</v>
      </c>
      <c r="C75" s="20">
        <f t="shared" ref="C75:C86" si="33">IFERROR(SUM((D75/B75)-1),0)</f>
        <v>0.965744924</v>
      </c>
      <c r="D75" s="27">
        <v>1924423.0</v>
      </c>
      <c r="E75" s="20">
        <f t="shared" ref="E75:E86" si="34">IFERROR(SUM((F75/D75)-1),0)</f>
        <v>0.571256943</v>
      </c>
      <c r="F75" s="27">
        <v>3023763.0</v>
      </c>
      <c r="G75" s="20">
        <f t="shared" ref="G75:G86" si="35">IFERROR(SUM((H75/F75)-1),0)</f>
        <v>0.6203707103</v>
      </c>
      <c r="H75" s="27">
        <v>4899617.0</v>
      </c>
      <c r="N75" s="20"/>
      <c r="O75" s="20"/>
      <c r="P75" s="20"/>
      <c r="Q75" s="20"/>
    </row>
    <row r="76">
      <c r="A76" s="126" t="s">
        <v>165</v>
      </c>
      <c r="B76" s="127">
        <v>900310.0</v>
      </c>
      <c r="C76" s="128">
        <f t="shared" si="33"/>
        <v>1.769033999</v>
      </c>
      <c r="D76" s="127">
        <v>2492989.0</v>
      </c>
      <c r="E76" s="128">
        <f t="shared" si="34"/>
        <v>0.6618557081</v>
      </c>
      <c r="F76" s="127">
        <v>4142988.0</v>
      </c>
      <c r="G76" s="128">
        <f t="shared" si="35"/>
        <v>0.3590215564</v>
      </c>
      <c r="H76" s="127">
        <v>5630410.0</v>
      </c>
      <c r="N76" s="20"/>
      <c r="O76" s="20"/>
      <c r="P76" s="20"/>
      <c r="Q76" s="20"/>
    </row>
    <row r="77">
      <c r="A77" s="9" t="s">
        <v>166</v>
      </c>
      <c r="B77" s="27">
        <v>647216.0</v>
      </c>
      <c r="C77" s="20">
        <f t="shared" si="33"/>
        <v>0.222173123</v>
      </c>
      <c r="D77" s="27">
        <v>791010.0</v>
      </c>
      <c r="E77" s="20">
        <f t="shared" si="34"/>
        <v>-0.7783112729</v>
      </c>
      <c r="F77" s="27">
        <v>175358.0</v>
      </c>
      <c r="G77" s="20">
        <f t="shared" si="35"/>
        <v>-0.3938001118</v>
      </c>
      <c r="H77" s="27">
        <v>106302.0</v>
      </c>
    </row>
    <row r="78">
      <c r="A78" s="9" t="s">
        <v>218</v>
      </c>
      <c r="B78" s="27">
        <v>-27096.0</v>
      </c>
      <c r="C78" s="20">
        <f t="shared" si="33"/>
        <v>31.88323</v>
      </c>
      <c r="D78" s="27">
        <v>-891004.0</v>
      </c>
      <c r="E78" s="20">
        <f t="shared" si="34"/>
        <v>-1.297521672</v>
      </c>
      <c r="F78" s="27">
        <v>265093.0</v>
      </c>
      <c r="G78" s="20">
        <f t="shared" si="35"/>
        <v>-2.017424074</v>
      </c>
      <c r="H78" s="27">
        <v>-269712.0</v>
      </c>
      <c r="O78" s="37"/>
      <c r="P78" s="38"/>
      <c r="Q78" s="38"/>
      <c r="R78" s="38"/>
    </row>
    <row r="79">
      <c r="A79" s="137" t="s">
        <v>219</v>
      </c>
      <c r="B79" s="138">
        <f>SUM(B76:B78)</f>
        <v>1520430</v>
      </c>
      <c r="C79" s="139">
        <f t="shared" si="33"/>
        <v>0.5738935696</v>
      </c>
      <c r="D79" s="138">
        <f>SUM(D76:D78)</f>
        <v>2392995</v>
      </c>
      <c r="E79" s="139">
        <f t="shared" si="34"/>
        <v>0.9153566974</v>
      </c>
      <c r="F79" s="138">
        <f>SUM(F76:F78)</f>
        <v>4583439</v>
      </c>
      <c r="G79" s="139">
        <f t="shared" si="35"/>
        <v>0.1927725012</v>
      </c>
      <c r="H79" s="138">
        <f>SUM(H76:H78)</f>
        <v>5467000</v>
      </c>
      <c r="O79" s="38"/>
      <c r="P79" s="38"/>
      <c r="Q79" s="38"/>
      <c r="R79" s="38"/>
    </row>
    <row r="80">
      <c r="A80" s="9" t="s">
        <v>220</v>
      </c>
      <c r="B80" s="27">
        <v>86574.0</v>
      </c>
      <c r="C80" s="20">
        <f t="shared" si="33"/>
        <v>1.926837157</v>
      </c>
      <c r="D80" s="27">
        <v>253388.0</v>
      </c>
      <c r="E80" s="20">
        <f t="shared" si="34"/>
        <v>0.2502723097</v>
      </c>
      <c r="F80" s="27">
        <v>316804.0</v>
      </c>
      <c r="G80" s="20">
        <f t="shared" si="35"/>
        <v>0.4871560965</v>
      </c>
      <c r="H80" s="27">
        <v>471137.0</v>
      </c>
      <c r="O80" s="38"/>
      <c r="P80" s="38"/>
      <c r="Q80" s="38"/>
      <c r="R80" s="38"/>
    </row>
    <row r="81">
      <c r="A81" s="9" t="s">
        <v>221</v>
      </c>
      <c r="B81" s="27">
        <v>65372.0</v>
      </c>
      <c r="C81" s="20">
        <f t="shared" si="33"/>
        <v>1.213730649</v>
      </c>
      <c r="D81" s="27">
        <v>144716.0</v>
      </c>
      <c r="E81" s="20">
        <f t="shared" si="34"/>
        <v>0.1379667763</v>
      </c>
      <c r="F81" s="27">
        <v>164682.0</v>
      </c>
      <c r="G81" s="20">
        <f t="shared" si="35"/>
        <v>0.6337668962</v>
      </c>
      <c r="H81" s="27">
        <v>269052.0</v>
      </c>
      <c r="N81" s="20"/>
      <c r="O81" s="23"/>
      <c r="P81" s="20"/>
      <c r="Q81" s="23"/>
    </row>
    <row r="82">
      <c r="A82" s="9" t="s">
        <v>222</v>
      </c>
      <c r="B82" s="27">
        <v>-438460.0</v>
      </c>
      <c r="C82" s="20">
        <f t="shared" si="33"/>
        <v>1.08569995</v>
      </c>
      <c r="D82" s="27">
        <v>-914496.0</v>
      </c>
      <c r="E82" s="20">
        <f t="shared" si="34"/>
        <v>0.08998071069</v>
      </c>
      <c r="F82" s="27">
        <v>-996783.0</v>
      </c>
      <c r="G82" s="20">
        <f t="shared" si="35"/>
        <v>0.3992493853</v>
      </c>
      <c r="H82" s="27">
        <v>-1394748.0</v>
      </c>
      <c r="N82" s="20"/>
      <c r="P82" s="20"/>
    </row>
    <row r="83">
      <c r="A83" s="9" t="s">
        <v>224</v>
      </c>
      <c r="B83" s="27">
        <v>-6413.0</v>
      </c>
      <c r="C83" s="20">
        <f t="shared" si="33"/>
        <v>0.9313893654</v>
      </c>
      <c r="D83" s="27">
        <v>-12386.0</v>
      </c>
      <c r="E83" s="20">
        <f t="shared" si="34"/>
        <v>-1</v>
      </c>
      <c r="F83" s="27">
        <v>0.0</v>
      </c>
      <c r="G83" s="20">
        <f t="shared" si="35"/>
        <v>0</v>
      </c>
      <c r="H83" s="27">
        <v>0.0</v>
      </c>
    </row>
    <row r="84">
      <c r="A84" s="9" t="s">
        <v>226</v>
      </c>
      <c r="B84" s="27">
        <v>-108465.0</v>
      </c>
      <c r="C84" s="20">
        <f t="shared" si="33"/>
        <v>0.7522334394</v>
      </c>
      <c r="D84" s="27">
        <v>-190056.0</v>
      </c>
      <c r="E84" s="20">
        <f t="shared" si="34"/>
        <v>2.389237909</v>
      </c>
      <c r="F84" s="27">
        <v>-644145.0</v>
      </c>
      <c r="G84" s="20">
        <f t="shared" si="35"/>
        <v>0.142455503</v>
      </c>
      <c r="H84" s="27">
        <v>-735907.0</v>
      </c>
    </row>
    <row r="85">
      <c r="A85" s="9" t="s">
        <v>227</v>
      </c>
      <c r="B85" s="27">
        <v>0.0</v>
      </c>
      <c r="C85" s="20">
        <f t="shared" si="33"/>
        <v>0</v>
      </c>
      <c r="D85" s="27">
        <v>0.0</v>
      </c>
      <c r="E85" s="20">
        <f t="shared" si="34"/>
        <v>0</v>
      </c>
      <c r="F85" s="27">
        <v>0.0</v>
      </c>
      <c r="G85" s="20">
        <f t="shared" si="35"/>
        <v>0</v>
      </c>
      <c r="H85" s="27">
        <v>0.0</v>
      </c>
    </row>
    <row r="86">
      <c r="A86" s="129" t="s">
        <v>169</v>
      </c>
      <c r="B86" s="130">
        <f>SUM(B79:B85)</f>
        <v>1119038</v>
      </c>
      <c r="C86" s="111">
        <f t="shared" si="33"/>
        <v>0.4960716258</v>
      </c>
      <c r="D86" s="130">
        <f>SUM(D79:D85)</f>
        <v>1674161</v>
      </c>
      <c r="E86" s="111">
        <f t="shared" si="34"/>
        <v>1.045201746</v>
      </c>
      <c r="F86" s="130">
        <f>SUM(F79:F85)</f>
        <v>3423997</v>
      </c>
      <c r="G86" s="111">
        <f t="shared" si="35"/>
        <v>0.1905775618</v>
      </c>
      <c r="H86" s="130">
        <f>SUM(H79:H85)</f>
        <v>4076534</v>
      </c>
    </row>
    <row r="87">
      <c r="A87" s="9" t="s">
        <v>172</v>
      </c>
      <c r="B87" s="23"/>
      <c r="C87" s="20"/>
      <c r="D87" s="23"/>
      <c r="E87" s="20"/>
      <c r="F87" s="23"/>
      <c r="G87" s="20"/>
      <c r="H87" s="23"/>
    </row>
    <row r="88">
      <c r="A88" s="9" t="s">
        <v>174</v>
      </c>
      <c r="B88" s="27">
        <v>-52406.0</v>
      </c>
      <c r="C88" s="20">
        <f t="shared" ref="C88:C92" si="36">IFERROR(SUM((D88/B88)-1),0)</f>
        <v>0.5661374652</v>
      </c>
      <c r="D88" s="27">
        <v>-82075.0</v>
      </c>
      <c r="E88" s="20">
        <f t="shared" ref="E88:E92" si="37">IFERROR(SUM((F88/D88)-1),0)</f>
        <v>4.599683217</v>
      </c>
      <c r="F88" s="27">
        <v>-459594.0</v>
      </c>
      <c r="G88" s="20">
        <f t="shared" ref="G88:G92" si="38">IFERROR(SUM((H88/F88)-1),0)</f>
        <v>0.5213035853</v>
      </c>
      <c r="H88" s="27">
        <v>-699182.0</v>
      </c>
      <c r="L88" s="20"/>
    </row>
    <row r="89">
      <c r="A89" s="9" t="s">
        <v>181</v>
      </c>
      <c r="B89" s="27">
        <v>-40785.0</v>
      </c>
      <c r="C89" s="20">
        <f t="shared" si="36"/>
        <v>0.5730538188</v>
      </c>
      <c r="D89" s="27">
        <v>-64157.0</v>
      </c>
      <c r="E89" s="20">
        <f t="shared" si="37"/>
        <v>3.752949795</v>
      </c>
      <c r="F89" s="27">
        <v>-304935.0</v>
      </c>
      <c r="G89" s="20">
        <f t="shared" si="38"/>
        <v>0.2416023087</v>
      </c>
      <c r="H89" s="27">
        <v>-378608.0</v>
      </c>
      <c r="M89" s="23"/>
    </row>
    <row r="90">
      <c r="A90" s="9" t="s">
        <v>183</v>
      </c>
      <c r="B90" s="27">
        <v>-1819515.0</v>
      </c>
      <c r="C90" s="20">
        <f t="shared" si="36"/>
        <v>0.5433882106</v>
      </c>
      <c r="D90" s="27">
        <v>-2808218.0</v>
      </c>
      <c r="E90" s="20">
        <f t="shared" si="37"/>
        <v>0.3506935715</v>
      </c>
      <c r="F90" s="27">
        <v>-3793042.0</v>
      </c>
      <c r="G90" s="20">
        <f t="shared" si="38"/>
        <v>0.4200322591</v>
      </c>
      <c r="H90" s="27">
        <v>-5386242.0</v>
      </c>
      <c r="M90" s="9"/>
      <c r="O90" s="9"/>
    </row>
    <row r="91">
      <c r="A91" s="72" t="s">
        <v>172</v>
      </c>
      <c r="B91" s="109">
        <f>SUM(B88:B90)</f>
        <v>-1912706</v>
      </c>
      <c r="C91" s="111">
        <f t="shared" si="36"/>
        <v>0.5446440802</v>
      </c>
      <c r="D91" s="109">
        <f>SUM(D88:D90)</f>
        <v>-2954450</v>
      </c>
      <c r="E91" s="111">
        <f t="shared" si="37"/>
        <v>0.5426123306</v>
      </c>
      <c r="F91" s="109">
        <f>SUM(F88:F90)</f>
        <v>-4557571</v>
      </c>
      <c r="G91" s="111">
        <f t="shared" si="38"/>
        <v>0.4183063742</v>
      </c>
      <c r="H91" s="109">
        <f>SUM(H88:H90)</f>
        <v>-6464032</v>
      </c>
      <c r="N91" s="27"/>
      <c r="P91" s="32"/>
    </row>
    <row r="92">
      <c r="A92" s="163" t="s">
        <v>192</v>
      </c>
      <c r="B92" s="164">
        <v>-1626372.0</v>
      </c>
      <c r="C92" s="58">
        <f t="shared" si="36"/>
        <v>0.936886518</v>
      </c>
      <c r="D92" s="164">
        <v>-3150098.0</v>
      </c>
      <c r="E92" s="58">
        <f t="shared" si="37"/>
        <v>0.5092470139</v>
      </c>
      <c r="F92" s="164">
        <v>-4754276.0</v>
      </c>
      <c r="G92" s="58">
        <f t="shared" si="38"/>
        <v>0.4014571304</v>
      </c>
      <c r="H92" s="164">
        <v>-6662914.0</v>
      </c>
      <c r="N92" s="32"/>
      <c r="P92" s="165"/>
    </row>
    <row r="93">
      <c r="A93" s="9" t="s">
        <v>194</v>
      </c>
      <c r="B93" s="23"/>
      <c r="C93" s="20"/>
      <c r="D93" s="23"/>
      <c r="E93" s="20"/>
      <c r="F93" s="23"/>
      <c r="G93" s="20"/>
      <c r="H93" s="23"/>
      <c r="N93" s="166"/>
      <c r="P93" s="166"/>
    </row>
    <row r="94">
      <c r="A94" s="167" t="s">
        <v>228</v>
      </c>
      <c r="B94" s="27">
        <v>0.0</v>
      </c>
      <c r="C94" s="20">
        <f t="shared" ref="C94:C99" si="39">IFERROR(SUM((D94/B94)-1),0)</f>
        <v>0</v>
      </c>
      <c r="D94" s="27">
        <v>709761.0</v>
      </c>
      <c r="E94" s="20">
        <f t="shared" ref="E94:E99" si="40">IFERROR(SUM((F94/D94)-1),0)</f>
        <v>-1</v>
      </c>
      <c r="F94" s="27">
        <v>0.0</v>
      </c>
      <c r="G94" s="20">
        <f t="shared" ref="G94:G99" si="41">IFERROR(SUM((H94/F94)-1),0)</f>
        <v>0</v>
      </c>
      <c r="H94" s="27">
        <v>0.0</v>
      </c>
    </row>
    <row r="95">
      <c r="A95" s="9" t="s">
        <v>229</v>
      </c>
      <c r="B95" s="27">
        <v>0.0</v>
      </c>
      <c r="C95" s="20">
        <f t="shared" si="39"/>
        <v>0</v>
      </c>
      <c r="D95" s="27">
        <v>4575156.0</v>
      </c>
      <c r="E95" s="20">
        <f t="shared" si="40"/>
        <v>0.1329860665</v>
      </c>
      <c r="F95" s="27">
        <v>5183588.0</v>
      </c>
      <c r="G95" s="20">
        <f t="shared" si="41"/>
        <v>0.8012255218</v>
      </c>
      <c r="H95" s="27">
        <v>9336811.0</v>
      </c>
    </row>
    <row r="96">
      <c r="A96" s="9" t="s">
        <v>209</v>
      </c>
      <c r="B96" s="27">
        <v>0.0</v>
      </c>
      <c r="C96" s="20">
        <f t="shared" si="39"/>
        <v>0</v>
      </c>
      <c r="D96" s="27">
        <v>-1415670.0</v>
      </c>
      <c r="E96" s="20">
        <f t="shared" si="40"/>
        <v>0.2538769629</v>
      </c>
      <c r="F96" s="27">
        <v>-1775076.0</v>
      </c>
      <c r="G96" s="20">
        <f t="shared" si="41"/>
        <v>1.235569632</v>
      </c>
      <c r="H96" s="27">
        <v>-3968306.0</v>
      </c>
      <c r="N96" s="27"/>
      <c r="P96" s="32"/>
    </row>
    <row r="97">
      <c r="A97" s="9" t="s">
        <v>202</v>
      </c>
      <c r="B97" s="27">
        <v>0.0</v>
      </c>
      <c r="C97" s="20">
        <f t="shared" si="39"/>
        <v>0</v>
      </c>
      <c r="D97" s="27">
        <v>-2098565.0</v>
      </c>
      <c r="E97" s="20">
        <f t="shared" si="40"/>
        <v>0.1740727592</v>
      </c>
      <c r="F97" s="27">
        <v>-2463868.0</v>
      </c>
      <c r="G97" s="20">
        <f t="shared" si="41"/>
        <v>0.09470190773</v>
      </c>
      <c r="H97" s="27">
        <v>-2697201.0</v>
      </c>
      <c r="N97" s="27"/>
      <c r="P97" s="32"/>
    </row>
    <row r="98">
      <c r="A98" s="9" t="s">
        <v>205</v>
      </c>
      <c r="B98" s="27">
        <v>-16742.0</v>
      </c>
      <c r="C98" s="20">
        <f t="shared" si="39"/>
        <v>1.02992474</v>
      </c>
      <c r="D98" s="27">
        <v>-33985.0</v>
      </c>
      <c r="E98" s="20">
        <f t="shared" si="40"/>
        <v>0.792114168</v>
      </c>
      <c r="F98" s="27">
        <v>-60905.0</v>
      </c>
      <c r="G98" s="20">
        <f t="shared" si="41"/>
        <v>0.3383466054</v>
      </c>
      <c r="H98" s="27">
        <v>-81512.0</v>
      </c>
    </row>
    <row r="99">
      <c r="A99" s="129" t="s">
        <v>208</v>
      </c>
      <c r="B99" s="140">
        <f>SUM(B94:B98)</f>
        <v>-16742</v>
      </c>
      <c r="C99" s="111">
        <f t="shared" si="39"/>
        <v>-104.7329471</v>
      </c>
      <c r="D99" s="140">
        <f>SUM(D94:D98)</f>
        <v>1736697</v>
      </c>
      <c r="E99" s="111">
        <f t="shared" si="40"/>
        <v>-0.4911380627</v>
      </c>
      <c r="F99" s="140">
        <f>SUM(F94:F98)</f>
        <v>883739</v>
      </c>
      <c r="G99" s="111">
        <f t="shared" si="41"/>
        <v>1.930494184</v>
      </c>
      <c r="H99" s="140">
        <f>SUM(H94:H98)</f>
        <v>2589792</v>
      </c>
      <c r="I99" s="20"/>
    </row>
    <row r="100">
      <c r="B100" s="23"/>
      <c r="C100" s="20"/>
      <c r="D100" s="23"/>
      <c r="E100" s="20"/>
      <c r="F100" s="23"/>
      <c r="G100" s="20"/>
      <c r="H100" s="23"/>
      <c r="I100" s="20"/>
    </row>
    <row r="101">
      <c r="A101" s="72" t="s">
        <v>210</v>
      </c>
      <c r="B101" s="120">
        <f>SUM(B86,B92,B99)</f>
        <v>-524076</v>
      </c>
      <c r="C101" s="111">
        <f t="shared" ref="C101:C103" si="42">IFERROR(SUM((D101/B101)-1),0)</f>
        <v>-1.497561422</v>
      </c>
      <c r="D101" s="120">
        <f>SUM(D86,D92,D99)</f>
        <v>260760</v>
      </c>
      <c r="E101" s="111">
        <f t="shared" ref="E101:E103" si="43">IFERROR(SUM((F101/D101)-1),0)</f>
        <v>-2.712455898</v>
      </c>
      <c r="F101" s="120">
        <f>SUM(F86,F92,F99)</f>
        <v>-446540</v>
      </c>
      <c r="G101" s="111">
        <f t="shared" ref="G101:G103" si="44">IFERROR(SUM((H101/F101)-1),0)</f>
        <v>-1.007640973</v>
      </c>
      <c r="H101" s="120">
        <f>SUM(H86,H92,H99)</f>
        <v>3412</v>
      </c>
      <c r="I101" s="20"/>
      <c r="J101" s="20"/>
    </row>
    <row r="102">
      <c r="A102" s="9" t="s">
        <v>212</v>
      </c>
      <c r="B102" s="27">
        <v>1901636.0</v>
      </c>
      <c r="C102" s="20">
        <f t="shared" si="42"/>
        <v>0</v>
      </c>
      <c r="D102" s="27">
        <v>1901636.0</v>
      </c>
      <c r="E102" s="20">
        <f t="shared" si="43"/>
        <v>-0.001794244535</v>
      </c>
      <c r="F102" s="27">
        <v>1898224.0</v>
      </c>
      <c r="G102" s="20">
        <f t="shared" si="44"/>
        <v>0</v>
      </c>
      <c r="H102" s="27">
        <v>1898224.0</v>
      </c>
      <c r="I102" s="20"/>
    </row>
    <row r="103">
      <c r="A103" s="43" t="s">
        <v>214</v>
      </c>
      <c r="B103" s="42">
        <f>SUM(B101:B102)</f>
        <v>1377560</v>
      </c>
      <c r="C103" s="48">
        <f t="shared" si="42"/>
        <v>0.5697290862</v>
      </c>
      <c r="D103" s="42">
        <f>SUM(D101:D102)</f>
        <v>2162396</v>
      </c>
      <c r="E103" s="48">
        <f t="shared" si="43"/>
        <v>-0.3286687545</v>
      </c>
      <c r="F103" s="42">
        <f>SUM(F101:F102)</f>
        <v>1451684</v>
      </c>
      <c r="G103" s="48">
        <f t="shared" si="44"/>
        <v>0.3099517526</v>
      </c>
      <c r="H103" s="42">
        <f>SUM(H101:H102)</f>
        <v>1901636</v>
      </c>
      <c r="I103" s="20"/>
    </row>
    <row r="104">
      <c r="I104" s="20"/>
    </row>
    <row r="105">
      <c r="I105" s="20"/>
      <c r="J105" s="20"/>
    </row>
    <row r="106">
      <c r="I106" s="20"/>
      <c r="J106" s="20"/>
    </row>
    <row r="107">
      <c r="I107" s="20"/>
      <c r="J107" s="20"/>
    </row>
    <row r="108">
      <c r="D108" s="9"/>
      <c r="G108" s="9"/>
      <c r="I108" s="20"/>
      <c r="J108" s="27"/>
    </row>
    <row r="109">
      <c r="I109" s="20"/>
      <c r="J109" s="20"/>
    </row>
    <row r="110">
      <c r="J110" s="23"/>
    </row>
    <row r="112">
      <c r="I112" s="20"/>
      <c r="M112" s="29"/>
    </row>
    <row r="113">
      <c r="I113" s="20"/>
      <c r="M113" s="168"/>
      <c r="N113" s="168"/>
    </row>
    <row r="114">
      <c r="I114" s="20"/>
      <c r="M114" s="168"/>
      <c r="N114" s="168"/>
    </row>
    <row r="115">
      <c r="I115" s="20"/>
      <c r="M115" s="168"/>
      <c r="N115" s="168"/>
    </row>
    <row r="116">
      <c r="I116" s="23"/>
    </row>
    <row r="117">
      <c r="I117" s="23"/>
      <c r="M117" s="29"/>
    </row>
    <row r="119">
      <c r="I119" s="20"/>
      <c r="J119" s="23"/>
    </row>
    <row r="120">
      <c r="I120" s="20"/>
      <c r="J120" s="23"/>
    </row>
    <row r="123">
      <c r="I123" s="20"/>
      <c r="J123" s="23"/>
    </row>
    <row r="124">
      <c r="I124" s="20"/>
      <c r="J124" s="23"/>
    </row>
    <row r="125">
      <c r="I125" s="20"/>
      <c r="J125" s="23"/>
    </row>
    <row r="126">
      <c r="I126" s="20"/>
      <c r="J126" s="23"/>
    </row>
    <row r="147">
      <c r="A147" s="107"/>
      <c r="B147" s="107"/>
      <c r="C147" s="107"/>
      <c r="D147" s="107"/>
      <c r="E147" s="107"/>
      <c r="F147" s="107"/>
      <c r="G147" s="150"/>
      <c r="H147" s="27"/>
    </row>
    <row r="148">
      <c r="B148" s="27"/>
      <c r="C148" s="20"/>
      <c r="D148" s="27"/>
      <c r="H148" s="27"/>
    </row>
    <row r="149">
      <c r="B149" s="27"/>
      <c r="C149" s="20"/>
      <c r="D149" s="27"/>
      <c r="H149" s="27"/>
    </row>
    <row r="150">
      <c r="A150" s="9"/>
      <c r="B150" s="27"/>
      <c r="C150" s="20"/>
      <c r="D150" s="27"/>
      <c r="G150" s="9"/>
      <c r="H150" s="27"/>
    </row>
    <row r="151">
      <c r="B151" s="27"/>
      <c r="C151" s="20"/>
      <c r="D151" s="27"/>
      <c r="H151" s="27"/>
    </row>
    <row r="152">
      <c r="B152" s="27"/>
      <c r="C152" s="20"/>
      <c r="D152" s="27"/>
      <c r="H152" s="27"/>
    </row>
    <row r="153">
      <c r="B153" s="27"/>
      <c r="C153" s="20"/>
      <c r="D153" s="27"/>
      <c r="H153" s="27"/>
    </row>
    <row r="154">
      <c r="B154" s="27"/>
      <c r="C154" s="20"/>
      <c r="D154" s="27"/>
      <c r="H154" s="27"/>
    </row>
    <row r="155">
      <c r="C155" s="20"/>
      <c r="D155" s="32"/>
    </row>
    <row r="156">
      <c r="A156" s="67"/>
      <c r="B156" s="158"/>
      <c r="C156" s="160"/>
      <c r="D156" s="158"/>
      <c r="G156" s="67"/>
      <c r="H156" s="158"/>
    </row>
    <row r="157">
      <c r="B157" s="23"/>
      <c r="D157" s="23"/>
      <c r="H157" s="23"/>
    </row>
    <row r="158">
      <c r="B158" s="27"/>
      <c r="C158" s="20"/>
      <c r="D158" s="27"/>
      <c r="H158" s="27"/>
    </row>
    <row r="159">
      <c r="B159" s="27"/>
      <c r="C159" s="20"/>
      <c r="D159" s="27"/>
      <c r="H159" s="27"/>
    </row>
    <row r="160">
      <c r="B160" s="27"/>
      <c r="C160" s="20"/>
      <c r="D160" s="27"/>
      <c r="H160" s="27"/>
    </row>
    <row r="161">
      <c r="B161" s="27"/>
      <c r="C161" s="20"/>
      <c r="D161" s="27"/>
      <c r="H161" s="27"/>
    </row>
    <row r="162">
      <c r="A162" s="67"/>
      <c r="B162" s="158"/>
      <c r="C162" s="160"/>
      <c r="D162" s="158"/>
      <c r="G162" s="67"/>
      <c r="H162" s="158"/>
    </row>
    <row r="163">
      <c r="B163" s="23"/>
      <c r="D163" s="23"/>
      <c r="H163" s="23"/>
    </row>
    <row r="164">
      <c r="B164" s="27"/>
      <c r="D164" s="23"/>
      <c r="H164" s="27"/>
    </row>
    <row r="165">
      <c r="B165" s="27"/>
      <c r="C165" s="20"/>
      <c r="D165" s="27"/>
      <c r="H165" s="27"/>
    </row>
    <row r="166">
      <c r="B166" s="27"/>
      <c r="C166" s="20"/>
      <c r="D166" s="27"/>
      <c r="H166" s="27"/>
    </row>
    <row r="167">
      <c r="B167" s="27"/>
      <c r="C167" s="20"/>
      <c r="D167" s="27"/>
      <c r="H167" s="27"/>
    </row>
    <row r="168">
      <c r="B168" s="27"/>
      <c r="C168" s="20"/>
      <c r="D168" s="27"/>
      <c r="H168" s="27"/>
    </row>
    <row r="169">
      <c r="A169" s="67"/>
      <c r="B169" s="146"/>
      <c r="C169" s="160"/>
      <c r="D169" s="146"/>
      <c r="G169" s="67"/>
      <c r="H169" s="146"/>
    </row>
    <row r="170">
      <c r="B170" s="23"/>
      <c r="D170" s="23"/>
      <c r="H170" s="23"/>
    </row>
    <row r="171">
      <c r="A171" s="9"/>
      <c r="C171" s="20"/>
      <c r="G171" s="9"/>
    </row>
    <row r="172">
      <c r="B172" s="32"/>
      <c r="C172" s="20"/>
      <c r="D172" s="32"/>
      <c r="H172" s="32"/>
    </row>
    <row r="173">
      <c r="A173" s="9"/>
      <c r="B173" s="9"/>
      <c r="C173" s="20"/>
      <c r="D173" s="9"/>
      <c r="G173" s="9"/>
      <c r="H173" s="9"/>
    </row>
    <row r="177">
      <c r="G177" s="9"/>
    </row>
    <row r="178">
      <c r="C178" s="20"/>
      <c r="D178" s="23"/>
      <c r="G178" s="9"/>
      <c r="I178" s="20"/>
    </row>
    <row r="179">
      <c r="C179" s="20"/>
      <c r="D179" s="27"/>
      <c r="E179" s="20"/>
      <c r="F179" s="23"/>
      <c r="H179" s="23"/>
      <c r="I179" s="20"/>
      <c r="J179" s="23"/>
    </row>
    <row r="180">
      <c r="C180" s="20"/>
      <c r="D180" s="27"/>
      <c r="E180" s="20"/>
      <c r="F180" s="27"/>
      <c r="H180" s="23"/>
      <c r="I180" s="20"/>
      <c r="J180" s="23"/>
    </row>
    <row r="181">
      <c r="C181" s="20"/>
      <c r="D181" s="27"/>
      <c r="E181" s="20"/>
      <c r="F181" s="27"/>
      <c r="H181" s="23"/>
      <c r="I181" s="20"/>
      <c r="J181" s="23"/>
    </row>
    <row r="182">
      <c r="C182" s="20"/>
      <c r="D182" s="27"/>
      <c r="E182" s="20"/>
      <c r="F182" s="27"/>
      <c r="H182" s="23"/>
      <c r="I182" s="20"/>
      <c r="J182" s="23"/>
    </row>
    <row r="183">
      <c r="C183" s="20"/>
      <c r="D183" s="32"/>
      <c r="E183" s="20"/>
      <c r="F183" s="27"/>
      <c r="H183" s="20"/>
      <c r="I183" s="20"/>
      <c r="J183" s="20"/>
    </row>
    <row r="184">
      <c r="C184" s="20"/>
      <c r="D184" s="32"/>
      <c r="E184" s="20"/>
      <c r="F184" s="27"/>
      <c r="H184" s="20"/>
      <c r="I184" s="20"/>
      <c r="J184" s="20"/>
    </row>
    <row r="185">
      <c r="C185" s="20"/>
      <c r="D185" s="27"/>
      <c r="E185" s="20"/>
      <c r="F185" s="23"/>
      <c r="H185" s="23"/>
      <c r="I185" s="20"/>
      <c r="J185" s="23"/>
    </row>
    <row r="186">
      <c r="E186" s="20"/>
      <c r="F186" s="23"/>
      <c r="H186" s="23"/>
      <c r="I186" s="20"/>
      <c r="J186" s="23"/>
    </row>
    <row r="187">
      <c r="C187" s="20"/>
      <c r="D187" s="23"/>
      <c r="E187" s="20"/>
      <c r="F187" s="27"/>
      <c r="H187" s="23"/>
      <c r="I187" s="20"/>
      <c r="J187" s="23"/>
    </row>
    <row r="188">
      <c r="C188" s="20"/>
      <c r="D188" s="27"/>
      <c r="E188" s="20"/>
      <c r="F188" s="27"/>
      <c r="H188" s="20"/>
      <c r="I188" s="20"/>
      <c r="J188" s="20"/>
    </row>
    <row r="189">
      <c r="C189" s="20"/>
      <c r="D189" s="27"/>
      <c r="E189" s="20"/>
      <c r="F189" s="27"/>
      <c r="G189" s="67"/>
    </row>
    <row r="190">
      <c r="C190" s="20"/>
      <c r="D190" s="27"/>
      <c r="E190" s="20"/>
      <c r="F190" s="27"/>
      <c r="G190" s="67"/>
    </row>
    <row r="191">
      <c r="C191" s="20"/>
      <c r="D191" s="27"/>
      <c r="F191" s="23"/>
      <c r="G191" s="9"/>
      <c r="I191" s="20"/>
    </row>
    <row r="192">
      <c r="C192" s="20"/>
      <c r="D192" s="32"/>
      <c r="E192" s="20"/>
      <c r="F192" s="23"/>
      <c r="G192" s="9"/>
      <c r="H192" s="20"/>
      <c r="I192" s="20"/>
      <c r="J192" s="20"/>
    </row>
    <row r="193">
      <c r="C193" s="20"/>
      <c r="D193" s="32"/>
      <c r="E193" s="20"/>
      <c r="F193" s="23"/>
      <c r="G193" s="9"/>
      <c r="H193" s="20"/>
      <c r="I193" s="20"/>
      <c r="J193" s="20"/>
    </row>
    <row r="194">
      <c r="C194" s="20"/>
      <c r="D194" s="32"/>
      <c r="E194" s="20"/>
      <c r="F194" s="23"/>
      <c r="G194" s="9"/>
      <c r="H194" s="20"/>
      <c r="I194" s="20"/>
      <c r="J194" s="20"/>
    </row>
    <row r="195">
      <c r="C195" s="20"/>
      <c r="D195" s="32"/>
      <c r="E195" s="20"/>
      <c r="F195" s="23"/>
      <c r="G195" s="9"/>
      <c r="H195" s="27"/>
      <c r="I195" s="20"/>
      <c r="J195" s="27"/>
    </row>
    <row r="196">
      <c r="E196" s="20"/>
      <c r="F196" s="23"/>
      <c r="G196" s="9"/>
      <c r="H196" s="20"/>
      <c r="I196" s="20"/>
      <c r="J196" s="20"/>
    </row>
    <row r="197">
      <c r="C197" s="20"/>
      <c r="D197" s="23"/>
      <c r="E197" s="20"/>
      <c r="F197" s="23"/>
      <c r="H197" s="23"/>
      <c r="I197" s="20"/>
      <c r="J197" s="23"/>
    </row>
    <row r="198">
      <c r="C198" s="20"/>
      <c r="D198" s="23"/>
      <c r="E198" s="20"/>
      <c r="F198" s="23"/>
    </row>
    <row r="199">
      <c r="C199" s="20"/>
      <c r="D199" s="23"/>
      <c r="F199" s="23"/>
      <c r="G199" s="67"/>
    </row>
    <row r="200">
      <c r="D200" s="23"/>
      <c r="E200" s="20"/>
      <c r="F200" s="27"/>
      <c r="G200" s="9"/>
      <c r="H200" s="20"/>
      <c r="I200" s="20"/>
      <c r="J200" s="20"/>
    </row>
    <row r="201">
      <c r="C201" s="20"/>
      <c r="D201" s="27"/>
      <c r="E201" s="20"/>
      <c r="F201" s="27"/>
      <c r="G201" s="9"/>
      <c r="H201" s="20"/>
      <c r="I201" s="20"/>
      <c r="J201" s="20"/>
    </row>
    <row r="202">
      <c r="C202" s="20"/>
      <c r="D202" s="27"/>
      <c r="E202" s="20"/>
      <c r="F202" s="23"/>
      <c r="G202" s="9"/>
      <c r="H202" s="20"/>
      <c r="I202" s="20"/>
      <c r="J202" s="20"/>
    </row>
    <row r="203">
      <c r="C203" s="20"/>
      <c r="D203" s="27"/>
      <c r="E203" s="20"/>
      <c r="G203" s="9"/>
      <c r="H203" s="20"/>
      <c r="I203" s="20"/>
      <c r="J203" s="20"/>
    </row>
    <row r="205">
      <c r="G205" s="67"/>
    </row>
    <row r="206">
      <c r="E206" s="20"/>
      <c r="F206" s="32"/>
      <c r="H206" s="23"/>
      <c r="I206" s="20"/>
      <c r="J206" s="23"/>
    </row>
    <row r="207">
      <c r="C207" s="20"/>
      <c r="D207" s="32"/>
      <c r="E207" s="20"/>
      <c r="H207" s="23"/>
      <c r="I207" s="20"/>
      <c r="J207" s="23"/>
    </row>
    <row r="208">
      <c r="C208" s="20"/>
      <c r="D208" s="27"/>
      <c r="E208" s="20"/>
    </row>
    <row r="209">
      <c r="C209" s="20"/>
      <c r="D209" s="32"/>
      <c r="E209" s="20"/>
      <c r="G209" s="9"/>
    </row>
    <row r="210">
      <c r="C210" s="20"/>
      <c r="D210" s="27"/>
      <c r="E210" s="20"/>
      <c r="H210" s="23"/>
      <c r="I210" s="20"/>
      <c r="J210" s="23"/>
    </row>
    <row r="211">
      <c r="E211" s="20"/>
      <c r="H211" s="23"/>
      <c r="I211" s="20"/>
      <c r="J211" s="23"/>
    </row>
    <row r="212">
      <c r="C212" s="20"/>
      <c r="D212" s="27"/>
      <c r="E212" s="20"/>
      <c r="F212" s="20"/>
      <c r="H212" s="23"/>
      <c r="I212" s="20"/>
      <c r="J212" s="23"/>
    </row>
    <row r="213">
      <c r="C213" s="20"/>
      <c r="D213" s="27"/>
      <c r="H213" s="23"/>
      <c r="I213" s="20"/>
      <c r="J213" s="23"/>
    </row>
    <row r="214">
      <c r="C214" s="20"/>
      <c r="D214" s="20"/>
      <c r="E214" s="20"/>
      <c r="F214" s="32"/>
    </row>
    <row r="215">
      <c r="C215" s="20"/>
      <c r="D215" s="27"/>
      <c r="E215" s="20"/>
      <c r="F215" s="27"/>
    </row>
    <row r="216">
      <c r="C216" s="20"/>
      <c r="D216" s="27"/>
      <c r="E216" s="20"/>
      <c r="F216" s="32"/>
    </row>
    <row r="217">
      <c r="C217" s="20"/>
      <c r="D217" s="23"/>
      <c r="E217" s="20"/>
      <c r="F217" s="27"/>
    </row>
    <row r="218">
      <c r="E218" s="20"/>
      <c r="F218" s="32"/>
    </row>
    <row r="219">
      <c r="D219" s="27"/>
      <c r="E219" s="20"/>
      <c r="F219" s="32"/>
    </row>
    <row r="220">
      <c r="C220" s="20"/>
      <c r="E220" s="20"/>
    </row>
    <row r="221">
      <c r="E221" s="20"/>
    </row>
    <row r="222">
      <c r="C222" s="20"/>
      <c r="D222" s="27"/>
      <c r="E222" s="20"/>
    </row>
    <row r="223">
      <c r="C223" s="20"/>
      <c r="D223" s="27"/>
      <c r="E223" s="20"/>
      <c r="F223" s="32"/>
    </row>
    <row r="224">
      <c r="C224" s="20"/>
      <c r="D224" s="27"/>
      <c r="E224" s="20"/>
    </row>
    <row r="226">
      <c r="C226" s="20"/>
    </row>
    <row r="227">
      <c r="C227" s="20"/>
      <c r="E227" s="20"/>
      <c r="F227" s="20"/>
    </row>
    <row r="228">
      <c r="C228" s="20"/>
      <c r="D228" s="27"/>
      <c r="E228" s="20"/>
      <c r="F228" s="20"/>
    </row>
    <row r="229">
      <c r="C229" s="20"/>
      <c r="E229" s="20"/>
      <c r="F229" s="20"/>
    </row>
    <row r="233">
      <c r="C233" s="20"/>
      <c r="D233" s="27"/>
    </row>
    <row r="234">
      <c r="C234" s="20"/>
      <c r="D234" s="27"/>
    </row>
    <row r="235">
      <c r="C235" s="20"/>
      <c r="D235" s="27"/>
    </row>
    <row r="236">
      <c r="C236" s="20"/>
      <c r="D236" s="27"/>
    </row>
    <row r="237">
      <c r="C237" s="20"/>
      <c r="D237" s="27"/>
    </row>
    <row r="238">
      <c r="C238" s="20"/>
      <c r="D238" s="27"/>
    </row>
    <row r="239">
      <c r="C239" s="20"/>
      <c r="D239" s="27"/>
    </row>
    <row r="240">
      <c r="C240" s="20"/>
      <c r="D240" s="27"/>
    </row>
    <row r="241">
      <c r="C241" s="20"/>
      <c r="D241" s="27"/>
    </row>
    <row r="242">
      <c r="C242" s="20"/>
      <c r="D242" s="32"/>
    </row>
    <row r="243">
      <c r="C243" s="160"/>
      <c r="D243" s="158"/>
    </row>
    <row r="244">
      <c r="D244" s="23"/>
    </row>
    <row r="245">
      <c r="C245" s="20"/>
      <c r="D245" s="27"/>
    </row>
    <row r="246">
      <c r="C246" s="20"/>
      <c r="D246" s="27"/>
    </row>
    <row r="247">
      <c r="C247" s="20"/>
      <c r="D247" s="27"/>
    </row>
    <row r="248">
      <c r="C248" s="20"/>
      <c r="D248" s="27"/>
    </row>
    <row r="249">
      <c r="C249" s="160"/>
      <c r="D249" s="158"/>
    </row>
    <row r="250">
      <c r="D250" s="23"/>
    </row>
    <row r="251">
      <c r="D251" s="23"/>
    </row>
    <row r="252">
      <c r="C252" s="20"/>
      <c r="D252" s="27"/>
    </row>
    <row r="253">
      <c r="C253" s="20"/>
      <c r="D253" s="27"/>
    </row>
    <row r="254">
      <c r="C254" s="20"/>
      <c r="D254" s="27"/>
    </row>
    <row r="255">
      <c r="C255" s="20"/>
      <c r="D255" s="27"/>
    </row>
    <row r="256">
      <c r="C256" s="160"/>
      <c r="D256" s="146"/>
    </row>
    <row r="257">
      <c r="D257" s="23"/>
    </row>
    <row r="258">
      <c r="C258" s="20"/>
    </row>
    <row r="259">
      <c r="C259" s="20"/>
      <c r="D259" s="32"/>
    </row>
    <row r="260">
      <c r="C260" s="20"/>
      <c r="D260" s="9"/>
    </row>
    <row r="264">
      <c r="A264" s="9"/>
    </row>
    <row r="265">
      <c r="G265" s="9"/>
    </row>
    <row r="266">
      <c r="B266" s="23"/>
      <c r="C266" s="20"/>
      <c r="D266" s="23"/>
      <c r="G266" s="9"/>
      <c r="I266" s="20"/>
    </row>
    <row r="267">
      <c r="B267" s="27"/>
      <c r="C267" s="20"/>
      <c r="D267" s="27"/>
      <c r="E267" s="20"/>
      <c r="F267" s="23"/>
      <c r="H267" s="23"/>
      <c r="I267" s="20"/>
      <c r="J267" s="23"/>
    </row>
    <row r="268">
      <c r="B268" s="27"/>
      <c r="C268" s="20"/>
      <c r="D268" s="27"/>
      <c r="E268" s="20"/>
      <c r="F268" s="27"/>
      <c r="H268" s="23"/>
      <c r="I268" s="20"/>
      <c r="J268" s="23"/>
    </row>
    <row r="269">
      <c r="B269" s="27"/>
      <c r="C269" s="20"/>
      <c r="D269" s="27"/>
      <c r="E269" s="20"/>
      <c r="F269" s="27"/>
      <c r="H269" s="23"/>
      <c r="I269" s="20"/>
      <c r="J269" s="23"/>
    </row>
    <row r="270">
      <c r="B270" s="27"/>
      <c r="C270" s="20"/>
      <c r="D270" s="27"/>
      <c r="E270" s="20"/>
      <c r="F270" s="27"/>
      <c r="H270" s="23"/>
      <c r="I270" s="20"/>
      <c r="J270" s="23"/>
    </row>
    <row r="271">
      <c r="A271" s="9"/>
      <c r="B271" s="32"/>
      <c r="C271" s="20"/>
      <c r="D271" s="32"/>
      <c r="E271" s="20"/>
      <c r="F271" s="27"/>
      <c r="H271" s="20"/>
      <c r="I271" s="20"/>
      <c r="J271" s="20"/>
    </row>
    <row r="272">
      <c r="B272" s="32"/>
      <c r="C272" s="20"/>
      <c r="D272" s="32"/>
      <c r="E272" s="20"/>
      <c r="F272" s="27"/>
      <c r="H272" s="20"/>
      <c r="I272" s="20"/>
      <c r="J272" s="20"/>
    </row>
    <row r="273">
      <c r="B273" s="27"/>
      <c r="C273" s="20"/>
      <c r="D273" s="27"/>
      <c r="E273" s="20"/>
      <c r="F273" s="23"/>
      <c r="H273" s="23"/>
      <c r="I273" s="20"/>
      <c r="J273" s="23"/>
    </row>
    <row r="274">
      <c r="E274" s="20"/>
      <c r="F274" s="23"/>
      <c r="H274" s="23"/>
      <c r="I274" s="20"/>
      <c r="J274" s="23"/>
    </row>
    <row r="275">
      <c r="B275" s="23"/>
      <c r="C275" s="20"/>
      <c r="D275" s="23"/>
      <c r="E275" s="20"/>
      <c r="F275" s="27"/>
      <c r="H275" s="23"/>
      <c r="I275" s="20"/>
      <c r="J275" s="23"/>
    </row>
    <row r="276">
      <c r="B276" s="27"/>
      <c r="C276" s="20"/>
      <c r="D276" s="27"/>
      <c r="E276" s="20"/>
      <c r="F276" s="27"/>
      <c r="H276" s="20"/>
      <c r="I276" s="20"/>
      <c r="J276" s="20"/>
    </row>
    <row r="277">
      <c r="B277" s="27"/>
      <c r="C277" s="20"/>
      <c r="D277" s="27"/>
      <c r="E277" s="20"/>
      <c r="F277" s="27"/>
      <c r="G277" s="67"/>
    </row>
    <row r="278">
      <c r="B278" s="27"/>
      <c r="C278" s="20"/>
      <c r="D278" s="27"/>
      <c r="E278" s="20"/>
      <c r="F278" s="27"/>
      <c r="G278" s="67"/>
    </row>
    <row r="279">
      <c r="B279" s="27"/>
      <c r="C279" s="20"/>
      <c r="D279" s="27"/>
      <c r="F279" s="23"/>
      <c r="G279" s="9"/>
      <c r="I279" s="20"/>
    </row>
    <row r="280">
      <c r="A280" s="67"/>
      <c r="B280" s="32"/>
      <c r="C280" s="20"/>
      <c r="D280" s="32"/>
      <c r="E280" s="20"/>
      <c r="F280" s="23"/>
      <c r="G280" s="9"/>
      <c r="H280" s="20"/>
      <c r="I280" s="20"/>
      <c r="J280" s="20"/>
    </row>
    <row r="281">
      <c r="A281" s="67"/>
      <c r="B281" s="32"/>
      <c r="C281" s="20"/>
      <c r="D281" s="32"/>
      <c r="E281" s="20"/>
      <c r="F281" s="23"/>
      <c r="G281" s="9"/>
      <c r="H281" s="20"/>
      <c r="I281" s="20"/>
      <c r="J281" s="20"/>
    </row>
    <row r="282">
      <c r="A282" s="9"/>
      <c r="B282" s="32"/>
      <c r="C282" s="20"/>
      <c r="D282" s="32"/>
      <c r="E282" s="20"/>
      <c r="F282" s="23"/>
      <c r="G282" s="9"/>
      <c r="H282" s="20"/>
      <c r="I282" s="20"/>
      <c r="J282" s="20"/>
    </row>
    <row r="283">
      <c r="B283" s="32"/>
      <c r="C283" s="20"/>
      <c r="D283" s="32"/>
      <c r="E283" s="20"/>
      <c r="F283" s="23"/>
      <c r="G283" s="9"/>
      <c r="H283" s="27"/>
      <c r="I283" s="20"/>
      <c r="J283" s="27"/>
    </row>
    <row r="284">
      <c r="E284" s="20"/>
      <c r="F284" s="23"/>
      <c r="G284" s="9"/>
      <c r="H284" s="20"/>
      <c r="I284" s="20"/>
      <c r="J284" s="20"/>
    </row>
    <row r="285">
      <c r="B285" s="20"/>
      <c r="C285" s="20"/>
      <c r="D285" s="23"/>
      <c r="E285" s="20"/>
      <c r="F285" s="23"/>
      <c r="H285" s="23"/>
      <c r="I285" s="20"/>
      <c r="J285" s="23"/>
    </row>
    <row r="286">
      <c r="B286" s="23"/>
      <c r="C286" s="20"/>
      <c r="D286" s="23"/>
      <c r="E286" s="20"/>
      <c r="F286" s="23"/>
    </row>
    <row r="287">
      <c r="B287" s="23"/>
      <c r="C287" s="20"/>
      <c r="D287" s="23"/>
      <c r="F287" s="23"/>
      <c r="G287" s="67"/>
    </row>
    <row r="288">
      <c r="B288" s="23"/>
      <c r="D288" s="23"/>
      <c r="E288" s="20"/>
      <c r="F288" s="27"/>
      <c r="G288" s="9"/>
      <c r="H288" s="20"/>
      <c r="I288" s="20"/>
      <c r="J288" s="20"/>
    </row>
    <row r="289">
      <c r="B289" s="27"/>
      <c r="C289" s="20"/>
      <c r="D289" s="27"/>
      <c r="E289" s="20"/>
      <c r="F289" s="27"/>
      <c r="G289" s="9"/>
      <c r="H289" s="20"/>
      <c r="I289" s="20"/>
      <c r="J289" s="20"/>
    </row>
    <row r="290">
      <c r="B290" s="27"/>
      <c r="C290" s="20"/>
      <c r="D290" s="27"/>
      <c r="E290" s="20"/>
      <c r="F290" s="23"/>
      <c r="G290" s="9"/>
      <c r="H290" s="20"/>
      <c r="I290" s="20"/>
      <c r="J290" s="20"/>
    </row>
    <row r="291">
      <c r="B291" s="27"/>
      <c r="C291" s="20"/>
      <c r="D291" s="27"/>
      <c r="E291" s="20"/>
      <c r="G291" s="9"/>
      <c r="H291" s="20"/>
      <c r="I291" s="20"/>
      <c r="J291" s="20"/>
    </row>
    <row r="293">
      <c r="A293" s="67"/>
      <c r="G293" s="67"/>
    </row>
    <row r="294">
      <c r="E294" s="20"/>
      <c r="F294" s="32"/>
      <c r="H294" s="23"/>
      <c r="I294" s="20"/>
      <c r="J294" s="23"/>
    </row>
    <row r="295">
      <c r="B295" s="32"/>
      <c r="C295" s="20"/>
      <c r="D295" s="32"/>
      <c r="E295" s="20"/>
      <c r="H295" s="23"/>
      <c r="I295" s="20"/>
      <c r="J295" s="23"/>
    </row>
    <row r="296">
      <c r="A296" s="9"/>
      <c r="B296" s="27"/>
      <c r="C296" s="20"/>
      <c r="D296" s="27"/>
      <c r="E296" s="20"/>
    </row>
    <row r="297">
      <c r="B297" s="32"/>
      <c r="C297" s="20"/>
      <c r="D297" s="32"/>
      <c r="E297" s="20"/>
      <c r="G297" s="9"/>
    </row>
    <row r="298">
      <c r="A298" s="9"/>
      <c r="B298" s="27"/>
      <c r="C298" s="20"/>
      <c r="D298" s="27"/>
      <c r="E298" s="20"/>
      <c r="H298" s="23"/>
      <c r="I298" s="20"/>
      <c r="J298" s="23"/>
    </row>
    <row r="299">
      <c r="A299" s="67"/>
      <c r="E299" s="20"/>
      <c r="H299" s="23"/>
      <c r="I299" s="20"/>
      <c r="J299" s="23"/>
    </row>
    <row r="300">
      <c r="B300" s="27"/>
      <c r="C300" s="20"/>
      <c r="D300" s="27"/>
      <c r="E300" s="20"/>
      <c r="F300" s="20"/>
      <c r="H300" s="23"/>
      <c r="I300" s="20"/>
      <c r="J300" s="23"/>
    </row>
    <row r="301">
      <c r="B301" s="27"/>
      <c r="C301" s="20"/>
      <c r="D301" s="27"/>
      <c r="H301" s="23"/>
      <c r="I301" s="20"/>
      <c r="J301" s="23"/>
    </row>
    <row r="302">
      <c r="B302" s="20"/>
      <c r="C302" s="20"/>
      <c r="D302" s="20"/>
      <c r="E302" s="20"/>
      <c r="F302" s="32"/>
    </row>
    <row r="303">
      <c r="B303" s="27"/>
      <c r="C303" s="20"/>
      <c r="D303" s="27"/>
      <c r="E303" s="20"/>
      <c r="F303" s="27"/>
    </row>
    <row r="304">
      <c r="B304" s="27"/>
      <c r="C304" s="20"/>
      <c r="D304" s="27"/>
      <c r="E304" s="20"/>
      <c r="F304" s="32"/>
    </row>
    <row r="305">
      <c r="B305" s="23"/>
      <c r="C305" s="20"/>
      <c r="D305" s="23"/>
      <c r="E305" s="20"/>
      <c r="F305" s="27"/>
    </row>
    <row r="306">
      <c r="E306" s="20"/>
      <c r="F306" s="32"/>
    </row>
    <row r="307">
      <c r="B307" s="27"/>
      <c r="D307" s="27"/>
      <c r="E307" s="20"/>
      <c r="F307" s="32"/>
    </row>
    <row r="308">
      <c r="A308" s="9"/>
      <c r="C308" s="20"/>
      <c r="E308" s="20"/>
    </row>
    <row r="309">
      <c r="E309" s="20"/>
    </row>
    <row r="310">
      <c r="B310" s="27"/>
      <c r="C310" s="20"/>
      <c r="D310" s="27"/>
      <c r="E310" s="20"/>
    </row>
    <row r="311">
      <c r="B311" s="27"/>
      <c r="C311" s="20"/>
      <c r="D311" s="27"/>
      <c r="E311" s="20"/>
      <c r="F311" s="32"/>
    </row>
    <row r="312">
      <c r="B312" s="27"/>
      <c r="C312" s="20"/>
      <c r="D312" s="27"/>
      <c r="E312" s="20"/>
    </row>
    <row r="314">
      <c r="A314" s="9"/>
      <c r="C314" s="20"/>
    </row>
    <row r="315">
      <c r="C315" s="20"/>
      <c r="E315" s="20"/>
      <c r="F315" s="20"/>
    </row>
    <row r="316">
      <c r="B316" s="27"/>
      <c r="C316" s="20"/>
      <c r="D316" s="27"/>
      <c r="E316" s="20"/>
      <c r="F316" s="20"/>
    </row>
    <row r="317">
      <c r="A317" s="9"/>
      <c r="C317" s="20"/>
      <c r="E317" s="20"/>
      <c r="F317" s="20"/>
    </row>
    <row r="319">
      <c r="A319" s="9"/>
    </row>
    <row r="320">
      <c r="A320" s="67"/>
    </row>
    <row r="321">
      <c r="B321" s="27"/>
      <c r="C321" s="20"/>
      <c r="D321" s="27"/>
    </row>
    <row r="322">
      <c r="A322" s="150"/>
      <c r="B322" s="27"/>
      <c r="C322" s="20"/>
      <c r="D322" s="27"/>
    </row>
    <row r="323">
      <c r="B323" s="27"/>
      <c r="C323" s="20"/>
      <c r="D323" s="27"/>
    </row>
    <row r="324">
      <c r="B324" s="27"/>
      <c r="C324" s="20"/>
      <c r="D324" s="27"/>
    </row>
    <row r="325">
      <c r="A325" s="9"/>
      <c r="B325" s="27"/>
      <c r="C325" s="20"/>
      <c r="D325" s="27"/>
    </row>
    <row r="326">
      <c r="B326" s="27"/>
      <c r="C326" s="20"/>
      <c r="D326" s="27"/>
    </row>
    <row r="327">
      <c r="B327" s="27"/>
      <c r="C327" s="20"/>
      <c r="D327" s="27"/>
    </row>
    <row r="328">
      <c r="B328" s="27"/>
      <c r="C328" s="20"/>
      <c r="D328" s="27"/>
    </row>
    <row r="329">
      <c r="B329" s="27"/>
      <c r="C329" s="20"/>
      <c r="D329" s="27"/>
    </row>
    <row r="330">
      <c r="C330" s="20"/>
      <c r="D330" s="32"/>
    </row>
    <row r="331">
      <c r="A331" s="67"/>
      <c r="B331" s="158"/>
      <c r="C331" s="160"/>
      <c r="D331" s="158"/>
    </row>
    <row r="332">
      <c r="B332" s="23"/>
      <c r="D332" s="23"/>
    </row>
    <row r="333">
      <c r="B333" s="27"/>
      <c r="C333" s="20"/>
      <c r="D333" s="27"/>
    </row>
    <row r="334">
      <c r="B334" s="27"/>
      <c r="C334" s="20"/>
      <c r="D334" s="27"/>
    </row>
    <row r="335">
      <c r="B335" s="27"/>
      <c r="C335" s="20"/>
      <c r="D335" s="27"/>
    </row>
    <row r="336">
      <c r="B336" s="27"/>
      <c r="C336" s="20"/>
      <c r="D336" s="27"/>
    </row>
    <row r="337">
      <c r="A337" s="67"/>
      <c r="B337" s="158"/>
      <c r="C337" s="160"/>
      <c r="D337" s="158"/>
    </row>
    <row r="338">
      <c r="B338" s="23"/>
      <c r="D338" s="23"/>
    </row>
    <row r="339">
      <c r="B339" s="27"/>
      <c r="D339" s="23"/>
    </row>
    <row r="340">
      <c r="B340" s="27"/>
      <c r="C340" s="20"/>
      <c r="D340" s="27"/>
    </row>
    <row r="341">
      <c r="B341" s="27"/>
      <c r="C341" s="20"/>
      <c r="D341" s="27"/>
    </row>
    <row r="342">
      <c r="B342" s="27"/>
      <c r="C342" s="20"/>
      <c r="D342" s="27"/>
    </row>
    <row r="343">
      <c r="B343" s="27"/>
      <c r="C343" s="20"/>
      <c r="D343" s="27"/>
    </row>
    <row r="344">
      <c r="A344" s="67"/>
      <c r="B344" s="146"/>
      <c r="C344" s="160"/>
      <c r="D344" s="146"/>
    </row>
    <row r="345">
      <c r="B345" s="23"/>
      <c r="D345" s="23"/>
    </row>
    <row r="346">
      <c r="A346" s="9"/>
      <c r="C346" s="20"/>
    </row>
    <row r="347">
      <c r="B347" s="32"/>
      <c r="C347" s="20"/>
      <c r="D347" s="32"/>
    </row>
    <row r="348">
      <c r="B348" s="9"/>
      <c r="C348" s="20"/>
      <c r="D348" s="9"/>
    </row>
  </sheetData>
  <mergeCells count="1">
    <mergeCell ref="Q13:R13"/>
  </mergeCells>
  <dataValidations>
    <dataValidation type="list" allowBlank="1" showErrorMessage="1" sqref="B1 D1 F1 H1">
      <formula1>"Feito,Não,Atual"</formula1>
    </dataValidation>
    <dataValidation type="custom" allowBlank="1" showDropDown="1" sqref="K28:K36 M28:N36">
      <formula1>AND(ISNUMBER(K28),(NOT(OR(NOT(ISERROR(DATEVALUE(K28))), AND(ISNUMBER(K28), LEFT(CELL("format", K28))="D")))))</formula1>
    </dataValidation>
  </dataValidations>
  <drawing r:id="rId2"/>
  <legacyDrawing r:id="rId3"/>
  <tableParts count="2">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2" width="18.0"/>
    <col customWidth="1" min="3" max="3" width="9.88"/>
    <col customWidth="1" min="4" max="5" width="18.5"/>
    <col customWidth="1" min="6" max="6" width="16.0"/>
    <col customWidth="1" min="7" max="7" width="15.0"/>
    <col customWidth="1" min="8" max="8" width="15.63"/>
    <col customWidth="1" min="9" max="9" width="17.25"/>
    <col customWidth="1" min="10" max="10" width="22.5"/>
    <col customWidth="1" min="11" max="11" width="20.75"/>
    <col customWidth="1" min="12" max="12" width="17.25"/>
    <col customWidth="1" min="13" max="13" width="28.75"/>
    <col customWidth="1" min="14" max="14" width="18.63"/>
    <col customWidth="1" min="15" max="15" width="19.38"/>
    <col customWidth="1" min="16" max="16" width="18.25"/>
    <col customWidth="1" min="17" max="17" width="21.75"/>
    <col customWidth="1" min="18" max="18" width="23.63"/>
    <col customWidth="1" min="20" max="20" width="24.38"/>
    <col customWidth="1" min="21" max="21" width="18.88"/>
  </cols>
  <sheetData>
    <row r="1">
      <c r="A1" s="1"/>
      <c r="B1" s="2" t="s">
        <v>1</v>
      </c>
      <c r="C1" s="3">
        <v>46058.0</v>
      </c>
      <c r="D1" s="2" t="s">
        <v>2</v>
      </c>
      <c r="E1" s="4">
        <v>46245.0</v>
      </c>
      <c r="F1" s="2" t="s">
        <v>3</v>
      </c>
      <c r="G1" s="3">
        <v>46058.0</v>
      </c>
      <c r="H1" s="2" t="s">
        <v>3</v>
      </c>
      <c r="I1" s="3">
        <v>46058.0</v>
      </c>
      <c r="J1" s="5" t="s">
        <v>4</v>
      </c>
      <c r="K1" s="7">
        <f t="array" ref="K1">IFERROR(INDEX(Indicador_Ações[], MATCH($J$2, Indicador_Ações[Stock], 0), MATCH(Indicador_Ações[[#HEADERS],[ult_balanco_processado]], Indicador_Ações[#HEADERS], 0)),"")</f>
        <v>46203</v>
      </c>
      <c r="L1" s="9"/>
      <c r="M1" s="9"/>
      <c r="N1" s="9"/>
      <c r="O1" s="9"/>
      <c r="P1" s="9"/>
      <c r="Q1" s="9"/>
    </row>
    <row r="2">
      <c r="A2" s="10" t="s">
        <v>5</v>
      </c>
      <c r="B2" s="9"/>
      <c r="D2" s="9"/>
      <c r="J2" s="11" t="s">
        <v>7</v>
      </c>
      <c r="K2" s="12">
        <f>IFERROR(__xludf.DUMMYFUNCTION("(GOOGLEFINANCE(""BVMF:"" &amp; J2))"),40.99)</f>
        <v>40.99</v>
      </c>
      <c r="L2" s="14">
        <f t="array" ref="L2">IFERROR(INDEX(Indicador_Ações[], MATCH($J$2, Indicador_Ações[Stock], 0), MATCH(Indicador_Ações[[#HEADERS],[qtd_acao]], Indicador_Ações[#HEADERS], 0)),"")/3</f>
        <v>344500000</v>
      </c>
      <c r="M2" s="15" t="s">
        <v>10</v>
      </c>
    </row>
    <row r="3">
      <c r="A3" s="9" t="s">
        <v>11</v>
      </c>
      <c r="B3" s="9" t="s">
        <v>12</v>
      </c>
      <c r="C3" s="9" t="s">
        <v>13</v>
      </c>
      <c r="D3" s="9" t="s">
        <v>14</v>
      </c>
      <c r="E3" s="9" t="s">
        <v>15</v>
      </c>
      <c r="F3" s="9" t="s">
        <v>16</v>
      </c>
      <c r="G3" s="9" t="s">
        <v>17</v>
      </c>
      <c r="H3" s="9" t="s">
        <v>18</v>
      </c>
      <c r="J3" s="17" t="s">
        <v>19</v>
      </c>
      <c r="K3" s="18">
        <v>1000.0</v>
      </c>
      <c r="L3" s="19">
        <f>IFERROR(K23/K15,0)</f>
        <v>0.3939817213</v>
      </c>
      <c r="M3" s="9" t="s">
        <v>20</v>
      </c>
      <c r="N3" s="9" t="s">
        <v>21</v>
      </c>
      <c r="P3" s="21"/>
      <c r="Q3" s="22"/>
      <c r="R3" s="21"/>
      <c r="S3" s="22"/>
      <c r="T3" s="21"/>
      <c r="U3" s="22"/>
      <c r="V3" s="21"/>
    </row>
    <row r="4">
      <c r="A4" s="9" t="s">
        <v>24</v>
      </c>
      <c r="B4" s="23">
        <f>B5+B6</f>
        <v>14173294</v>
      </c>
      <c r="C4" s="20">
        <f t="shared" ref="C4:C6" si="1">IFERROR(SUM((D4/B4)-1),0)</f>
        <v>-0.07177477586</v>
      </c>
      <c r="D4" s="23">
        <f>D5+D6</f>
        <v>13156009</v>
      </c>
      <c r="E4" s="20">
        <f t="shared" ref="E4:E6" si="2">IFERROR(SUM((F4/D4)-1),0)</f>
        <v>-0.003395938692</v>
      </c>
      <c r="F4" s="23">
        <f>F5+F6</f>
        <v>13111332</v>
      </c>
      <c r="G4" s="20">
        <f t="shared" ref="G4:G6" si="3">IFERROR(SUM((H4/F4)-1),0)</f>
        <v>0.04011041746</v>
      </c>
      <c r="H4" s="23">
        <f>H5+H6</f>
        <v>13637233</v>
      </c>
      <c r="J4" s="25" t="s">
        <v>25</v>
      </c>
      <c r="K4" s="26">
        <f t="array" ref="K4">IFERROR(INDEX(Indicador_Ações[], MATCH($J$2, Indicador_Ações[Stock], 0), MATCH(Indicador_Ações[[#HEADERS],[ativo]], Indicador_Ações[#HEADERS], 0)),"")</f>
        <v>22700900000</v>
      </c>
      <c r="L4" s="19">
        <f>IFERROR(K20/K15,0)</f>
        <v>0.6443946383</v>
      </c>
      <c r="M4" s="9" t="s">
        <v>26</v>
      </c>
      <c r="N4" s="9" t="s">
        <v>27</v>
      </c>
      <c r="O4" s="27">
        <v>192574.0</v>
      </c>
      <c r="P4" s="28"/>
      <c r="Q4" s="19"/>
      <c r="R4" s="28"/>
      <c r="S4" s="19"/>
      <c r="T4" s="28"/>
      <c r="U4" s="19"/>
      <c r="V4" s="28"/>
    </row>
    <row r="5">
      <c r="A5" s="9" t="s">
        <v>28</v>
      </c>
      <c r="B5" s="27">
        <v>2148240.0</v>
      </c>
      <c r="C5" s="20">
        <f t="shared" si="1"/>
        <v>-0.4816905932</v>
      </c>
      <c r="D5" s="27">
        <v>1113453.0</v>
      </c>
      <c r="E5" s="20">
        <f t="shared" si="2"/>
        <v>0.6010617422</v>
      </c>
      <c r="F5" s="27">
        <v>1782707.0</v>
      </c>
      <c r="G5" s="20">
        <f t="shared" si="3"/>
        <v>0.05328301286</v>
      </c>
      <c r="H5" s="27">
        <v>1877695.0</v>
      </c>
      <c r="J5" s="22" t="s">
        <v>29</v>
      </c>
      <c r="K5" s="29">
        <f>K2*L2</f>
        <v>14121055000</v>
      </c>
      <c r="L5" s="19">
        <f>IFERROR(K17/K15,0)</f>
        <v>0.7962955778</v>
      </c>
      <c r="M5" s="9" t="s">
        <v>30</v>
      </c>
      <c r="N5" s="9" t="s">
        <v>32</v>
      </c>
      <c r="O5" s="32">
        <v>260226.0</v>
      </c>
      <c r="P5" s="34"/>
      <c r="Q5" s="19"/>
      <c r="R5" s="34"/>
      <c r="S5" s="19"/>
      <c r="T5" s="34"/>
      <c r="U5" s="19"/>
      <c r="V5" s="34"/>
    </row>
    <row r="6">
      <c r="A6" s="9" t="s">
        <v>33</v>
      </c>
      <c r="B6" s="27">
        <v>1.2025054E7</v>
      </c>
      <c r="C6" s="20">
        <f t="shared" si="1"/>
        <v>0.00145546124</v>
      </c>
      <c r="D6" s="27">
        <v>1.2042556E7</v>
      </c>
      <c r="E6" s="20">
        <f t="shared" si="2"/>
        <v>-0.05928400914</v>
      </c>
      <c r="F6" s="27">
        <v>1.1328625E7</v>
      </c>
      <c r="G6" s="20">
        <f t="shared" si="3"/>
        <v>0.03803753765</v>
      </c>
      <c r="H6" s="27">
        <v>1.1759538E7</v>
      </c>
      <c r="J6" s="25" t="s">
        <v>34</v>
      </c>
      <c r="K6" s="26">
        <f>SUM(K5,K10)</f>
        <v>24534795000</v>
      </c>
      <c r="L6" s="19">
        <f>IFERROR(K18/K15,0)</f>
        <v>0.8415711309</v>
      </c>
      <c r="M6" s="9" t="s">
        <v>35</v>
      </c>
      <c r="N6" s="9" t="s">
        <v>38</v>
      </c>
      <c r="O6" s="32">
        <v>0.0</v>
      </c>
      <c r="P6" s="39"/>
      <c r="Q6" s="19"/>
      <c r="R6" s="40"/>
      <c r="S6" s="19"/>
      <c r="T6" s="39"/>
      <c r="U6" s="19"/>
      <c r="V6" s="40"/>
    </row>
    <row r="7">
      <c r="B7" s="27"/>
      <c r="C7" s="20"/>
      <c r="D7" s="27"/>
      <c r="E7" s="20"/>
      <c r="F7" s="27"/>
      <c r="G7" s="20"/>
      <c r="H7" s="27"/>
      <c r="J7" s="22" t="s">
        <v>36</v>
      </c>
      <c r="K7" s="29">
        <f t="array" ref="K7">IFERROR(INDEX(Indicador_Ações[], MATCH($J$2, Indicador_Ações[Stock], 0), MATCH(Indicador_Ações[[#HEADERS],[disponibilidades]], Indicador_Ações[#HEADERS], 0)),"")</f>
        <v>544160000</v>
      </c>
      <c r="L7" s="27">
        <f>K23/L2</f>
        <v>3.006449927</v>
      </c>
      <c r="M7" s="9" t="s">
        <v>41</v>
      </c>
      <c r="N7" s="9" t="s">
        <v>39</v>
      </c>
      <c r="O7" s="23">
        <f>SUM(O4:O6)</f>
        <v>452800</v>
      </c>
      <c r="P7" s="34"/>
      <c r="Q7" s="19"/>
      <c r="R7" s="34"/>
      <c r="S7" s="19"/>
      <c r="T7" s="34"/>
      <c r="U7" s="19"/>
      <c r="V7" s="34"/>
    </row>
    <row r="8">
      <c r="A8" s="9" t="s">
        <v>42</v>
      </c>
      <c r="B8" s="27">
        <v>23030.0</v>
      </c>
      <c r="C8" s="20">
        <f t="shared" ref="C8:C11" si="4">IFERROR(SUM((D8/B8)-1),0)</f>
        <v>-0.01415544941</v>
      </c>
      <c r="D8" s="27">
        <v>22704.0</v>
      </c>
      <c r="E8" s="20">
        <f t="shared" ref="E8:E11" si="5">IFERROR(SUM((F8/D8)-1),0)</f>
        <v>-0.6925651868</v>
      </c>
      <c r="F8" s="27">
        <v>6980.0</v>
      </c>
      <c r="G8" s="20">
        <f t="shared" ref="G8:G11" si="6">IFERROR(SUM((H8/F8)-1),0)</f>
        <v>1.95243553</v>
      </c>
      <c r="H8" s="27">
        <v>20608.0</v>
      </c>
      <c r="J8" s="25" t="s">
        <v>43</v>
      </c>
      <c r="K8" s="45">
        <f t="array" ref="K8">IFERROR(INDEX(Indicador_Ações[], MATCH($J$2, Indicador_Ações[Stock], 0), MATCH(Indicador_Ações[[#HEADERS],[patrimonio_liquido]], Indicador_Ações[#HEADERS], 0)),"")</f>
        <v>8070920000</v>
      </c>
      <c r="L8" s="29">
        <f t="array" ref="L8">IFERROR(INDEX(O7*K3,0)/L2,"")</f>
        <v>1.31436865</v>
      </c>
      <c r="M8" s="9" t="s">
        <v>46</v>
      </c>
      <c r="N8" s="9" t="s">
        <v>44</v>
      </c>
      <c r="O8" s="44">
        <f>ABS(SUM(B47,D47,F47,H47)/SUM(B46,D46,F46,H46))</f>
        <v>0.08728998963</v>
      </c>
      <c r="P8" s="39"/>
      <c r="Q8" s="19"/>
      <c r="R8" s="40"/>
      <c r="S8" s="19"/>
      <c r="T8" s="39"/>
      <c r="U8" s="19"/>
      <c r="V8" s="40"/>
    </row>
    <row r="9">
      <c r="A9" s="43" t="s">
        <v>47</v>
      </c>
      <c r="B9" s="42">
        <v>1091121.0</v>
      </c>
      <c r="C9" s="48">
        <f t="shared" si="4"/>
        <v>-0.8090413437</v>
      </c>
      <c r="D9" s="42">
        <v>208359.0</v>
      </c>
      <c r="E9" s="48">
        <f t="shared" si="5"/>
        <v>1.927183371</v>
      </c>
      <c r="F9" s="42">
        <v>609905.0</v>
      </c>
      <c r="G9" s="48">
        <f t="shared" si="6"/>
        <v>0.2159205122</v>
      </c>
      <c r="H9" s="42">
        <v>741596.0</v>
      </c>
      <c r="J9" s="22" t="s">
        <v>48</v>
      </c>
      <c r="K9" s="50">
        <f t="array" ref="K9">IFERROR(INDEX(Indicador_Ações[], MATCH($J$2, Indicador_Ações[Stock], 0), MATCH(Indicador_Ações[[#HEADERS],[divida_bruta]], Indicador_Ações[#HEADERS], 0)),"")</f>
        <v>10957900000</v>
      </c>
      <c r="L9" s="20">
        <f>IFERROR(L8/L7,0)</f>
        <v>0.4371829506</v>
      </c>
      <c r="M9" s="51" t="s">
        <v>49</v>
      </c>
      <c r="N9" s="9" t="s">
        <v>50</v>
      </c>
      <c r="O9" s="21">
        <f>K17*(1-O8)</f>
        <v>1910619675</v>
      </c>
      <c r="P9" s="39"/>
      <c r="Q9" s="19"/>
      <c r="R9" s="40"/>
      <c r="S9" s="19"/>
      <c r="T9" s="39"/>
      <c r="U9" s="19"/>
      <c r="V9" s="40"/>
    </row>
    <row r="10">
      <c r="A10" s="9" t="s">
        <v>51</v>
      </c>
      <c r="B10" s="27">
        <v>512539.0</v>
      </c>
      <c r="C10" s="20">
        <f t="shared" si="4"/>
        <v>-0.3448283935</v>
      </c>
      <c r="D10" s="27">
        <v>335801.0</v>
      </c>
      <c r="E10" s="20">
        <f t="shared" si="5"/>
        <v>0.3796832052</v>
      </c>
      <c r="F10" s="27">
        <v>463299.0</v>
      </c>
      <c r="G10" s="20">
        <f t="shared" si="6"/>
        <v>0.1745114926</v>
      </c>
      <c r="H10" s="27">
        <v>544150.0</v>
      </c>
      <c r="J10" s="25" t="s">
        <v>52</v>
      </c>
      <c r="K10" s="45">
        <f>K9-K7</f>
        <v>10413740000</v>
      </c>
      <c r="L10" s="23">
        <f>IFERROR(K14/K4,0)</f>
        <v>0.1975428287</v>
      </c>
      <c r="M10" s="9" t="s">
        <v>53</v>
      </c>
      <c r="O10" s="21"/>
      <c r="P10" s="9"/>
      <c r="Q10" s="22"/>
      <c r="R10" s="47"/>
      <c r="V10" s="27"/>
    </row>
    <row r="11">
      <c r="A11" s="9" t="s">
        <v>54</v>
      </c>
      <c r="B11" s="27">
        <f>SUM(B9,B10)</f>
        <v>1603660</v>
      </c>
      <c r="C11" s="20">
        <f t="shared" si="4"/>
        <v>-0.6606762032</v>
      </c>
      <c r="D11" s="27">
        <f>SUM(D9,D10)</f>
        <v>544160</v>
      </c>
      <c r="E11" s="20">
        <f t="shared" si="5"/>
        <v>0.9722214055</v>
      </c>
      <c r="F11" s="27">
        <f>SUM(F9,F10)</f>
        <v>1073204</v>
      </c>
      <c r="G11" s="20">
        <f t="shared" si="6"/>
        <v>0.1980443606</v>
      </c>
      <c r="H11" s="27">
        <f>SUM(H9,H10)</f>
        <v>1285746</v>
      </c>
      <c r="J11" s="22" t="s">
        <v>56</v>
      </c>
      <c r="K11" s="29">
        <f>SUM(K8,K9)</f>
        <v>19028820000</v>
      </c>
      <c r="L11" s="19">
        <f>IFERROR(K24/K8,0)</f>
        <v>0.2013983536</v>
      </c>
      <c r="M11" s="9" t="s">
        <v>57</v>
      </c>
      <c r="O11" s="22"/>
      <c r="P11" s="53"/>
      <c r="Q11" s="19"/>
      <c r="R11" s="53"/>
      <c r="V11" s="32"/>
    </row>
    <row r="12">
      <c r="A12" s="56"/>
      <c r="B12" s="57"/>
      <c r="C12" s="58"/>
      <c r="D12" s="57"/>
      <c r="E12" s="58"/>
      <c r="F12" s="57"/>
      <c r="G12" s="58"/>
      <c r="H12" s="57"/>
      <c r="J12" s="25" t="s">
        <v>58</v>
      </c>
      <c r="K12" s="59">
        <f>K9/K11</f>
        <v>0.5758580931</v>
      </c>
      <c r="L12" s="20">
        <f>O9/K11</f>
        <v>0.1004066292</v>
      </c>
      <c r="M12" s="9" t="s">
        <v>59</v>
      </c>
    </row>
    <row r="13">
      <c r="A13" s="9" t="s">
        <v>60</v>
      </c>
      <c r="B13" s="23">
        <f>SUM(B14+B15)</f>
        <v>12906356</v>
      </c>
      <c r="C13" s="20">
        <f t="shared" ref="C13:C17" si="7">IFERROR(SUM((D13/B13)-1),0)</f>
        <v>-0.05955414526</v>
      </c>
      <c r="D13" s="23">
        <f>SUM(D14+D15)</f>
        <v>12137729</v>
      </c>
      <c r="E13" s="20">
        <f t="shared" ref="E13:E17" si="8">IFERROR(SUM((F13/D13)-1),0)</f>
        <v>-0.01577815751</v>
      </c>
      <c r="F13" s="23">
        <f>SUM(F14+F15)</f>
        <v>11946218</v>
      </c>
      <c r="G13" s="20">
        <f t="shared" ref="G13:G17" si="9">IFERROR(SUM((H13/F13)-1),0)</f>
        <v>0.05133289883</v>
      </c>
      <c r="H13" s="23">
        <f>SUM(H14+H15)</f>
        <v>12559452</v>
      </c>
      <c r="J13" s="10" t="s">
        <v>61</v>
      </c>
      <c r="K13" s="61"/>
      <c r="L13" s="19">
        <f>IFERROR(K24/K4,0)</f>
        <v>0.07160376901</v>
      </c>
      <c r="M13" s="9" t="s">
        <v>62</v>
      </c>
      <c r="O13" s="22"/>
      <c r="P13" s="47"/>
      <c r="Q13" s="22"/>
    </row>
    <row r="14">
      <c r="A14" s="9" t="s">
        <v>63</v>
      </c>
      <c r="B14" s="27">
        <v>1669914.0</v>
      </c>
      <c r="C14" s="20">
        <f t="shared" si="7"/>
        <v>-0.5010755045</v>
      </c>
      <c r="D14" s="27">
        <v>833161.0</v>
      </c>
      <c r="E14" s="20">
        <f t="shared" si="8"/>
        <v>1.428157343</v>
      </c>
      <c r="F14" s="27">
        <v>2023046.0</v>
      </c>
      <c r="G14" s="20">
        <f t="shared" si="9"/>
        <v>0.120952267</v>
      </c>
      <c r="H14" s="27">
        <v>2267738.0</v>
      </c>
      <c r="J14" s="49" t="s">
        <v>64</v>
      </c>
      <c r="K14" s="45">
        <f t="array" ref="K14">IFERROR(INDEX(Indicador_Ações[], MATCH($J$2, Indicador_Ações[Stock], 0), MATCH(Indicador_Ações[[#HEADERS],[receita_liquida_12m]], Indicador_Ações[#HEADERS], 0)),"")</f>
        <v>4484400000</v>
      </c>
      <c r="L14" s="28">
        <f>K6/K18</f>
        <v>11.08981947</v>
      </c>
      <c r="M14" s="22" t="s">
        <v>65</v>
      </c>
      <c r="Q14" s="22"/>
      <c r="R14" s="28"/>
    </row>
    <row r="15">
      <c r="A15" s="9" t="s">
        <v>66</v>
      </c>
      <c r="B15" s="27">
        <v>1.1236442E7</v>
      </c>
      <c r="C15" s="20">
        <f t="shared" si="7"/>
        <v>0.006062951244</v>
      </c>
      <c r="D15" s="27">
        <v>1.1304568E7</v>
      </c>
      <c r="E15" s="20">
        <f t="shared" si="8"/>
        <v>-0.1221980353</v>
      </c>
      <c r="F15" s="27">
        <v>9923172.0</v>
      </c>
      <c r="G15" s="20">
        <f t="shared" si="9"/>
        <v>0.03713953562</v>
      </c>
      <c r="H15" s="27">
        <v>1.0291714E7</v>
      </c>
      <c r="J15" s="24" t="s">
        <v>68</v>
      </c>
      <c r="K15" s="45">
        <f>IFERROR(SUM(B33,D33,F33,H33),"")*K3</f>
        <v>2628858000</v>
      </c>
      <c r="L15" s="19">
        <f>K18/K6</f>
        <v>0.09017279337</v>
      </c>
      <c r="M15" s="22" t="s">
        <v>69</v>
      </c>
      <c r="Q15" s="9"/>
      <c r="R15" s="23"/>
    </row>
    <row r="16">
      <c r="A16" s="9" t="s">
        <v>70</v>
      </c>
      <c r="B16" s="27">
        <v>1083543.0</v>
      </c>
      <c r="C16" s="20">
        <f t="shared" si="7"/>
        <v>-0.8291586028</v>
      </c>
      <c r="D16" s="27">
        <v>185114.0</v>
      </c>
      <c r="E16" s="20">
        <f t="shared" si="8"/>
        <v>4.791928217</v>
      </c>
      <c r="F16" s="27">
        <v>1072167.0</v>
      </c>
      <c r="G16" s="20">
        <f t="shared" si="9"/>
        <v>0.250124281</v>
      </c>
      <c r="H16" s="27">
        <v>1340342.0</v>
      </c>
      <c r="J16" s="62" t="s">
        <v>71</v>
      </c>
      <c r="K16" s="63">
        <f t="array" ref="K16">IFERROR(INDEX(Indicador_Ações[], MATCH($J$2, Indicador_Ações[Stock], 0), MATCH(Indicador_Ações[[#HEADERS],[cagr_receita_5a]], Indicador_Ações[#HEADERS], 0)),"")</f>
        <v>13</v>
      </c>
      <c r="L16" s="64">
        <f>IFERROR(K10/K18,0)</f>
        <v>4.707049586</v>
      </c>
      <c r="M16" s="65" t="s">
        <v>72</v>
      </c>
      <c r="Q16" s="22"/>
      <c r="R16" s="23"/>
      <c r="S16" s="22"/>
    </row>
    <row r="17">
      <c r="A17" s="9" t="s">
        <v>73</v>
      </c>
      <c r="B17" s="27">
        <v>1.0598903E7</v>
      </c>
      <c r="C17" s="20">
        <f t="shared" si="7"/>
        <v>0.01633027494</v>
      </c>
      <c r="D17" s="27">
        <v>1.0771986E7</v>
      </c>
      <c r="E17" s="20">
        <f t="shared" si="8"/>
        <v>-0.1444702026</v>
      </c>
      <c r="F17" s="27">
        <v>9215755.0</v>
      </c>
      <c r="G17" s="20">
        <f t="shared" si="9"/>
        <v>0.04532791942</v>
      </c>
      <c r="H17" s="27">
        <v>9633486.0</v>
      </c>
      <c r="J17" s="51" t="s">
        <v>74</v>
      </c>
      <c r="K17" s="50">
        <f>SUM(B39,D39,F39,H39)*K3</f>
        <v>2093348000</v>
      </c>
      <c r="L17" s="66">
        <f>IFERROR(SUM(B5,D5,F5,H5)/SUM(B14,D14,F14,H14),0)</f>
        <v>1.018875281</v>
      </c>
      <c r="M17" s="65" t="s">
        <v>75</v>
      </c>
      <c r="Q17" s="22"/>
      <c r="R17" s="28"/>
    </row>
    <row r="18">
      <c r="A18" s="67"/>
      <c r="B18" s="27"/>
      <c r="C18" s="20"/>
      <c r="D18" s="27"/>
      <c r="E18" s="20"/>
      <c r="F18" s="27"/>
      <c r="G18" s="20"/>
      <c r="H18" s="27"/>
      <c r="J18" s="24" t="s">
        <v>77</v>
      </c>
      <c r="K18" s="45">
        <f>IFERROR(SUM(B45,D45,F45,H45),"")*K3</f>
        <v>2212371000</v>
      </c>
      <c r="L18" s="68">
        <f>SUM(B39,D39,F39,H39)/ABS(SUM(B42,D42,F42,H42))</f>
        <v>1.618663576</v>
      </c>
      <c r="M18" s="69" t="s">
        <v>78</v>
      </c>
      <c r="N18" s="22"/>
      <c r="Q18" s="22"/>
      <c r="R18" s="28"/>
    </row>
    <row r="19">
      <c r="A19" s="70" t="s">
        <v>79</v>
      </c>
      <c r="B19" s="27"/>
      <c r="C19" s="20"/>
      <c r="D19" s="27"/>
      <c r="E19" s="20"/>
      <c r="F19" s="27"/>
      <c r="G19" s="20"/>
      <c r="H19" s="27"/>
      <c r="J19" s="22" t="s">
        <v>80</v>
      </c>
      <c r="K19" s="50">
        <f>SUM(B32,D32,F32,H32)*K3</f>
        <v>-284037000</v>
      </c>
      <c r="L19" s="66">
        <f>IFERROR(K4/K8,0)</f>
        <v>2.812678109</v>
      </c>
      <c r="M19" s="71" t="s">
        <v>82</v>
      </c>
      <c r="Q19" s="22"/>
      <c r="R19" s="28"/>
    </row>
    <row r="20">
      <c r="A20" s="72" t="s">
        <v>48</v>
      </c>
      <c r="B20" s="27">
        <f>SUM(B17,B16)</f>
        <v>11682446</v>
      </c>
      <c r="C20" s="20">
        <f t="shared" ref="C20:C21" si="10">IFERROR(SUM((D20/B20)-1),0)</f>
        <v>-0.06208853865</v>
      </c>
      <c r="D20" s="27">
        <f>SUM(D17,D16)</f>
        <v>10957100</v>
      </c>
      <c r="E20" s="20">
        <f t="shared" ref="E20:E21" si="11">IFERROR(SUM((F20/D20)-1),0)</f>
        <v>-0.06107254657</v>
      </c>
      <c r="F20" s="27">
        <f>SUM(F17,F16)</f>
        <v>10287922</v>
      </c>
      <c r="G20" s="20">
        <f t="shared" ref="G20:G21" si="12">IFERROR(SUM((H20/F20)-1),0)</f>
        <v>0.06667099537</v>
      </c>
      <c r="H20" s="27">
        <f>SUM(H17,H16)</f>
        <v>10973828</v>
      </c>
      <c r="J20" s="25" t="s">
        <v>86</v>
      </c>
      <c r="K20" s="45">
        <f>IFERROR(SUM(B36,D36,F36,H36),"")*K3</f>
        <v>1694022000</v>
      </c>
      <c r="L20" s="73">
        <f>K10/K8</f>
        <v>1.290279175</v>
      </c>
      <c r="M20" s="65" t="s">
        <v>87</v>
      </c>
      <c r="O20" s="22"/>
      <c r="P20" s="19"/>
      <c r="Q20" s="22"/>
      <c r="R20" s="28"/>
    </row>
    <row r="21">
      <c r="A21" s="9" t="s">
        <v>52</v>
      </c>
      <c r="B21" s="27">
        <f>SUM(B20-B11)</f>
        <v>10078786</v>
      </c>
      <c r="C21" s="20">
        <f t="shared" si="10"/>
        <v>0.03315419139</v>
      </c>
      <c r="D21" s="27">
        <f>SUM(D20-D11)</f>
        <v>10412940</v>
      </c>
      <c r="E21" s="20">
        <f t="shared" si="11"/>
        <v>-0.1150704796</v>
      </c>
      <c r="F21" s="27">
        <f>SUM(F20-F11)</f>
        <v>9214718</v>
      </c>
      <c r="G21" s="20">
        <f t="shared" si="12"/>
        <v>0.05137042718</v>
      </c>
      <c r="H21" s="27">
        <f>SUM(H20-H11)</f>
        <v>9688082</v>
      </c>
      <c r="J21" s="9" t="s">
        <v>88</v>
      </c>
      <c r="K21" s="50">
        <f>IFERROR(SUM(B34,D34,F34,H34),"")*K3</f>
        <v>-416487000</v>
      </c>
      <c r="M21" s="22" t="s">
        <v>89</v>
      </c>
      <c r="N21" s="22"/>
      <c r="O21" s="22"/>
      <c r="P21" s="28"/>
    </row>
    <row r="22">
      <c r="B22" s="23"/>
      <c r="C22" s="20"/>
      <c r="D22" s="23"/>
      <c r="E22" s="20"/>
      <c r="F22" s="23"/>
      <c r="G22" s="20"/>
      <c r="H22" s="23"/>
      <c r="J22" s="62" t="s">
        <v>90</v>
      </c>
      <c r="K22" s="74">
        <f>'Indicadores_Ações'!$B$4</f>
        <v>0.04443024618</v>
      </c>
      <c r="L22" s="28">
        <f>'Indicadores_Ações'!$B$3</f>
        <v>0.139</v>
      </c>
      <c r="M22" s="22" t="s">
        <v>91</v>
      </c>
      <c r="O22" s="22"/>
      <c r="P22" s="23"/>
    </row>
    <row r="23">
      <c r="A23" s="9" t="s">
        <v>92</v>
      </c>
      <c r="B23" s="23">
        <f>B4-B13</f>
        <v>1266938</v>
      </c>
      <c r="C23" s="20">
        <f>IFERROR(SUM((D23/B23)-1),0)</f>
        <v>-0.1962669049</v>
      </c>
      <c r="D23" s="23">
        <f>D4-D13</f>
        <v>1018280</v>
      </c>
      <c r="E23" s="20">
        <f>IFERROR(SUM((F23/D23)-1),0)</f>
        <v>0.1441980595</v>
      </c>
      <c r="F23" s="23">
        <f>F4-F13</f>
        <v>1165114</v>
      </c>
      <c r="G23" s="20">
        <f>IFERROR(SUM((H23/F23)-1),0)</f>
        <v>-0.07495661369</v>
      </c>
      <c r="H23" s="23">
        <f>H4-H13</f>
        <v>1077781</v>
      </c>
      <c r="J23" s="24" t="s">
        <v>94</v>
      </c>
      <c r="K23" s="26">
        <f>SUM(B48,D48,F48,H48)*K3</f>
        <v>1035722000</v>
      </c>
      <c r="L23" s="75">
        <f>K25</f>
        <v>0.71</v>
      </c>
      <c r="M23" s="22" t="s">
        <v>95</v>
      </c>
      <c r="O23" s="22"/>
      <c r="P23" s="28"/>
      <c r="T23" s="20"/>
      <c r="U23" s="23"/>
    </row>
    <row r="24">
      <c r="B24" s="23"/>
      <c r="D24" s="23"/>
      <c r="F24" s="23"/>
      <c r="H24" s="23"/>
      <c r="J24" s="9" t="s">
        <v>96</v>
      </c>
      <c r="K24" s="50">
        <f t="array" ref="K24">IFERROR(INDEX(Indicador_Ações[], MATCH($J$2, Indicador_Ações[Stock], 0), MATCH(Indicador_Ações[[#HEADERS],[lucro_liquido_12m]], Indicador_Ações[#HEADERS], 0)),"")</f>
        <v>1625470000</v>
      </c>
      <c r="L24" s="28">
        <f>L22+0.01</f>
        <v>0.149</v>
      </c>
      <c r="M24" s="22" t="s">
        <v>98</v>
      </c>
      <c r="O24" s="22"/>
      <c r="P24" s="28"/>
      <c r="T24" s="20"/>
      <c r="U24" s="23"/>
    </row>
    <row r="25">
      <c r="A25" s="9" t="s">
        <v>99</v>
      </c>
      <c r="B25" s="27">
        <v>594507.0</v>
      </c>
      <c r="C25" s="20">
        <f t="shared" ref="C25:C27" si="13">IFERROR(SUM((D25/B25)-1),0)</f>
        <v>0</v>
      </c>
      <c r="D25" s="27">
        <v>594507.0</v>
      </c>
      <c r="E25" s="20">
        <f t="shared" ref="E25:E27" si="14">IFERROR(SUM((F25/D25)-1),0)</f>
        <v>0</v>
      </c>
      <c r="F25" s="27">
        <v>594507.0</v>
      </c>
      <c r="G25" s="20">
        <f t="shared" ref="G25:G27" si="15">IFERROR(SUM((H25/F25)-1),0)</f>
        <v>0</v>
      </c>
      <c r="H25" s="27">
        <v>594507.0</v>
      </c>
      <c r="J25" s="25" t="s">
        <v>100</v>
      </c>
      <c r="K25" s="76">
        <f t="array" ref="K25">IFERROR(INDEX(Indicador_Ações[], MATCH($J$2, Indicador_Ações[Stock], 0), MATCH(Indicador_Ações[[#HEADERS],[beta_ibov_3a]], Indicador_Ações[#HEADERS], 0)),"")</f>
        <v>0.71</v>
      </c>
      <c r="L25" s="78">
        <f>L22+L23*(L24-L22)</f>
        <v>0.1461</v>
      </c>
      <c r="M25" s="17" t="s">
        <v>101</v>
      </c>
      <c r="O25" s="79"/>
      <c r="P25" s="19"/>
      <c r="T25" s="20"/>
      <c r="U25" s="23"/>
    </row>
    <row r="26">
      <c r="A26" s="9" t="s">
        <v>102</v>
      </c>
      <c r="B26" s="27">
        <v>3784357.0</v>
      </c>
      <c r="C26" s="20">
        <f t="shared" si="13"/>
        <v>-0.0217815074</v>
      </c>
      <c r="D26" s="27">
        <v>3701928.0</v>
      </c>
      <c r="E26" s="20">
        <f t="shared" si="14"/>
        <v>-0.1008563646</v>
      </c>
      <c r="F26" s="27">
        <v>3328565.0</v>
      </c>
      <c r="G26" s="20">
        <f t="shared" si="15"/>
        <v>0.1369334833</v>
      </c>
      <c r="H26" s="27">
        <v>3784357.0</v>
      </c>
      <c r="O26" s="22"/>
      <c r="P26" s="19"/>
      <c r="T26" s="20"/>
      <c r="U26" s="23"/>
    </row>
    <row r="27">
      <c r="A27" s="9" t="s">
        <v>113</v>
      </c>
      <c r="B27" s="27">
        <v>-6526972.0</v>
      </c>
      <c r="C27" s="20">
        <f t="shared" si="13"/>
        <v>0</v>
      </c>
      <c r="D27" s="27">
        <v>-6526972.0</v>
      </c>
      <c r="E27" s="20">
        <f t="shared" si="14"/>
        <v>-0.06983222848</v>
      </c>
      <c r="F27" s="27">
        <v>-6071179.0</v>
      </c>
      <c r="G27" s="20">
        <f t="shared" si="15"/>
        <v>0.07507487425</v>
      </c>
      <c r="H27" s="27">
        <v>-6526972.0</v>
      </c>
      <c r="J27" s="22"/>
      <c r="K27" s="22"/>
      <c r="L27" s="22"/>
      <c r="M27" s="22"/>
      <c r="N27" s="22"/>
      <c r="P27" s="19"/>
      <c r="Q27" s="22"/>
      <c r="R27" s="22"/>
      <c r="T27" s="20"/>
      <c r="U27" s="23"/>
    </row>
    <row r="28" ht="22.5" customHeight="1">
      <c r="A28" s="80"/>
      <c r="B28" s="96"/>
      <c r="C28" s="80"/>
      <c r="D28" s="96"/>
      <c r="E28" s="80"/>
      <c r="F28" s="96"/>
      <c r="G28" s="80"/>
      <c r="H28" s="96"/>
      <c r="J28" s="82" t="s">
        <v>104</v>
      </c>
      <c r="K28" s="82" t="s">
        <v>105</v>
      </c>
      <c r="L28" s="82" t="s">
        <v>11</v>
      </c>
      <c r="M28" s="82" t="s">
        <v>106</v>
      </c>
      <c r="N28" s="82" t="s">
        <v>107</v>
      </c>
      <c r="O28" s="84" t="s">
        <v>108</v>
      </c>
      <c r="P28" s="19"/>
      <c r="Q28" s="85" t="s">
        <v>11</v>
      </c>
      <c r="R28" s="82" t="s">
        <v>110</v>
      </c>
    </row>
    <row r="29" ht="22.5" customHeight="1">
      <c r="A29" s="81" t="s">
        <v>103</v>
      </c>
      <c r="B29" s="23"/>
      <c r="D29" s="23"/>
      <c r="F29" s="23"/>
      <c r="H29" s="23"/>
      <c r="J29" s="87" t="s">
        <v>112</v>
      </c>
      <c r="K29" s="88">
        <f>K2</f>
        <v>40.99</v>
      </c>
      <c r="L29" s="89">
        <v>1.0</v>
      </c>
      <c r="M29" s="90">
        <f>K34</f>
        <v>1035722000</v>
      </c>
      <c r="N29" s="91"/>
      <c r="O29" s="92">
        <v>8.0</v>
      </c>
      <c r="P29" s="20"/>
      <c r="Q29" s="93">
        <v>0.0</v>
      </c>
      <c r="R29" s="95">
        <f>-K6</f>
        <v>-24534795000</v>
      </c>
    </row>
    <row r="30" ht="22.5" customHeight="1">
      <c r="A30" s="9" t="s">
        <v>111</v>
      </c>
      <c r="B30" s="27" t="s">
        <v>12</v>
      </c>
      <c r="C30" s="9" t="s">
        <v>13</v>
      </c>
      <c r="D30" s="27" t="s">
        <v>14</v>
      </c>
      <c r="E30" s="9" t="s">
        <v>15</v>
      </c>
      <c r="F30" s="27" t="s">
        <v>16</v>
      </c>
      <c r="G30" s="9" t="s">
        <v>17</v>
      </c>
      <c r="H30" s="27" t="s">
        <v>18</v>
      </c>
      <c r="J30" s="97" t="s">
        <v>10</v>
      </c>
      <c r="K30" s="98">
        <f>L2</f>
        <v>344500000</v>
      </c>
      <c r="L30" s="99">
        <v>2.0</v>
      </c>
      <c r="M30" s="100">
        <f t="shared" ref="M30:M35" si="16">M29*(1+O29/100)</f>
        <v>1118579760</v>
      </c>
      <c r="N30" s="100">
        <f>M30/(1+K35)^L29</f>
        <v>975987924.3</v>
      </c>
      <c r="O30" s="92">
        <v>8.0</v>
      </c>
      <c r="P30" s="20"/>
      <c r="Q30" s="93">
        <v>1.0</v>
      </c>
      <c r="R30" s="101">
        <f t="shared" ref="R30:R34" si="17">M30</f>
        <v>1118579760</v>
      </c>
    </row>
    <row r="31" ht="22.5" customHeight="1">
      <c r="A31" s="9" t="s">
        <v>114</v>
      </c>
      <c r="B31" s="27">
        <v>722684.0</v>
      </c>
      <c r="C31" s="20">
        <f t="shared" ref="C31:C36" si="18">IFERROR(SUM((D31/B31)-1),0)</f>
        <v>0.03856042198</v>
      </c>
      <c r="D31" s="27">
        <v>750551.0</v>
      </c>
      <c r="E31" s="20">
        <f t="shared" ref="E31:E36" si="19">IFERROR(SUM((F31/D31)-1),0)</f>
        <v>-0.03622405406</v>
      </c>
      <c r="F31" s="27">
        <v>723363.0</v>
      </c>
      <c r="G31" s="20">
        <f t="shared" ref="G31:G36" si="20">IFERROR(SUM((H31/F31)-1),0)</f>
        <v>-0.009768262961</v>
      </c>
      <c r="H31" s="27">
        <v>716297.0</v>
      </c>
      <c r="J31" s="87" t="s">
        <v>116</v>
      </c>
      <c r="K31" s="88" t="str">
        <f>P21</f>
        <v/>
      </c>
      <c r="L31" s="89">
        <v>3.0</v>
      </c>
      <c r="M31" s="100">
        <f t="shared" si="16"/>
        <v>1208066141</v>
      </c>
      <c r="N31" s="90">
        <f>M31/(1+K35)^L30</f>
        <v>919698942.7</v>
      </c>
      <c r="O31" s="92">
        <v>8.0</v>
      </c>
      <c r="P31" s="20"/>
      <c r="Q31" s="93">
        <v>2.0</v>
      </c>
      <c r="R31" s="101">
        <f t="shared" si="17"/>
        <v>1208066141</v>
      </c>
      <c r="S31" s="21"/>
      <c r="T31" s="22"/>
      <c r="U31" s="22"/>
      <c r="V31" s="22"/>
    </row>
    <row r="32" ht="22.5" customHeight="1">
      <c r="A32" s="9" t="s">
        <v>115</v>
      </c>
      <c r="B32" s="27">
        <v>-67152.0</v>
      </c>
      <c r="C32" s="20">
        <f t="shared" si="18"/>
        <v>0.06297653086</v>
      </c>
      <c r="D32" s="27">
        <v>-71381.0</v>
      </c>
      <c r="E32" s="20">
        <f t="shared" si="19"/>
        <v>0.02116809795</v>
      </c>
      <c r="F32" s="27">
        <v>-72892.0</v>
      </c>
      <c r="G32" s="20">
        <f t="shared" si="20"/>
        <v>-0.003841299457</v>
      </c>
      <c r="H32" s="27">
        <v>-72612.0</v>
      </c>
      <c r="J32" s="97" t="s">
        <v>118</v>
      </c>
      <c r="K32" s="92">
        <f>SUM(O29:O37)/6</f>
        <v>8</v>
      </c>
      <c r="L32" s="99">
        <v>4.0</v>
      </c>
      <c r="M32" s="100">
        <f t="shared" si="16"/>
        <v>1304711432</v>
      </c>
      <c r="N32" s="100">
        <f>M32/(1+K35)^L31</f>
        <v>866656363.4</v>
      </c>
      <c r="O32" s="92">
        <v>8.0</v>
      </c>
      <c r="P32" s="20"/>
      <c r="Q32" s="93">
        <v>3.0</v>
      </c>
      <c r="R32" s="101">
        <f t="shared" si="17"/>
        <v>1304711432</v>
      </c>
      <c r="S32" s="22"/>
      <c r="T32" s="22"/>
      <c r="U32" s="22"/>
      <c r="V32" s="22"/>
    </row>
    <row r="33" ht="22.5" customHeight="1">
      <c r="A33" s="72" t="s">
        <v>117</v>
      </c>
      <c r="B33" s="109">
        <f>SUM(B31,B32)</f>
        <v>655532</v>
      </c>
      <c r="C33" s="111">
        <f t="shared" si="18"/>
        <v>0.03605926179</v>
      </c>
      <c r="D33" s="109">
        <f>SUM(D31,D32)</f>
        <v>679170</v>
      </c>
      <c r="E33" s="111">
        <f t="shared" si="19"/>
        <v>-0.04225598893</v>
      </c>
      <c r="F33" s="109">
        <f>SUM(F31,F32)</f>
        <v>650471</v>
      </c>
      <c r="G33" s="111">
        <f t="shared" si="20"/>
        <v>-0.01043244049</v>
      </c>
      <c r="H33" s="109">
        <f>SUM(H31,H32)</f>
        <v>643685</v>
      </c>
      <c r="J33" s="87" t="s">
        <v>120</v>
      </c>
      <c r="K33" s="105">
        <v>0.04</v>
      </c>
      <c r="L33" s="89">
        <v>5.0</v>
      </c>
      <c r="M33" s="100">
        <f t="shared" si="16"/>
        <v>1409088347</v>
      </c>
      <c r="N33" s="90">
        <f>M33/(1+K35)^L32</f>
        <v>816672953.9</v>
      </c>
      <c r="O33" s="92">
        <v>8.0</v>
      </c>
      <c r="P33" s="20"/>
      <c r="Q33" s="93">
        <v>4.0</v>
      </c>
      <c r="R33" s="101">
        <f t="shared" si="17"/>
        <v>1409088347</v>
      </c>
      <c r="S33" s="107"/>
      <c r="T33" s="107"/>
      <c r="U33" s="107"/>
      <c r="V33" s="107"/>
    </row>
    <row r="34" ht="22.5" customHeight="1">
      <c r="A34" s="9" t="s">
        <v>119</v>
      </c>
      <c r="B34" s="27">
        <v>-93403.0</v>
      </c>
      <c r="C34" s="20">
        <f t="shared" si="18"/>
        <v>0.09217048703</v>
      </c>
      <c r="D34" s="27">
        <v>-102012.0</v>
      </c>
      <c r="E34" s="20">
        <f t="shared" si="19"/>
        <v>-0.003166294161</v>
      </c>
      <c r="F34" s="27">
        <v>-101689.0</v>
      </c>
      <c r="G34" s="20">
        <f t="shared" si="20"/>
        <v>0.1740011211</v>
      </c>
      <c r="H34" s="27">
        <v>-119383.0</v>
      </c>
      <c r="J34" s="108" t="s">
        <v>124</v>
      </c>
      <c r="K34" s="98">
        <f>$K$23</f>
        <v>1035722000</v>
      </c>
      <c r="L34" s="99">
        <v>6.0</v>
      </c>
      <c r="M34" s="100">
        <f t="shared" si="16"/>
        <v>1521815414</v>
      </c>
      <c r="N34" s="100">
        <f>M34/(1+K35)^L33</f>
        <v>769572280.1</v>
      </c>
      <c r="O34" s="92">
        <v>8.0</v>
      </c>
      <c r="P34" s="20"/>
      <c r="Q34" s="93">
        <v>5.0</v>
      </c>
      <c r="R34" s="101">
        <f t="shared" si="17"/>
        <v>1521815414</v>
      </c>
      <c r="S34" s="107"/>
      <c r="T34" s="107"/>
      <c r="U34" s="107"/>
      <c r="V34" s="107"/>
    </row>
    <row r="35" ht="22.5" customHeight="1">
      <c r="A35" s="24" t="s">
        <v>133</v>
      </c>
      <c r="B35" s="113">
        <v>-128467.0</v>
      </c>
      <c r="C35" s="59">
        <f t="shared" si="18"/>
        <v>-0.00474830112</v>
      </c>
      <c r="D35" s="113">
        <v>-127857.0</v>
      </c>
      <c r="E35" s="59">
        <f t="shared" si="19"/>
        <v>0.02706930399</v>
      </c>
      <c r="F35" s="113">
        <v>-131318.0</v>
      </c>
      <c r="G35" s="59">
        <f t="shared" si="20"/>
        <v>-0.004652827487</v>
      </c>
      <c r="H35" s="113">
        <v>-130707.0</v>
      </c>
      <c r="J35" s="110" t="s">
        <v>125</v>
      </c>
      <c r="K35" s="105">
        <f>L25</f>
        <v>0.1461</v>
      </c>
      <c r="L35" s="89">
        <v>7.0</v>
      </c>
      <c r="M35" s="100">
        <f t="shared" si="16"/>
        <v>1643560648</v>
      </c>
      <c r="N35" s="90">
        <f>M35/(1+K35)^L34</f>
        <v>725188083.5</v>
      </c>
      <c r="O35" s="92"/>
      <c r="P35" s="20"/>
      <c r="Q35" s="93">
        <v>6.0</v>
      </c>
      <c r="R35" s="101">
        <f>M35+M36</f>
        <v>17753862942</v>
      </c>
      <c r="S35" s="107"/>
      <c r="T35" s="107"/>
      <c r="U35" s="107"/>
      <c r="V35" s="107"/>
    </row>
    <row r="36" ht="22.5" customHeight="1">
      <c r="A36" s="72" t="s">
        <v>122</v>
      </c>
      <c r="B36" s="109">
        <f>B33+B34+B35</f>
        <v>433662</v>
      </c>
      <c r="C36" s="111">
        <f t="shared" si="18"/>
        <v>0.03606264787</v>
      </c>
      <c r="D36" s="109">
        <f>D33+D34+D35</f>
        <v>449301</v>
      </c>
      <c r="E36" s="111">
        <f t="shared" si="19"/>
        <v>-0.07085895647</v>
      </c>
      <c r="F36" s="109">
        <f>F33+F34+F35</f>
        <v>417464</v>
      </c>
      <c r="G36" s="111">
        <f t="shared" si="20"/>
        <v>-0.05717618765</v>
      </c>
      <c r="H36" s="109">
        <f>H33+H34+H35</f>
        <v>393595</v>
      </c>
      <c r="J36" s="97" t="s">
        <v>128</v>
      </c>
      <c r="K36" s="98">
        <f>K37/K30</f>
        <v>32.73144074</v>
      </c>
      <c r="L36" s="99" t="s">
        <v>131</v>
      </c>
      <c r="M36" s="100">
        <f>IFERROR( M35 * (1 + K33) / (K35  -K33  ), 0 )
</f>
        <v>16110302294</v>
      </c>
      <c r="N36" s="100">
        <f>M36/(1+K35)^L35</f>
        <v>6202204788</v>
      </c>
      <c r="O36" s="92"/>
      <c r="P36" s="20"/>
      <c r="Q36" s="93" t="s">
        <v>132</v>
      </c>
      <c r="R36" s="114">
        <f>IFERROR(IRR(R29:R35),0)</f>
        <v>-0.001709135131</v>
      </c>
      <c r="S36" s="107"/>
      <c r="T36" s="107"/>
      <c r="U36" s="107"/>
      <c r="V36" s="107"/>
    </row>
    <row r="37" ht="22.5" customHeight="1">
      <c r="A37" s="67"/>
      <c r="B37" s="23"/>
      <c r="C37" s="20"/>
      <c r="D37" s="23"/>
      <c r="E37" s="20"/>
      <c r="F37" s="23"/>
      <c r="G37" s="20"/>
      <c r="H37" s="23"/>
      <c r="J37" s="87" t="s">
        <v>136</v>
      </c>
      <c r="K37" s="88">
        <f>N37</f>
        <v>11275981336</v>
      </c>
      <c r="L37" s="116"/>
      <c r="M37" s="90"/>
      <c r="N37" s="90">
        <f>SUM(N29:N36)</f>
        <v>11275981336</v>
      </c>
      <c r="O37" s="92"/>
      <c r="P37" s="20"/>
      <c r="Q37" s="107"/>
      <c r="R37" s="107"/>
      <c r="S37" s="107"/>
      <c r="T37" s="107"/>
      <c r="U37" s="107"/>
      <c r="V37" s="107"/>
    </row>
    <row r="38">
      <c r="A38" s="9" t="s">
        <v>141</v>
      </c>
      <c r="B38" s="27">
        <v>90423.0</v>
      </c>
      <c r="C38" s="20">
        <f t="shared" ref="C38:C39" si="21">IFERROR(SUM((D38/B38)-1),0)</f>
        <v>0.004666954204</v>
      </c>
      <c r="D38" s="27">
        <v>90845.0</v>
      </c>
      <c r="E38" s="20">
        <f t="shared" ref="E38:E39" si="22">IFERROR(SUM((F38/D38)-1),0)</f>
        <v>0.1724475755</v>
      </c>
      <c r="F38" s="27">
        <v>106511.0</v>
      </c>
      <c r="G38" s="20">
        <f t="shared" ref="G38:G39" si="23">IFERROR(SUM((H38/F38)-1),0)</f>
        <v>0.04728150144</v>
      </c>
      <c r="H38" s="27">
        <v>111547.0</v>
      </c>
      <c r="P38" s="20"/>
      <c r="Q38" s="107"/>
      <c r="R38" s="107"/>
      <c r="S38" s="107"/>
      <c r="T38" s="107"/>
      <c r="U38" s="107"/>
      <c r="V38" s="107"/>
    </row>
    <row r="39">
      <c r="A39" s="72" t="s">
        <v>143</v>
      </c>
      <c r="B39" s="120">
        <f>SUM(B36,B38)</f>
        <v>524085</v>
      </c>
      <c r="C39" s="111">
        <f t="shared" si="21"/>
        <v>0.03064579219</v>
      </c>
      <c r="D39" s="120">
        <f>SUM(D36,D38)</f>
        <v>540146</v>
      </c>
      <c r="E39" s="111">
        <f t="shared" si="22"/>
        <v>-0.02993820189</v>
      </c>
      <c r="F39" s="120">
        <f>SUM(F36,F38)</f>
        <v>523975</v>
      </c>
      <c r="G39" s="111">
        <f t="shared" si="23"/>
        <v>-0.03594255451</v>
      </c>
      <c r="H39" s="120">
        <f>SUM(H36,H38)</f>
        <v>505142</v>
      </c>
      <c r="P39" s="20"/>
      <c r="Q39" s="107"/>
      <c r="R39" s="107"/>
      <c r="S39" s="107"/>
      <c r="T39" s="107"/>
      <c r="U39" s="107"/>
      <c r="V39" s="107"/>
    </row>
    <row r="40">
      <c r="S40" s="21"/>
      <c r="T40" s="22"/>
      <c r="U40" s="22"/>
      <c r="V40" s="22"/>
    </row>
    <row r="41">
      <c r="A41" s="9" t="s">
        <v>127</v>
      </c>
      <c r="B41" s="27">
        <v>34240.0</v>
      </c>
      <c r="C41" s="20">
        <f t="shared" ref="C41:C43" si="24">IFERROR(SUM((D41/B41)-1),0)</f>
        <v>0.07637266355</v>
      </c>
      <c r="D41" s="27">
        <v>36855.0</v>
      </c>
      <c r="E41" s="20">
        <f t="shared" ref="E41:E43" si="25">IFERROR(SUM((F41/D41)-1),0)</f>
        <v>0.2197802198</v>
      </c>
      <c r="F41" s="27">
        <v>44955.0</v>
      </c>
      <c r="G41" s="20">
        <f t="shared" ref="G41:G43" si="26">IFERROR(SUM((H41/F41)-1),0)</f>
        <v>-0.1896118341</v>
      </c>
      <c r="H41" s="27">
        <v>36431.0</v>
      </c>
    </row>
    <row r="42">
      <c r="A42" s="9" t="s">
        <v>135</v>
      </c>
      <c r="B42" s="27">
        <v>-342554.0</v>
      </c>
      <c r="C42" s="20">
        <f t="shared" si="24"/>
        <v>0.1775778417</v>
      </c>
      <c r="D42" s="27">
        <v>-403384.0</v>
      </c>
      <c r="E42" s="20">
        <f t="shared" si="25"/>
        <v>-0.3258755925</v>
      </c>
      <c r="F42" s="27">
        <v>-271931.0</v>
      </c>
      <c r="G42" s="20">
        <f t="shared" si="26"/>
        <v>0.01271278376</v>
      </c>
      <c r="H42" s="27">
        <v>-275388.0</v>
      </c>
      <c r="Q42" s="107"/>
      <c r="R42" s="107"/>
    </row>
    <row r="43">
      <c r="A43" s="72" t="s">
        <v>138</v>
      </c>
      <c r="B43" s="109">
        <f>B41+B42</f>
        <v>-308314</v>
      </c>
      <c r="C43" s="111">
        <f t="shared" si="24"/>
        <v>0.1888172448</v>
      </c>
      <c r="D43" s="109">
        <f>D41+D42</f>
        <v>-366529</v>
      </c>
      <c r="E43" s="111">
        <f t="shared" si="25"/>
        <v>-0.3807420422</v>
      </c>
      <c r="F43" s="109">
        <f>F41+F42</f>
        <v>-226976</v>
      </c>
      <c r="G43" s="111">
        <f t="shared" si="26"/>
        <v>0.05278531651</v>
      </c>
      <c r="H43" s="109">
        <f>H41+H42</f>
        <v>-238957</v>
      </c>
      <c r="Q43" s="107"/>
      <c r="R43" s="107"/>
    </row>
    <row r="44">
      <c r="B44" s="23"/>
      <c r="C44" s="20"/>
      <c r="D44" s="23"/>
      <c r="E44" s="20"/>
      <c r="F44" s="23"/>
      <c r="G44" s="20"/>
      <c r="H44" s="23"/>
      <c r="Q44" s="107"/>
      <c r="R44" s="107"/>
    </row>
    <row r="45">
      <c r="A45" s="72" t="s">
        <v>146</v>
      </c>
      <c r="B45" s="120">
        <f>B48-B47-B38-B43-B35</f>
        <v>562129</v>
      </c>
      <c r="C45" s="111">
        <f t="shared" ref="C45:C48" si="27">IFERROR(SUM((D45/B45)-1),0)</f>
        <v>0.026735856</v>
      </c>
      <c r="D45" s="120">
        <f>D48-D47-D38-D43-D35</f>
        <v>577158</v>
      </c>
      <c r="E45" s="111">
        <f t="shared" ref="E45:E48" si="28">IFERROR(SUM((F45/D45)-1),0)</f>
        <v>-0.04916504666</v>
      </c>
      <c r="F45" s="120">
        <f>F48-F47-F38-F43-F35</f>
        <v>548782</v>
      </c>
      <c r="G45" s="111">
        <f t="shared" ref="G45:G48" si="29">IFERROR(SUM((H45/F45)-1),0)</f>
        <v>-0.04460787708</v>
      </c>
      <c r="H45" s="120">
        <f>H48-H47-H38-H43-H35</f>
        <v>524302</v>
      </c>
      <c r="Q45" s="107"/>
      <c r="R45" s="107"/>
    </row>
    <row r="46">
      <c r="A46" s="72" t="s">
        <v>150</v>
      </c>
      <c r="B46" s="120">
        <f>B39+B43</f>
        <v>215771</v>
      </c>
      <c r="C46" s="111">
        <f t="shared" si="27"/>
        <v>-0.19536453</v>
      </c>
      <c r="D46" s="120">
        <f>D39+D43</f>
        <v>173617</v>
      </c>
      <c r="E46" s="111">
        <f t="shared" si="28"/>
        <v>0.7106562145</v>
      </c>
      <c r="F46" s="120">
        <f>F39+F43</f>
        <v>296999</v>
      </c>
      <c r="G46" s="111">
        <f t="shared" si="29"/>
        <v>-0.1037511911</v>
      </c>
      <c r="H46" s="120">
        <f>H39+H43</f>
        <v>266185</v>
      </c>
      <c r="Q46" s="107"/>
      <c r="R46" s="107"/>
    </row>
    <row r="47">
      <c r="A47" s="9" t="s">
        <v>152</v>
      </c>
      <c r="B47" s="27">
        <v>-23197.0</v>
      </c>
      <c r="C47" s="20">
        <f t="shared" si="27"/>
        <v>-2.429667629</v>
      </c>
      <c r="D47" s="27">
        <v>33164.0</v>
      </c>
      <c r="E47" s="20">
        <f t="shared" si="28"/>
        <v>-0.208026776</v>
      </c>
      <c r="F47" s="27">
        <v>26265.0</v>
      </c>
      <c r="G47" s="20">
        <f t="shared" si="29"/>
        <v>0.78633162</v>
      </c>
      <c r="H47" s="27">
        <v>46918.0</v>
      </c>
      <c r="Q47" s="107"/>
      <c r="R47" s="107"/>
    </row>
    <row r="48">
      <c r="A48" s="72" t="s">
        <v>156</v>
      </c>
      <c r="B48" s="109">
        <f>B46+B47</f>
        <v>192574</v>
      </c>
      <c r="C48" s="111">
        <f t="shared" si="27"/>
        <v>0.07377423744</v>
      </c>
      <c r="D48" s="109">
        <f>D46+D47</f>
        <v>206781</v>
      </c>
      <c r="E48" s="111">
        <f t="shared" si="28"/>
        <v>0.5633157785</v>
      </c>
      <c r="F48" s="109">
        <f>F46+F47</f>
        <v>323264</v>
      </c>
      <c r="G48" s="111">
        <f t="shared" si="29"/>
        <v>-0.03143251336</v>
      </c>
      <c r="H48" s="109">
        <f>H46+H47</f>
        <v>313103</v>
      </c>
      <c r="Q48" s="107"/>
      <c r="R48" s="107"/>
    </row>
    <row r="49">
      <c r="A49" s="80"/>
      <c r="B49" s="96"/>
      <c r="C49" s="80"/>
      <c r="D49" s="96"/>
      <c r="E49" s="80"/>
      <c r="F49" s="96"/>
      <c r="G49" s="80"/>
      <c r="H49" s="96"/>
      <c r="Q49" s="107"/>
      <c r="R49" s="107"/>
    </row>
    <row r="50">
      <c r="A50" s="10" t="s">
        <v>160</v>
      </c>
      <c r="B50" s="23"/>
      <c r="D50" s="23"/>
      <c r="F50" s="23"/>
      <c r="H50" s="23"/>
      <c r="Q50" s="107"/>
      <c r="R50" s="107"/>
    </row>
    <row r="51">
      <c r="A51" s="67" t="s">
        <v>162</v>
      </c>
      <c r="B51" s="27" t="s">
        <v>12</v>
      </c>
      <c r="C51" s="9" t="s">
        <v>13</v>
      </c>
      <c r="D51" s="27" t="s">
        <v>14</v>
      </c>
      <c r="E51" s="9" t="s">
        <v>15</v>
      </c>
      <c r="F51" s="27" t="s">
        <v>16</v>
      </c>
      <c r="G51" s="9" t="s">
        <v>17</v>
      </c>
      <c r="H51" s="27" t="s">
        <v>18</v>
      </c>
      <c r="Q51" s="107"/>
      <c r="R51" s="107"/>
    </row>
    <row r="52">
      <c r="A52" s="9" t="s">
        <v>163</v>
      </c>
      <c r="B52" s="27">
        <f>B48</f>
        <v>192574</v>
      </c>
      <c r="C52" s="20">
        <f t="shared" ref="C52:C56" si="30">IFERROR(SUM((D52/B52)-1),0)</f>
        <v>1.073774237</v>
      </c>
      <c r="D52" s="27">
        <f>SUM(B52,D48)</f>
        <v>399355</v>
      </c>
      <c r="E52" s="20">
        <f t="shared" ref="E52:E56" si="31">IFERROR(SUM((F52/D52)-1),0)</f>
        <v>0.8094652627</v>
      </c>
      <c r="F52" s="27">
        <f>SUM(D52,F48)</f>
        <v>722619</v>
      </c>
      <c r="G52" s="20">
        <f t="shared" ref="G52:G56" si="32">IFERROR(SUM((H52/F52)-1),0)</f>
        <v>0.4332891884</v>
      </c>
      <c r="H52" s="27">
        <f>SUM(F52,H48)</f>
        <v>1035722</v>
      </c>
      <c r="Q52" s="107"/>
      <c r="R52" s="107"/>
    </row>
    <row r="53">
      <c r="A53" s="126" t="s">
        <v>165</v>
      </c>
      <c r="B53" s="127">
        <v>587038.0</v>
      </c>
      <c r="C53" s="128">
        <f t="shared" si="30"/>
        <v>1.050899601</v>
      </c>
      <c r="D53" s="127">
        <v>1203956.0</v>
      </c>
      <c r="E53" s="128">
        <f t="shared" si="31"/>
        <v>0.3962129845</v>
      </c>
      <c r="F53" s="127">
        <v>1680979.0</v>
      </c>
      <c r="G53" s="128">
        <f t="shared" si="32"/>
        <v>0.338889421</v>
      </c>
      <c r="H53" s="127">
        <v>2250645.0</v>
      </c>
      <c r="Q53" s="107"/>
      <c r="R53" s="107"/>
    </row>
    <row r="54">
      <c r="A54" s="9" t="s">
        <v>173</v>
      </c>
      <c r="B54" s="27">
        <v>8018.0</v>
      </c>
      <c r="C54" s="20">
        <f t="shared" si="30"/>
        <v>8.513719132</v>
      </c>
      <c r="D54" s="27">
        <v>76281.0</v>
      </c>
      <c r="E54" s="20">
        <f t="shared" si="31"/>
        <v>11.81783144</v>
      </c>
      <c r="F54" s="27">
        <v>977757.0</v>
      </c>
      <c r="G54" s="20">
        <f t="shared" si="32"/>
        <v>0.1810777115</v>
      </c>
      <c r="H54" s="27">
        <v>1154807.0</v>
      </c>
    </row>
    <row r="55">
      <c r="A55" s="9" t="s">
        <v>177</v>
      </c>
      <c r="B55" s="27">
        <v>-13738.0</v>
      </c>
      <c r="C55" s="20">
        <f t="shared" si="30"/>
        <v>0.346265832</v>
      </c>
      <c r="D55" s="27">
        <v>-18495.0</v>
      </c>
      <c r="E55" s="20">
        <f t="shared" si="31"/>
        <v>-0.2759124088</v>
      </c>
      <c r="F55" s="27">
        <v>-13392.0</v>
      </c>
      <c r="G55" s="20">
        <f t="shared" si="32"/>
        <v>0.7330495818</v>
      </c>
      <c r="H55" s="27">
        <v>-23209.0</v>
      </c>
    </row>
    <row r="56">
      <c r="A56" s="129" t="s">
        <v>169</v>
      </c>
      <c r="B56" s="130">
        <f>SUM(B53:B55)</f>
        <v>581318</v>
      </c>
      <c r="C56" s="111">
        <f t="shared" si="30"/>
        <v>1.170485001</v>
      </c>
      <c r="D56" s="130">
        <f>SUM(D53:D55)</f>
        <v>1261742</v>
      </c>
      <c r="E56" s="111">
        <f t="shared" si="31"/>
        <v>1.096580759</v>
      </c>
      <c r="F56" s="130">
        <f>SUM(F53:F55)</f>
        <v>2645344</v>
      </c>
      <c r="G56" s="111">
        <f t="shared" si="32"/>
        <v>0.278564527</v>
      </c>
      <c r="H56" s="130">
        <f>SUM(H53:H55)</f>
        <v>3382243</v>
      </c>
    </row>
    <row r="57">
      <c r="A57" s="9" t="s">
        <v>172</v>
      </c>
      <c r="B57" s="23"/>
      <c r="D57" s="23"/>
      <c r="F57" s="23"/>
      <c r="H57" s="23"/>
    </row>
    <row r="58">
      <c r="A58" s="9" t="s">
        <v>185</v>
      </c>
      <c r="B58" s="27">
        <v>-323609.0</v>
      </c>
      <c r="C58" s="20">
        <f t="shared" ref="C58:C62" si="33">IFERROR(SUM((D58/B58)-1),0)</f>
        <v>0.4874895321</v>
      </c>
      <c r="D58" s="27">
        <v>-481365.0</v>
      </c>
      <c r="E58" s="20">
        <f t="shared" ref="E58:E62" si="34">IFERROR(SUM((F58/D58)-1),0)</f>
        <v>-1</v>
      </c>
      <c r="F58" s="27">
        <v>0.0</v>
      </c>
      <c r="G58" s="20">
        <f t="shared" ref="G58:G62" si="35">IFERROR(SUM((H58/F58)-1),0)</f>
        <v>0</v>
      </c>
      <c r="H58" s="27">
        <v>-1895606.0</v>
      </c>
    </row>
    <row r="59">
      <c r="A59" s="9" t="s">
        <v>183</v>
      </c>
      <c r="B59" s="27">
        <v>43308.0</v>
      </c>
      <c r="C59" s="20">
        <f t="shared" si="33"/>
        <v>4.344486007</v>
      </c>
      <c r="D59" s="27">
        <v>231459.0</v>
      </c>
      <c r="E59" s="20">
        <f t="shared" si="34"/>
        <v>-3.129305838</v>
      </c>
      <c r="F59" s="27">
        <v>-492847.0</v>
      </c>
      <c r="G59" s="20">
        <f t="shared" si="35"/>
        <v>0.1516170333</v>
      </c>
      <c r="H59" s="27">
        <v>-567571.0</v>
      </c>
    </row>
    <row r="60">
      <c r="A60" s="9" t="s">
        <v>188</v>
      </c>
      <c r="B60" s="27">
        <v>0.0</v>
      </c>
      <c r="C60" s="20">
        <f t="shared" si="33"/>
        <v>0</v>
      </c>
      <c r="D60" s="27">
        <v>0.0</v>
      </c>
      <c r="E60" s="20">
        <f t="shared" si="34"/>
        <v>0</v>
      </c>
      <c r="F60" s="27">
        <v>-1386146.0</v>
      </c>
      <c r="G60" s="20">
        <f t="shared" si="35"/>
        <v>-1</v>
      </c>
      <c r="H60" s="27">
        <v>0.0</v>
      </c>
    </row>
    <row r="61">
      <c r="A61" s="9" t="s">
        <v>172</v>
      </c>
      <c r="B61" s="27">
        <f>SUM(B58:B60)</f>
        <v>-280301</v>
      </c>
      <c r="C61" s="20">
        <f t="shared" si="33"/>
        <v>-0.1084370017</v>
      </c>
      <c r="D61" s="27">
        <f>SUM(D58:D60)</f>
        <v>-249906</v>
      </c>
      <c r="E61" s="20">
        <f t="shared" si="34"/>
        <v>6.518799068</v>
      </c>
      <c r="F61" s="27">
        <f>SUM(F58:F60)</f>
        <v>-1878993</v>
      </c>
      <c r="G61" s="20">
        <f t="shared" si="35"/>
        <v>0.3109027016</v>
      </c>
      <c r="H61" s="27">
        <f>SUM(H58:H60)</f>
        <v>-2463177</v>
      </c>
    </row>
    <row r="62">
      <c r="A62" s="129" t="s">
        <v>192</v>
      </c>
      <c r="B62" s="130">
        <f>B61</f>
        <v>-280301</v>
      </c>
      <c r="C62" s="111">
        <f t="shared" si="33"/>
        <v>-0.1084370017</v>
      </c>
      <c r="D62" s="130">
        <f>D61</f>
        <v>-249906</v>
      </c>
      <c r="E62" s="111">
        <f t="shared" si="34"/>
        <v>6.518799068</v>
      </c>
      <c r="F62" s="130">
        <f>F61</f>
        <v>-1878993</v>
      </c>
      <c r="G62" s="111">
        <f t="shared" si="35"/>
        <v>0.3109027016</v>
      </c>
      <c r="H62" s="130">
        <f>H61</f>
        <v>-2463177</v>
      </c>
      <c r="J62" s="67"/>
      <c r="L62" s="20"/>
      <c r="N62" s="20"/>
      <c r="P62" s="20"/>
    </row>
    <row r="63">
      <c r="B63" s="23"/>
      <c r="D63" s="23"/>
      <c r="F63" s="23"/>
      <c r="H63" s="23"/>
      <c r="J63" s="9"/>
      <c r="K63" s="20"/>
      <c r="L63" s="20"/>
      <c r="M63" s="20"/>
      <c r="N63" s="20"/>
      <c r="O63" s="20"/>
      <c r="P63" s="20"/>
      <c r="Q63" s="20"/>
    </row>
    <row r="64">
      <c r="A64" s="9" t="s">
        <v>194</v>
      </c>
      <c r="B64" s="27"/>
      <c r="C64" s="20"/>
      <c r="D64" s="23"/>
      <c r="E64" s="20"/>
      <c r="F64" s="27"/>
      <c r="G64" s="20"/>
      <c r="H64" s="27"/>
      <c r="K64" s="23"/>
      <c r="L64" s="20"/>
      <c r="M64" s="23"/>
      <c r="N64" s="20"/>
      <c r="O64" s="23"/>
      <c r="P64" s="20"/>
      <c r="Q64" s="23"/>
    </row>
    <row r="65">
      <c r="A65" s="9" t="s">
        <v>195</v>
      </c>
      <c r="B65" s="27">
        <v>-908.0</v>
      </c>
      <c r="C65" s="20">
        <f t="shared" ref="C65:C73" si="36">IFERROR(SUM((D65/B65)-1),0)</f>
        <v>1.43722467</v>
      </c>
      <c r="D65" s="27">
        <v>-2213.0</v>
      </c>
      <c r="E65" s="20">
        <f t="shared" ref="E65:E73" si="37">IFERROR(SUM((F65/D65)-1),0)</f>
        <v>169.9561681</v>
      </c>
      <c r="F65" s="27">
        <v>-378326.0</v>
      </c>
      <c r="G65" s="20">
        <f t="shared" ref="G65:G73" si="38">IFERROR(SUM((H65/F65)-1),0)</f>
        <v>0.002400046521</v>
      </c>
      <c r="H65" s="27">
        <v>-379234.0</v>
      </c>
      <c r="J65" s="9"/>
      <c r="L65" s="20"/>
      <c r="N65" s="20"/>
      <c r="P65" s="20"/>
    </row>
    <row r="66">
      <c r="A66" s="9" t="s">
        <v>197</v>
      </c>
      <c r="B66" s="27">
        <v>-617.0</v>
      </c>
      <c r="C66" s="20">
        <f t="shared" si="36"/>
        <v>1.372771475</v>
      </c>
      <c r="D66" s="27">
        <v>-1464.0</v>
      </c>
      <c r="E66" s="20">
        <f t="shared" si="37"/>
        <v>15.30806011</v>
      </c>
      <c r="F66" s="27">
        <v>-23875.0</v>
      </c>
      <c r="G66" s="20">
        <f t="shared" si="38"/>
        <v>0.01922513089</v>
      </c>
      <c r="H66" s="27">
        <v>-24334.0</v>
      </c>
      <c r="K66" s="23"/>
      <c r="L66" s="20"/>
      <c r="M66" s="23"/>
      <c r="N66" s="20"/>
      <c r="O66" s="23"/>
      <c r="P66" s="20"/>
      <c r="Q66" s="23"/>
    </row>
    <row r="67">
      <c r="A67" s="9" t="s">
        <v>198</v>
      </c>
      <c r="B67" s="27">
        <v>799590.0</v>
      </c>
      <c r="C67" s="20">
        <f t="shared" si="36"/>
        <v>-0.002248652434</v>
      </c>
      <c r="D67" s="27">
        <v>797792.0</v>
      </c>
      <c r="E67" s="20">
        <f t="shared" si="37"/>
        <v>0.7551805483</v>
      </c>
      <c r="F67" s="27">
        <v>1400269.0</v>
      </c>
      <c r="G67" s="20">
        <f t="shared" si="38"/>
        <v>0.6377703141</v>
      </c>
      <c r="H67" s="27">
        <v>2293319.0</v>
      </c>
      <c r="J67" s="9"/>
      <c r="K67" s="20"/>
      <c r="L67" s="20"/>
      <c r="M67" s="20"/>
      <c r="N67" s="20"/>
      <c r="O67" s="20"/>
      <c r="P67" s="20"/>
      <c r="Q67" s="20"/>
    </row>
    <row r="68">
      <c r="A68" s="9" t="s">
        <v>201</v>
      </c>
      <c r="B68" s="27">
        <v>-248306.0</v>
      </c>
      <c r="C68" s="20">
        <f t="shared" si="36"/>
        <v>3.562447142</v>
      </c>
      <c r="D68" s="27">
        <v>-1132883.0</v>
      </c>
      <c r="E68" s="20">
        <f t="shared" si="37"/>
        <v>-0.3599162491</v>
      </c>
      <c r="F68" s="27">
        <v>-725140.0</v>
      </c>
      <c r="G68" s="20">
        <f t="shared" si="38"/>
        <v>0.4569986485</v>
      </c>
      <c r="H68" s="27">
        <v>-1056528.0</v>
      </c>
      <c r="J68" s="9"/>
      <c r="K68" s="20"/>
      <c r="L68" s="20"/>
      <c r="M68" s="20"/>
      <c r="N68" s="20"/>
      <c r="O68" s="20"/>
      <c r="P68" s="20"/>
      <c r="Q68" s="20"/>
    </row>
    <row r="69">
      <c r="A69" s="9" t="s">
        <v>203</v>
      </c>
      <c r="B69" s="27">
        <v>-200465.0</v>
      </c>
      <c r="C69" s="20">
        <f t="shared" si="36"/>
        <v>0.9739755069</v>
      </c>
      <c r="D69" s="27">
        <v>-395713.0</v>
      </c>
      <c r="E69" s="20">
        <f t="shared" si="37"/>
        <v>0.4256519245</v>
      </c>
      <c r="F69" s="27">
        <v>-564149.0</v>
      </c>
      <c r="G69" s="20">
        <f t="shared" si="38"/>
        <v>0.3628757651</v>
      </c>
      <c r="H69" s="27">
        <v>-768865.0</v>
      </c>
      <c r="J69" s="9"/>
      <c r="K69" s="20"/>
      <c r="L69" s="20"/>
      <c r="M69" s="20"/>
      <c r="N69" s="20"/>
      <c r="O69" s="20"/>
      <c r="P69" s="20"/>
      <c r="Q69" s="20"/>
    </row>
    <row r="70">
      <c r="A70" s="9" t="s">
        <v>204</v>
      </c>
      <c r="B70" s="27">
        <v>1428.0</v>
      </c>
      <c r="C70" s="20">
        <f t="shared" si="36"/>
        <v>-115.5567227</v>
      </c>
      <c r="D70" s="27">
        <v>-163587.0</v>
      </c>
      <c r="E70" s="20">
        <f t="shared" si="37"/>
        <v>-1.027080391</v>
      </c>
      <c r="F70" s="27">
        <v>4430.0</v>
      </c>
      <c r="G70" s="20">
        <f t="shared" si="38"/>
        <v>5.2503386</v>
      </c>
      <c r="H70" s="27">
        <v>27689.0</v>
      </c>
      <c r="J70" s="9"/>
      <c r="K70" s="20"/>
      <c r="L70" s="20"/>
      <c r="M70" s="20"/>
      <c r="N70" s="20"/>
      <c r="O70" s="20"/>
      <c r="P70" s="20"/>
      <c r="Q70" s="20"/>
    </row>
    <row r="71">
      <c r="A71" s="9" t="s">
        <v>205</v>
      </c>
      <c r="B71" s="27">
        <v>0.0</v>
      </c>
      <c r="C71" s="20">
        <f t="shared" si="36"/>
        <v>0</v>
      </c>
      <c r="D71" s="27">
        <v>0.0</v>
      </c>
      <c r="E71" s="20">
        <f t="shared" si="37"/>
        <v>0</v>
      </c>
      <c r="F71" s="27">
        <v>0.0</v>
      </c>
      <c r="G71" s="20">
        <f t="shared" si="38"/>
        <v>0</v>
      </c>
      <c r="H71" s="27">
        <v>0.0</v>
      </c>
      <c r="L71" s="20"/>
      <c r="N71" s="20"/>
      <c r="P71" s="20"/>
    </row>
    <row r="72">
      <c r="A72" s="9" t="s">
        <v>206</v>
      </c>
      <c r="B72" s="27">
        <v>-302214.0</v>
      </c>
      <c r="C72" s="20">
        <f t="shared" si="36"/>
        <v>1.140883612</v>
      </c>
      <c r="D72" s="27">
        <v>-647005.0</v>
      </c>
      <c r="E72" s="20">
        <f t="shared" si="37"/>
        <v>-0.04076320894</v>
      </c>
      <c r="F72" s="27">
        <v>-620631.0</v>
      </c>
      <c r="G72" s="20">
        <f t="shared" si="38"/>
        <v>0.6442829959</v>
      </c>
      <c r="H72" s="27">
        <v>-1020493.0</v>
      </c>
      <c r="J72" s="67"/>
      <c r="L72" s="20"/>
      <c r="N72" s="20"/>
      <c r="P72" s="20"/>
    </row>
    <row r="73">
      <c r="A73" s="129" t="s">
        <v>208</v>
      </c>
      <c r="B73" s="140">
        <f>SUM(B65:B72)</f>
        <v>48508</v>
      </c>
      <c r="C73" s="111">
        <f t="shared" si="36"/>
        <v>-32.85192133</v>
      </c>
      <c r="D73" s="140">
        <f>SUM(D65:D72)</f>
        <v>-1545073</v>
      </c>
      <c r="E73" s="111">
        <f t="shared" si="37"/>
        <v>-0.4126995941</v>
      </c>
      <c r="F73" s="140">
        <f>SUM(F65:F72)</f>
        <v>-907422</v>
      </c>
      <c r="G73" s="111">
        <f t="shared" si="38"/>
        <v>0.02316893353</v>
      </c>
      <c r="H73" s="140">
        <f>SUM(H65:H72)</f>
        <v>-928446</v>
      </c>
      <c r="K73" s="23"/>
      <c r="L73" s="20"/>
      <c r="M73" s="23"/>
      <c r="N73" s="20"/>
      <c r="O73" s="23"/>
      <c r="P73" s="20"/>
      <c r="Q73" s="23"/>
    </row>
    <row r="74">
      <c r="B74" s="23"/>
      <c r="C74" s="20"/>
      <c r="D74" s="23"/>
      <c r="E74" s="20"/>
      <c r="F74" s="23"/>
      <c r="G74" s="20"/>
      <c r="H74" s="23"/>
      <c r="K74" s="23"/>
      <c r="L74" s="20"/>
      <c r="M74" s="23"/>
      <c r="N74" s="20"/>
      <c r="O74" s="23"/>
      <c r="P74" s="20"/>
      <c r="Q74" s="23"/>
    </row>
    <row r="75">
      <c r="A75" s="72" t="s">
        <v>210</v>
      </c>
      <c r="B75" s="120">
        <f>SUM(B56,B62,B73)</f>
        <v>349525</v>
      </c>
      <c r="C75" s="111">
        <f t="shared" ref="C75:C77" si="39">IFERROR(SUM((D75/B75)-1),0)</f>
        <v>-2.525604749</v>
      </c>
      <c r="D75" s="120">
        <f>SUM(D56,D62,D73)</f>
        <v>-533237</v>
      </c>
      <c r="E75" s="111">
        <f t="shared" ref="E75:E77" si="40">IFERROR(SUM((F75/D75)-1),0)</f>
        <v>-0.7354440896</v>
      </c>
      <c r="F75" s="120">
        <f>SUM(F56,F62,F73)</f>
        <v>-141071</v>
      </c>
      <c r="G75" s="111">
        <f t="shared" ref="G75:G77" si="41">IFERROR(SUM((H75/F75)-1),0)</f>
        <v>-0.9335086588</v>
      </c>
      <c r="H75" s="120">
        <f>SUM(H56,H62,H73)</f>
        <v>-9380</v>
      </c>
      <c r="L75" s="20"/>
      <c r="N75" s="20"/>
      <c r="P75" s="20"/>
    </row>
    <row r="76">
      <c r="A76" s="9" t="s">
        <v>212</v>
      </c>
      <c r="B76" s="27">
        <v>741596.0</v>
      </c>
      <c r="C76" s="20">
        <f t="shared" si="39"/>
        <v>0</v>
      </c>
      <c r="D76" s="27">
        <v>741596.0</v>
      </c>
      <c r="E76" s="20">
        <f t="shared" si="40"/>
        <v>0.01264839616</v>
      </c>
      <c r="F76" s="27">
        <v>750976.0</v>
      </c>
      <c r="G76" s="20">
        <f t="shared" si="41"/>
        <v>0</v>
      </c>
      <c r="H76" s="27">
        <v>750976.0</v>
      </c>
    </row>
    <row r="77">
      <c r="A77" s="43" t="s">
        <v>214</v>
      </c>
      <c r="B77" s="42">
        <f>SUM(B75:B76)</f>
        <v>1091121</v>
      </c>
      <c r="C77" s="48">
        <f t="shared" si="39"/>
        <v>-0.8090413437</v>
      </c>
      <c r="D77" s="42">
        <f>SUM(D75:D76)</f>
        <v>208359</v>
      </c>
      <c r="E77" s="48">
        <f t="shared" si="40"/>
        <v>1.927183371</v>
      </c>
      <c r="F77" s="42">
        <f>SUM(F75:F76)</f>
        <v>609905</v>
      </c>
      <c r="G77" s="48">
        <f t="shared" si="41"/>
        <v>0.2159205122</v>
      </c>
      <c r="H77" s="42">
        <f>SUM(H75:H76)</f>
        <v>741596</v>
      </c>
    </row>
    <row r="80">
      <c r="C80" s="20"/>
      <c r="D80" s="27"/>
      <c r="E80" s="20"/>
      <c r="F80" s="27"/>
      <c r="G80" s="20"/>
      <c r="H80" s="27"/>
    </row>
    <row r="81">
      <c r="C81" s="20"/>
      <c r="D81" s="27"/>
      <c r="E81" s="20"/>
      <c r="F81" s="27"/>
      <c r="G81" s="20"/>
      <c r="H81" s="27"/>
    </row>
    <row r="83">
      <c r="C83" s="20"/>
      <c r="E83" s="20"/>
      <c r="G83" s="20"/>
    </row>
    <row r="84">
      <c r="L84" s="20"/>
      <c r="M84" s="23"/>
      <c r="N84" s="20"/>
      <c r="O84" s="23"/>
      <c r="P84" s="20"/>
      <c r="Q84" s="23"/>
    </row>
    <row r="85">
      <c r="L85" s="20"/>
      <c r="M85" s="23"/>
      <c r="N85" s="20"/>
      <c r="O85" s="23"/>
      <c r="P85" s="20"/>
      <c r="Q85" s="23"/>
    </row>
    <row r="86">
      <c r="L86" s="20"/>
      <c r="M86" s="23"/>
      <c r="N86" s="20"/>
      <c r="O86" s="23"/>
      <c r="P86" s="20"/>
      <c r="Q86" s="23"/>
    </row>
    <row r="91">
      <c r="I91" s="20"/>
    </row>
    <row r="92">
      <c r="I92" s="20"/>
      <c r="J92" s="23"/>
    </row>
    <row r="93">
      <c r="H93" s="32"/>
      <c r="I93" s="20"/>
      <c r="J93" s="23"/>
    </row>
    <row r="94">
      <c r="H94" s="27"/>
      <c r="I94" s="20"/>
      <c r="J94" s="23"/>
    </row>
    <row r="95">
      <c r="I95" s="20"/>
      <c r="J95" s="23"/>
    </row>
    <row r="96">
      <c r="I96" s="20"/>
      <c r="J96" s="20"/>
    </row>
    <row r="97">
      <c r="I97" s="20"/>
    </row>
    <row r="104">
      <c r="I104" s="20"/>
    </row>
    <row r="105">
      <c r="I105" s="20"/>
    </row>
    <row r="106">
      <c r="I106" s="20"/>
    </row>
    <row r="107">
      <c r="I107" s="20"/>
      <c r="J107" s="20"/>
    </row>
    <row r="108">
      <c r="I108" s="20"/>
      <c r="J108" s="27"/>
    </row>
    <row r="109">
      <c r="I109" s="20"/>
      <c r="J109" s="20"/>
    </row>
    <row r="110">
      <c r="G110" s="20"/>
    </row>
    <row r="111">
      <c r="G111" s="20"/>
    </row>
    <row r="112">
      <c r="G112" s="20"/>
    </row>
    <row r="114">
      <c r="G114" s="20"/>
    </row>
    <row r="115">
      <c r="G115" s="20"/>
    </row>
    <row r="116">
      <c r="G116" s="20"/>
    </row>
    <row r="117">
      <c r="G117" s="20"/>
    </row>
    <row r="118">
      <c r="G118" s="20"/>
    </row>
    <row r="120">
      <c r="G120" s="20"/>
      <c r="H120" s="27"/>
      <c r="I120" s="20"/>
      <c r="J120" s="23"/>
    </row>
    <row r="121">
      <c r="G121" s="20"/>
      <c r="H121" s="27"/>
    </row>
    <row r="122">
      <c r="G122" s="20"/>
      <c r="H122" s="27"/>
    </row>
    <row r="123">
      <c r="G123" s="20"/>
      <c r="H123" s="32"/>
      <c r="I123" s="20"/>
      <c r="J123" s="23"/>
    </row>
    <row r="124">
      <c r="G124" s="20"/>
      <c r="H124" s="32"/>
      <c r="I124" s="20"/>
      <c r="J124" s="23"/>
    </row>
    <row r="125">
      <c r="G125" s="20"/>
      <c r="H125" s="32"/>
      <c r="I125" s="20"/>
      <c r="J125" s="23"/>
    </row>
    <row r="126">
      <c r="G126" s="20"/>
      <c r="H126" s="32"/>
      <c r="I126" s="20"/>
      <c r="J126" s="23"/>
    </row>
    <row r="127">
      <c r="G127" s="20"/>
      <c r="H127" s="27"/>
    </row>
    <row r="128">
      <c r="G128" s="20"/>
      <c r="H128" s="27"/>
    </row>
    <row r="129">
      <c r="G129" s="20"/>
      <c r="H129" s="146"/>
    </row>
    <row r="130">
      <c r="G130" s="20"/>
      <c r="H130" s="23"/>
    </row>
    <row r="131">
      <c r="G131" s="20"/>
    </row>
    <row r="132">
      <c r="G132" s="20"/>
      <c r="H132" s="32"/>
    </row>
    <row r="133">
      <c r="G133" s="20"/>
      <c r="H133" s="9"/>
    </row>
    <row r="135">
      <c r="H135" s="27"/>
    </row>
    <row r="136">
      <c r="H136" s="27"/>
    </row>
    <row r="137">
      <c r="H137" s="27"/>
    </row>
    <row r="139">
      <c r="G139" s="9"/>
    </row>
    <row r="141">
      <c r="B141" s="27"/>
      <c r="C141" s="20"/>
      <c r="D141" s="27"/>
      <c r="E141" s="20"/>
      <c r="F141" s="20"/>
      <c r="H141" s="27"/>
    </row>
    <row r="142">
      <c r="A142" s="9"/>
      <c r="C142" s="20"/>
      <c r="E142" s="20"/>
      <c r="F142" s="20"/>
      <c r="G142" s="9"/>
    </row>
    <row r="144">
      <c r="A144" s="9"/>
      <c r="G144" s="9"/>
    </row>
    <row r="145">
      <c r="A145" s="67"/>
      <c r="G145" s="67"/>
    </row>
    <row r="146">
      <c r="B146" s="27"/>
      <c r="C146" s="20"/>
      <c r="D146" s="27"/>
      <c r="H146" s="27"/>
    </row>
    <row r="147">
      <c r="A147" s="150"/>
      <c r="B147" s="27"/>
      <c r="C147" s="20"/>
      <c r="D147" s="27"/>
      <c r="G147" s="150"/>
      <c r="H147" s="27"/>
    </row>
    <row r="148">
      <c r="B148" s="27"/>
      <c r="C148" s="20"/>
      <c r="D148" s="27"/>
      <c r="H148" s="27"/>
    </row>
    <row r="149">
      <c r="B149" s="27"/>
      <c r="C149" s="20"/>
      <c r="D149" s="27"/>
      <c r="H149" s="27"/>
    </row>
    <row r="150">
      <c r="A150" s="9"/>
      <c r="B150" s="27"/>
      <c r="C150" s="20"/>
      <c r="D150" s="27"/>
      <c r="G150" s="9"/>
      <c r="H150" s="27"/>
    </row>
    <row r="151">
      <c r="B151" s="27"/>
      <c r="C151" s="20"/>
      <c r="D151" s="27"/>
      <c r="H151" s="27"/>
    </row>
    <row r="152">
      <c r="B152" s="27"/>
      <c r="C152" s="20"/>
      <c r="D152" s="27"/>
      <c r="H152" s="27"/>
    </row>
    <row r="153">
      <c r="B153" s="27"/>
      <c r="C153" s="20"/>
      <c r="D153" s="27"/>
      <c r="H153" s="27"/>
    </row>
    <row r="154">
      <c r="B154" s="27"/>
      <c r="C154" s="20"/>
      <c r="D154" s="27"/>
      <c r="H154" s="27"/>
    </row>
    <row r="155">
      <c r="C155" s="20"/>
      <c r="D155" s="32"/>
    </row>
    <row r="156">
      <c r="A156" s="67"/>
      <c r="B156" s="158"/>
      <c r="C156" s="160"/>
      <c r="D156" s="158"/>
      <c r="G156" s="67"/>
      <c r="H156" s="158"/>
    </row>
    <row r="157">
      <c r="B157" s="23"/>
      <c r="D157" s="23"/>
      <c r="H157" s="23"/>
    </row>
    <row r="158">
      <c r="B158" s="27"/>
      <c r="C158" s="20"/>
      <c r="D158" s="27"/>
      <c r="H158" s="27"/>
    </row>
    <row r="159">
      <c r="B159" s="27"/>
      <c r="C159" s="20"/>
      <c r="D159" s="27"/>
      <c r="H159" s="27"/>
    </row>
    <row r="160">
      <c r="B160" s="27"/>
      <c r="C160" s="20"/>
      <c r="D160" s="27"/>
      <c r="H160" s="27"/>
    </row>
    <row r="161">
      <c r="B161" s="27"/>
      <c r="C161" s="20"/>
      <c r="D161" s="27"/>
      <c r="H161" s="27"/>
    </row>
    <row r="162">
      <c r="A162" s="67"/>
      <c r="B162" s="158"/>
      <c r="C162" s="160"/>
      <c r="D162" s="158"/>
      <c r="G162" s="67"/>
      <c r="H162" s="158"/>
    </row>
    <row r="163">
      <c r="B163" s="23"/>
      <c r="D163" s="23"/>
      <c r="H163" s="23"/>
    </row>
    <row r="164">
      <c r="B164" s="27"/>
      <c r="D164" s="23"/>
      <c r="H164" s="27"/>
    </row>
    <row r="165">
      <c r="B165" s="27"/>
      <c r="C165" s="20"/>
      <c r="D165" s="27"/>
      <c r="H165" s="27"/>
    </row>
    <row r="166">
      <c r="B166" s="27"/>
      <c r="C166" s="20"/>
      <c r="D166" s="27"/>
      <c r="H166" s="27"/>
    </row>
    <row r="167">
      <c r="B167" s="27"/>
      <c r="C167" s="20"/>
      <c r="D167" s="27"/>
      <c r="H167" s="27"/>
    </row>
    <row r="168">
      <c r="B168" s="27"/>
      <c r="C168" s="20"/>
      <c r="D168" s="27"/>
      <c r="H168" s="27"/>
    </row>
    <row r="169">
      <c r="A169" s="67"/>
      <c r="B169" s="146"/>
      <c r="C169" s="160"/>
      <c r="D169" s="146"/>
      <c r="G169" s="67"/>
      <c r="H169" s="146"/>
    </row>
    <row r="170">
      <c r="B170" s="23"/>
      <c r="D170" s="23"/>
      <c r="H170" s="23"/>
    </row>
    <row r="171">
      <c r="A171" s="9"/>
      <c r="C171" s="20"/>
      <c r="G171" s="9"/>
    </row>
    <row r="172">
      <c r="B172" s="32"/>
      <c r="C172" s="20"/>
      <c r="D172" s="32"/>
      <c r="H172" s="32"/>
    </row>
    <row r="173">
      <c r="A173" s="9"/>
      <c r="B173" s="9"/>
      <c r="C173" s="20"/>
      <c r="D173" s="9"/>
      <c r="G173" s="9"/>
      <c r="H173" s="9"/>
    </row>
    <row r="177">
      <c r="G177" s="9"/>
    </row>
    <row r="178">
      <c r="C178" s="20"/>
      <c r="D178" s="23"/>
      <c r="G178" s="9"/>
      <c r="I178" s="20"/>
    </row>
    <row r="179">
      <c r="C179" s="20"/>
      <c r="D179" s="27"/>
      <c r="E179" s="20"/>
      <c r="F179" s="23"/>
      <c r="H179" s="23"/>
      <c r="I179" s="20"/>
      <c r="J179" s="23"/>
    </row>
    <row r="180">
      <c r="C180" s="20"/>
      <c r="D180" s="27"/>
      <c r="E180" s="20"/>
      <c r="F180" s="27"/>
      <c r="H180" s="23"/>
      <c r="I180" s="20"/>
      <c r="J180" s="23"/>
    </row>
    <row r="181">
      <c r="C181" s="20"/>
      <c r="D181" s="27"/>
      <c r="E181" s="20"/>
      <c r="F181" s="27"/>
      <c r="H181" s="23"/>
      <c r="I181" s="20"/>
      <c r="J181" s="23"/>
    </row>
    <row r="182">
      <c r="C182" s="20"/>
      <c r="D182" s="27"/>
      <c r="E182" s="20"/>
      <c r="F182" s="27"/>
      <c r="H182" s="23"/>
      <c r="I182" s="20"/>
      <c r="J182" s="23"/>
    </row>
    <row r="183">
      <c r="C183" s="20"/>
      <c r="D183" s="32"/>
      <c r="E183" s="20"/>
      <c r="F183" s="27"/>
      <c r="H183" s="20"/>
      <c r="I183" s="20"/>
      <c r="J183" s="20"/>
    </row>
    <row r="184">
      <c r="C184" s="20"/>
      <c r="D184" s="32"/>
      <c r="E184" s="20"/>
      <c r="F184" s="27"/>
      <c r="H184" s="20"/>
      <c r="I184" s="20"/>
      <c r="J184" s="20"/>
    </row>
    <row r="185">
      <c r="C185" s="20"/>
      <c r="D185" s="27"/>
      <c r="E185" s="20"/>
      <c r="F185" s="23"/>
      <c r="H185" s="23"/>
      <c r="I185" s="20"/>
      <c r="J185" s="23"/>
    </row>
    <row r="186">
      <c r="E186" s="20"/>
      <c r="F186" s="23"/>
      <c r="H186" s="23"/>
      <c r="I186" s="20"/>
      <c r="J186" s="23"/>
    </row>
    <row r="187">
      <c r="C187" s="20"/>
      <c r="D187" s="23"/>
      <c r="E187" s="20"/>
      <c r="F187" s="27"/>
      <c r="H187" s="23"/>
      <c r="I187" s="20"/>
      <c r="J187" s="23"/>
    </row>
    <row r="188">
      <c r="C188" s="20"/>
      <c r="D188" s="27"/>
      <c r="E188" s="20"/>
      <c r="F188" s="27"/>
      <c r="H188" s="20"/>
      <c r="I188" s="20"/>
      <c r="J188" s="20"/>
    </row>
    <row r="189">
      <c r="C189" s="20"/>
      <c r="D189" s="27"/>
      <c r="E189" s="20"/>
      <c r="F189" s="27"/>
      <c r="G189" s="67"/>
    </row>
    <row r="190">
      <c r="C190" s="20"/>
      <c r="D190" s="27"/>
      <c r="E190" s="20"/>
      <c r="F190" s="27"/>
      <c r="G190" s="67"/>
    </row>
    <row r="191">
      <c r="C191" s="20"/>
      <c r="D191" s="27"/>
      <c r="F191" s="23"/>
      <c r="G191" s="9"/>
      <c r="I191" s="20"/>
    </row>
    <row r="192">
      <c r="C192" s="20"/>
      <c r="D192" s="32"/>
      <c r="E192" s="20"/>
      <c r="F192" s="23"/>
      <c r="G192" s="9"/>
      <c r="H192" s="20"/>
      <c r="I192" s="20"/>
      <c r="J192" s="20"/>
    </row>
    <row r="193">
      <c r="C193" s="20"/>
      <c r="D193" s="32"/>
      <c r="E193" s="20"/>
      <c r="F193" s="23"/>
      <c r="G193" s="9"/>
      <c r="H193" s="20"/>
      <c r="I193" s="20"/>
      <c r="J193" s="20"/>
    </row>
    <row r="194">
      <c r="C194" s="20"/>
      <c r="D194" s="32"/>
      <c r="E194" s="20"/>
      <c r="F194" s="23"/>
      <c r="G194" s="9"/>
      <c r="H194" s="20"/>
      <c r="I194" s="20"/>
      <c r="J194" s="20"/>
    </row>
    <row r="195">
      <c r="C195" s="20"/>
      <c r="D195" s="32"/>
      <c r="E195" s="20"/>
      <c r="F195" s="23"/>
      <c r="G195" s="9"/>
      <c r="H195" s="27"/>
      <c r="I195" s="20"/>
      <c r="J195" s="27"/>
    </row>
    <row r="196">
      <c r="E196" s="20"/>
      <c r="F196" s="23"/>
      <c r="G196" s="9"/>
      <c r="H196" s="20"/>
      <c r="I196" s="20"/>
      <c r="J196" s="20"/>
    </row>
    <row r="197">
      <c r="C197" s="20"/>
      <c r="D197" s="23"/>
      <c r="E197" s="20"/>
      <c r="F197" s="23"/>
      <c r="H197" s="23"/>
      <c r="I197" s="20"/>
      <c r="J197" s="23"/>
    </row>
    <row r="198">
      <c r="C198" s="20"/>
      <c r="D198" s="23"/>
      <c r="E198" s="20"/>
      <c r="F198" s="23"/>
    </row>
    <row r="199">
      <c r="C199" s="20"/>
      <c r="D199" s="23"/>
      <c r="F199" s="23"/>
      <c r="G199" s="67"/>
    </row>
    <row r="200">
      <c r="D200" s="23"/>
      <c r="E200" s="20"/>
      <c r="F200" s="27"/>
      <c r="G200" s="9"/>
      <c r="H200" s="20"/>
      <c r="I200" s="20"/>
      <c r="J200" s="20"/>
    </row>
    <row r="201">
      <c r="C201" s="20"/>
      <c r="D201" s="27"/>
      <c r="E201" s="20"/>
      <c r="F201" s="27"/>
      <c r="G201" s="9"/>
      <c r="H201" s="20"/>
      <c r="I201" s="20"/>
      <c r="J201" s="20"/>
    </row>
    <row r="202">
      <c r="C202" s="20"/>
      <c r="D202" s="27"/>
      <c r="E202" s="20"/>
      <c r="F202" s="23"/>
      <c r="G202" s="9"/>
      <c r="H202" s="20"/>
      <c r="I202" s="20"/>
      <c r="J202" s="20"/>
    </row>
    <row r="203">
      <c r="C203" s="20"/>
      <c r="D203" s="27"/>
      <c r="E203" s="20"/>
      <c r="G203" s="9"/>
      <c r="H203" s="20"/>
      <c r="I203" s="20"/>
      <c r="J203" s="20"/>
    </row>
    <row r="205">
      <c r="G205" s="67"/>
    </row>
    <row r="206">
      <c r="E206" s="20"/>
      <c r="F206" s="32"/>
      <c r="H206" s="23"/>
      <c r="I206" s="20"/>
      <c r="J206" s="23"/>
    </row>
    <row r="207">
      <c r="C207" s="20"/>
      <c r="D207" s="32"/>
      <c r="E207" s="20"/>
      <c r="H207" s="23"/>
      <c r="I207" s="20"/>
      <c r="J207" s="23"/>
    </row>
    <row r="208">
      <c r="C208" s="20"/>
      <c r="D208" s="27"/>
      <c r="E208" s="20"/>
    </row>
    <row r="209">
      <c r="C209" s="20"/>
      <c r="D209" s="32"/>
      <c r="E209" s="20"/>
      <c r="G209" s="9"/>
    </row>
    <row r="210">
      <c r="C210" s="20"/>
      <c r="D210" s="27"/>
      <c r="E210" s="20"/>
      <c r="H210" s="23"/>
      <c r="I210" s="20"/>
      <c r="J210" s="23"/>
    </row>
    <row r="211">
      <c r="E211" s="20"/>
      <c r="H211" s="23"/>
      <c r="I211" s="20"/>
      <c r="J211" s="23"/>
    </row>
    <row r="212">
      <c r="C212" s="20"/>
      <c r="D212" s="27"/>
      <c r="E212" s="20"/>
      <c r="F212" s="20"/>
      <c r="H212" s="23"/>
      <c r="I212" s="20"/>
      <c r="J212" s="23"/>
    </row>
    <row r="213">
      <c r="C213" s="20"/>
      <c r="D213" s="27"/>
      <c r="H213" s="23"/>
      <c r="I213" s="20"/>
      <c r="J213" s="23"/>
    </row>
    <row r="214">
      <c r="C214" s="20"/>
      <c r="D214" s="20"/>
      <c r="E214" s="20"/>
      <c r="F214" s="32"/>
    </row>
    <row r="215">
      <c r="C215" s="20"/>
      <c r="D215" s="27"/>
      <c r="E215" s="20"/>
      <c r="F215" s="27"/>
    </row>
    <row r="216">
      <c r="C216" s="20"/>
      <c r="D216" s="27"/>
      <c r="E216" s="20"/>
      <c r="F216" s="32"/>
    </row>
    <row r="217">
      <c r="C217" s="20"/>
      <c r="D217" s="23"/>
      <c r="E217" s="20"/>
      <c r="F217" s="27"/>
    </row>
    <row r="218">
      <c r="E218" s="20"/>
      <c r="F218" s="32"/>
    </row>
    <row r="219">
      <c r="D219" s="27"/>
      <c r="E219" s="20"/>
      <c r="F219" s="32"/>
    </row>
    <row r="220">
      <c r="C220" s="20"/>
      <c r="E220" s="20"/>
    </row>
    <row r="221">
      <c r="E221" s="20"/>
    </row>
    <row r="222">
      <c r="C222" s="20"/>
      <c r="D222" s="27"/>
      <c r="E222" s="20"/>
    </row>
    <row r="223">
      <c r="C223" s="20"/>
      <c r="D223" s="27"/>
      <c r="E223" s="20"/>
      <c r="F223" s="32"/>
    </row>
    <row r="224">
      <c r="C224" s="20"/>
      <c r="D224" s="27"/>
      <c r="E224" s="20"/>
    </row>
    <row r="226">
      <c r="C226" s="20"/>
    </row>
    <row r="227">
      <c r="C227" s="20"/>
      <c r="E227" s="20"/>
      <c r="F227" s="20"/>
    </row>
    <row r="228">
      <c r="C228" s="20"/>
      <c r="D228" s="27"/>
      <c r="E228" s="20"/>
      <c r="F228" s="20"/>
    </row>
    <row r="229">
      <c r="C229" s="20"/>
      <c r="E229" s="20"/>
      <c r="F229" s="20"/>
    </row>
    <row r="233">
      <c r="C233" s="20"/>
      <c r="D233" s="27"/>
    </row>
    <row r="234">
      <c r="C234" s="20"/>
      <c r="D234" s="27"/>
    </row>
    <row r="235">
      <c r="C235" s="20"/>
      <c r="D235" s="27"/>
    </row>
    <row r="236">
      <c r="C236" s="20"/>
      <c r="D236" s="27"/>
    </row>
    <row r="237">
      <c r="C237" s="20"/>
      <c r="D237" s="27"/>
    </row>
    <row r="238">
      <c r="C238" s="20"/>
      <c r="D238" s="27"/>
    </row>
    <row r="239">
      <c r="C239" s="20"/>
      <c r="D239" s="27"/>
    </row>
    <row r="240">
      <c r="C240" s="20"/>
      <c r="D240" s="27"/>
    </row>
    <row r="241">
      <c r="C241" s="20"/>
      <c r="D241" s="27"/>
    </row>
    <row r="242">
      <c r="C242" s="20"/>
      <c r="D242" s="32"/>
    </row>
    <row r="243">
      <c r="C243" s="160"/>
      <c r="D243" s="158"/>
    </row>
    <row r="244">
      <c r="D244" s="23"/>
    </row>
    <row r="245">
      <c r="C245" s="20"/>
      <c r="D245" s="27"/>
    </row>
    <row r="246">
      <c r="C246" s="20"/>
      <c r="D246" s="27"/>
    </row>
    <row r="247">
      <c r="C247" s="20"/>
      <c r="D247" s="27"/>
    </row>
    <row r="248">
      <c r="C248" s="20"/>
      <c r="D248" s="27"/>
    </row>
    <row r="249">
      <c r="C249" s="160"/>
      <c r="D249" s="158"/>
    </row>
    <row r="250">
      <c r="D250" s="23"/>
    </row>
    <row r="251">
      <c r="D251" s="23"/>
    </row>
    <row r="252">
      <c r="C252" s="20"/>
      <c r="D252" s="27"/>
    </row>
    <row r="253">
      <c r="C253" s="20"/>
      <c r="D253" s="27"/>
    </row>
    <row r="254">
      <c r="C254" s="20"/>
      <c r="D254" s="27"/>
    </row>
    <row r="255">
      <c r="C255" s="20"/>
      <c r="D255" s="27"/>
    </row>
    <row r="256">
      <c r="C256" s="160"/>
      <c r="D256" s="146"/>
    </row>
    <row r="257">
      <c r="D257" s="23"/>
    </row>
    <row r="258">
      <c r="C258" s="20"/>
    </row>
    <row r="259">
      <c r="C259" s="20"/>
      <c r="D259" s="32"/>
    </row>
    <row r="260">
      <c r="C260" s="20"/>
      <c r="D260" s="9"/>
    </row>
    <row r="264">
      <c r="A264" s="9"/>
    </row>
    <row r="265">
      <c r="G265" s="9"/>
    </row>
    <row r="266">
      <c r="B266" s="23"/>
      <c r="C266" s="20"/>
      <c r="D266" s="23"/>
      <c r="G266" s="9"/>
      <c r="I266" s="20"/>
    </row>
    <row r="267">
      <c r="B267" s="27"/>
      <c r="C267" s="20"/>
      <c r="D267" s="27"/>
      <c r="E267" s="20"/>
      <c r="F267" s="23"/>
      <c r="H267" s="23"/>
      <c r="I267" s="20"/>
      <c r="J267" s="23"/>
    </row>
    <row r="268">
      <c r="B268" s="27"/>
      <c r="C268" s="20"/>
      <c r="D268" s="27"/>
      <c r="E268" s="20"/>
      <c r="F268" s="27"/>
      <c r="H268" s="23"/>
      <c r="I268" s="20"/>
      <c r="J268" s="23"/>
    </row>
    <row r="269">
      <c r="B269" s="27"/>
      <c r="C269" s="20"/>
      <c r="D269" s="27"/>
      <c r="E269" s="20"/>
      <c r="F269" s="27"/>
      <c r="H269" s="23"/>
      <c r="I269" s="20"/>
      <c r="J269" s="23"/>
    </row>
    <row r="270">
      <c r="B270" s="27"/>
      <c r="C270" s="20"/>
      <c r="D270" s="27"/>
      <c r="E270" s="20"/>
      <c r="F270" s="27"/>
      <c r="H270" s="23"/>
      <c r="I270" s="20"/>
      <c r="J270" s="23"/>
    </row>
    <row r="271">
      <c r="A271" s="9"/>
      <c r="B271" s="32"/>
      <c r="C271" s="20"/>
      <c r="D271" s="32"/>
      <c r="E271" s="20"/>
      <c r="F271" s="27"/>
      <c r="H271" s="20"/>
      <c r="I271" s="20"/>
      <c r="J271" s="20"/>
    </row>
    <row r="272">
      <c r="B272" s="32"/>
      <c r="C272" s="20"/>
      <c r="D272" s="32"/>
      <c r="E272" s="20"/>
      <c r="F272" s="27"/>
      <c r="H272" s="20"/>
      <c r="I272" s="20"/>
      <c r="J272" s="20"/>
    </row>
    <row r="273">
      <c r="B273" s="27"/>
      <c r="C273" s="20"/>
      <c r="D273" s="27"/>
      <c r="E273" s="20"/>
      <c r="F273" s="23"/>
      <c r="H273" s="23"/>
      <c r="I273" s="20"/>
      <c r="J273" s="23"/>
    </row>
    <row r="274">
      <c r="E274" s="20"/>
      <c r="F274" s="23"/>
      <c r="H274" s="23"/>
      <c r="I274" s="20"/>
      <c r="J274" s="23"/>
    </row>
    <row r="275">
      <c r="B275" s="23"/>
      <c r="C275" s="20"/>
      <c r="D275" s="23"/>
      <c r="E275" s="20"/>
      <c r="F275" s="27"/>
      <c r="H275" s="23"/>
      <c r="I275" s="20"/>
      <c r="J275" s="23"/>
    </row>
    <row r="276">
      <c r="B276" s="27"/>
      <c r="C276" s="20"/>
      <c r="D276" s="27"/>
      <c r="E276" s="20"/>
      <c r="F276" s="27"/>
      <c r="H276" s="20"/>
      <c r="I276" s="20"/>
      <c r="J276" s="20"/>
    </row>
    <row r="277">
      <c r="B277" s="27"/>
      <c r="C277" s="20"/>
      <c r="D277" s="27"/>
      <c r="E277" s="20"/>
      <c r="F277" s="27"/>
      <c r="G277" s="67"/>
    </row>
    <row r="278">
      <c r="B278" s="27"/>
      <c r="C278" s="20"/>
      <c r="D278" s="27"/>
      <c r="E278" s="20"/>
      <c r="F278" s="27"/>
      <c r="G278" s="67"/>
    </row>
    <row r="279">
      <c r="B279" s="27"/>
      <c r="C279" s="20"/>
      <c r="D279" s="27"/>
      <c r="F279" s="23"/>
      <c r="G279" s="9"/>
      <c r="I279" s="20"/>
    </row>
    <row r="280">
      <c r="A280" s="67"/>
      <c r="B280" s="32"/>
      <c r="C280" s="20"/>
      <c r="D280" s="32"/>
      <c r="E280" s="20"/>
      <c r="F280" s="23"/>
      <c r="G280" s="9"/>
      <c r="H280" s="20"/>
      <c r="I280" s="20"/>
      <c r="J280" s="20"/>
    </row>
    <row r="281">
      <c r="A281" s="67"/>
      <c r="B281" s="32"/>
      <c r="C281" s="20"/>
      <c r="D281" s="32"/>
      <c r="E281" s="20"/>
      <c r="F281" s="23"/>
      <c r="G281" s="9"/>
      <c r="H281" s="20"/>
      <c r="I281" s="20"/>
      <c r="J281" s="20"/>
    </row>
    <row r="282">
      <c r="A282" s="9"/>
      <c r="B282" s="32"/>
      <c r="C282" s="20"/>
      <c r="D282" s="32"/>
      <c r="E282" s="20"/>
      <c r="F282" s="23"/>
      <c r="G282" s="9"/>
      <c r="H282" s="20"/>
      <c r="I282" s="20"/>
      <c r="J282" s="20"/>
    </row>
    <row r="283">
      <c r="B283" s="32"/>
      <c r="C283" s="20"/>
      <c r="D283" s="32"/>
      <c r="E283" s="20"/>
      <c r="F283" s="23"/>
      <c r="G283" s="9"/>
      <c r="H283" s="27"/>
      <c r="I283" s="20"/>
      <c r="J283" s="27"/>
    </row>
    <row r="284">
      <c r="E284" s="20"/>
      <c r="F284" s="23"/>
      <c r="G284" s="9"/>
      <c r="H284" s="20"/>
      <c r="I284" s="20"/>
      <c r="J284" s="20"/>
    </row>
    <row r="285">
      <c r="B285" s="20"/>
      <c r="C285" s="20"/>
      <c r="D285" s="23"/>
      <c r="E285" s="20"/>
      <c r="F285" s="23"/>
      <c r="H285" s="23"/>
      <c r="I285" s="20"/>
      <c r="J285" s="23"/>
    </row>
    <row r="286">
      <c r="B286" s="23"/>
      <c r="C286" s="20"/>
      <c r="D286" s="23"/>
      <c r="E286" s="20"/>
      <c r="F286" s="23"/>
    </row>
    <row r="287">
      <c r="B287" s="23"/>
      <c r="C287" s="20"/>
      <c r="D287" s="23"/>
      <c r="F287" s="23"/>
      <c r="G287" s="67"/>
    </row>
    <row r="288">
      <c r="B288" s="23"/>
      <c r="D288" s="23"/>
      <c r="E288" s="20"/>
      <c r="F288" s="27"/>
      <c r="G288" s="9"/>
      <c r="H288" s="20"/>
      <c r="I288" s="20"/>
      <c r="J288" s="20"/>
    </row>
    <row r="289">
      <c r="B289" s="27"/>
      <c r="C289" s="20"/>
      <c r="D289" s="27"/>
      <c r="E289" s="20"/>
      <c r="F289" s="27"/>
      <c r="G289" s="9"/>
      <c r="H289" s="20"/>
      <c r="I289" s="20"/>
      <c r="J289" s="20"/>
    </row>
    <row r="290">
      <c r="B290" s="27"/>
      <c r="C290" s="20"/>
      <c r="D290" s="27"/>
      <c r="E290" s="20"/>
      <c r="F290" s="23"/>
      <c r="G290" s="9"/>
      <c r="H290" s="20"/>
      <c r="I290" s="20"/>
      <c r="J290" s="20"/>
    </row>
    <row r="291">
      <c r="B291" s="27"/>
      <c r="C291" s="20"/>
      <c r="D291" s="27"/>
      <c r="E291" s="20"/>
      <c r="G291" s="9"/>
      <c r="H291" s="20"/>
      <c r="I291" s="20"/>
      <c r="J291" s="20"/>
    </row>
    <row r="293">
      <c r="A293" s="67"/>
      <c r="G293" s="67"/>
    </row>
    <row r="294">
      <c r="E294" s="20"/>
      <c r="F294" s="32"/>
      <c r="H294" s="23"/>
      <c r="I294" s="20"/>
      <c r="J294" s="23"/>
    </row>
    <row r="295">
      <c r="B295" s="32"/>
      <c r="C295" s="20"/>
      <c r="D295" s="32"/>
      <c r="E295" s="20"/>
      <c r="H295" s="23"/>
      <c r="I295" s="20"/>
      <c r="J295" s="23"/>
    </row>
    <row r="296">
      <c r="A296" s="9"/>
      <c r="B296" s="27"/>
      <c r="C296" s="20"/>
      <c r="D296" s="27"/>
      <c r="E296" s="20"/>
    </row>
    <row r="297">
      <c r="B297" s="32"/>
      <c r="C297" s="20"/>
      <c r="D297" s="32"/>
      <c r="E297" s="20"/>
      <c r="G297" s="9"/>
    </row>
    <row r="298">
      <c r="A298" s="9"/>
      <c r="B298" s="27"/>
      <c r="C298" s="20"/>
      <c r="D298" s="27"/>
      <c r="E298" s="20"/>
      <c r="H298" s="23"/>
      <c r="I298" s="20"/>
      <c r="J298" s="23"/>
    </row>
    <row r="299">
      <c r="A299" s="67"/>
      <c r="E299" s="20"/>
      <c r="H299" s="23"/>
      <c r="I299" s="20"/>
      <c r="J299" s="23"/>
    </row>
    <row r="300">
      <c r="B300" s="27"/>
      <c r="C300" s="20"/>
      <c r="D300" s="27"/>
      <c r="E300" s="20"/>
      <c r="F300" s="20"/>
      <c r="H300" s="23"/>
      <c r="I300" s="20"/>
      <c r="J300" s="23"/>
    </row>
    <row r="301">
      <c r="B301" s="27"/>
      <c r="C301" s="20"/>
      <c r="D301" s="27"/>
      <c r="H301" s="23"/>
      <c r="I301" s="20"/>
      <c r="J301" s="23"/>
    </row>
    <row r="302">
      <c r="B302" s="20"/>
      <c r="C302" s="20"/>
      <c r="D302" s="20"/>
      <c r="E302" s="20"/>
      <c r="F302" s="32"/>
    </row>
    <row r="303">
      <c r="B303" s="27"/>
      <c r="C303" s="20"/>
      <c r="D303" s="27"/>
      <c r="E303" s="20"/>
      <c r="F303" s="27"/>
    </row>
    <row r="304">
      <c r="B304" s="27"/>
      <c r="C304" s="20"/>
      <c r="D304" s="27"/>
      <c r="E304" s="20"/>
      <c r="F304" s="32"/>
    </row>
    <row r="305">
      <c r="B305" s="23"/>
      <c r="C305" s="20"/>
      <c r="D305" s="23"/>
      <c r="E305" s="20"/>
      <c r="F305" s="27"/>
    </row>
    <row r="306">
      <c r="E306" s="20"/>
      <c r="F306" s="32"/>
    </row>
    <row r="307">
      <c r="B307" s="27"/>
      <c r="D307" s="27"/>
      <c r="E307" s="20"/>
      <c r="F307" s="32"/>
    </row>
    <row r="308">
      <c r="A308" s="9"/>
      <c r="C308" s="20"/>
      <c r="E308" s="20"/>
    </row>
    <row r="309">
      <c r="E309" s="20"/>
    </row>
    <row r="310">
      <c r="B310" s="27"/>
      <c r="C310" s="20"/>
      <c r="D310" s="27"/>
      <c r="E310" s="20"/>
    </row>
    <row r="311">
      <c r="B311" s="27"/>
      <c r="C311" s="20"/>
      <c r="D311" s="27"/>
      <c r="E311" s="20"/>
      <c r="F311" s="32"/>
    </row>
    <row r="312">
      <c r="B312" s="27"/>
      <c r="C312" s="20"/>
      <c r="D312" s="27"/>
      <c r="E312" s="20"/>
    </row>
    <row r="314">
      <c r="A314" s="9"/>
      <c r="C314" s="20"/>
    </row>
    <row r="315">
      <c r="C315" s="20"/>
      <c r="E315" s="20"/>
      <c r="F315" s="20"/>
    </row>
    <row r="316">
      <c r="B316" s="27"/>
      <c r="C316" s="20"/>
      <c r="D316" s="27"/>
      <c r="E316" s="20"/>
      <c r="F316" s="20"/>
    </row>
    <row r="317">
      <c r="A317" s="9"/>
      <c r="C317" s="20"/>
      <c r="E317" s="20"/>
      <c r="F317" s="20"/>
    </row>
    <row r="319">
      <c r="A319" s="9"/>
    </row>
    <row r="320">
      <c r="A320" s="67"/>
    </row>
    <row r="321">
      <c r="B321" s="27"/>
      <c r="C321" s="20"/>
      <c r="D321" s="27"/>
    </row>
    <row r="322">
      <c r="A322" s="150"/>
      <c r="B322" s="27"/>
      <c r="C322" s="20"/>
      <c r="D322" s="27"/>
    </row>
    <row r="323">
      <c r="B323" s="27"/>
      <c r="C323" s="20"/>
      <c r="D323" s="27"/>
    </row>
    <row r="324">
      <c r="B324" s="27"/>
      <c r="C324" s="20"/>
      <c r="D324" s="27"/>
    </row>
    <row r="325">
      <c r="A325" s="9"/>
      <c r="B325" s="27"/>
      <c r="C325" s="20"/>
      <c r="D325" s="27"/>
    </row>
    <row r="326">
      <c r="B326" s="27"/>
      <c r="C326" s="20"/>
      <c r="D326" s="27"/>
    </row>
    <row r="327">
      <c r="B327" s="27"/>
      <c r="C327" s="20"/>
      <c r="D327" s="27"/>
    </row>
    <row r="328">
      <c r="B328" s="27"/>
      <c r="C328" s="20"/>
      <c r="D328" s="27"/>
    </row>
    <row r="329">
      <c r="B329" s="27"/>
      <c r="C329" s="20"/>
      <c r="D329" s="27"/>
    </row>
    <row r="330">
      <c r="C330" s="20"/>
      <c r="D330" s="32"/>
    </row>
    <row r="331">
      <c r="A331" s="67"/>
      <c r="B331" s="158"/>
      <c r="C331" s="160"/>
      <c r="D331" s="158"/>
    </row>
    <row r="332">
      <c r="B332" s="23"/>
      <c r="D332" s="23"/>
    </row>
    <row r="333">
      <c r="B333" s="27"/>
      <c r="C333" s="20"/>
      <c r="D333" s="27"/>
    </row>
    <row r="334">
      <c r="B334" s="27"/>
      <c r="C334" s="20"/>
      <c r="D334" s="27"/>
    </row>
    <row r="335">
      <c r="B335" s="27"/>
      <c r="C335" s="20"/>
      <c r="D335" s="27"/>
    </row>
    <row r="336">
      <c r="B336" s="27"/>
      <c r="C336" s="20"/>
      <c r="D336" s="27"/>
    </row>
    <row r="337">
      <c r="A337" s="67"/>
      <c r="B337" s="158"/>
      <c r="C337" s="160"/>
      <c r="D337" s="158"/>
    </row>
    <row r="338">
      <c r="B338" s="23"/>
      <c r="D338" s="23"/>
    </row>
    <row r="339">
      <c r="B339" s="27"/>
      <c r="D339" s="23"/>
    </row>
    <row r="340">
      <c r="B340" s="27"/>
      <c r="C340" s="20"/>
      <c r="D340" s="27"/>
    </row>
    <row r="341">
      <c r="B341" s="27"/>
      <c r="C341" s="20"/>
      <c r="D341" s="27"/>
    </row>
    <row r="342">
      <c r="B342" s="27"/>
      <c r="C342" s="20"/>
      <c r="D342" s="27"/>
    </row>
    <row r="343">
      <c r="B343" s="27"/>
      <c r="C343" s="20"/>
      <c r="D343" s="27"/>
    </row>
    <row r="344">
      <c r="A344" s="67"/>
      <c r="B344" s="146"/>
      <c r="C344" s="160"/>
      <c r="D344" s="146"/>
    </row>
    <row r="345">
      <c r="B345" s="23"/>
      <c r="D345" s="23"/>
    </row>
    <row r="346">
      <c r="A346" s="9"/>
      <c r="C346" s="20"/>
    </row>
    <row r="347">
      <c r="B347" s="32"/>
      <c r="C347" s="20"/>
      <c r="D347" s="32"/>
    </row>
    <row r="348">
      <c r="B348" s="9"/>
      <c r="C348" s="20"/>
      <c r="D348" s="9"/>
    </row>
  </sheetData>
  <mergeCells count="1">
    <mergeCell ref="Q13:R13"/>
  </mergeCells>
  <dataValidations>
    <dataValidation type="list" allowBlank="1" showErrorMessage="1" sqref="B1 D1 F1 H1">
      <formula1>"Feito,Não,Atual"</formula1>
    </dataValidation>
    <dataValidation type="custom" allowBlank="1" showDropDown="1" sqref="K29:K37 M29:N37">
      <formula1>AND(ISNUMBER(K29),(NOT(OR(NOT(ISERROR(DATEVALUE(K29))), AND(ISNUMBER(K29), LEFT(CELL("format", K29))="D")))))</formula1>
    </dataValidation>
  </dataValidations>
  <drawing r:id="rId2"/>
  <legacyDrawing r:id="rId3"/>
  <tableParts count="2">
    <tablePart r:id="rId6"/>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2" width="18.0"/>
    <col customWidth="1" min="3" max="3" width="9.88"/>
    <col customWidth="1" min="4" max="4" width="15.63"/>
    <col customWidth="1" min="5" max="5" width="18.5"/>
    <col customWidth="1" min="6" max="6" width="16.0"/>
    <col customWidth="1" min="7" max="7" width="17.88"/>
    <col customWidth="1" min="8" max="8" width="15.63"/>
    <col customWidth="1" min="9" max="9" width="9.13"/>
    <col customWidth="1" min="10" max="10" width="22.5"/>
    <col customWidth="1" min="11" max="11" width="20.75"/>
    <col customWidth="1" min="12" max="12" width="17.25"/>
    <col customWidth="1" min="13" max="13" width="29.0"/>
    <col customWidth="1" min="14" max="14" width="24.25"/>
    <col customWidth="1" min="15" max="15" width="19.38"/>
    <col customWidth="1" min="16" max="16" width="24.5"/>
    <col customWidth="1" min="17" max="17" width="24.75"/>
    <col customWidth="1" min="18" max="18" width="24.5"/>
    <col customWidth="1" min="20" max="20" width="18.63"/>
    <col customWidth="1" min="21" max="21" width="18.5"/>
  </cols>
  <sheetData>
    <row r="1">
      <c r="A1" s="1"/>
      <c r="B1" s="2" t="s">
        <v>1</v>
      </c>
      <c r="C1" s="3">
        <v>46058.0</v>
      </c>
      <c r="D1" s="2" t="s">
        <v>2</v>
      </c>
      <c r="E1" s="4">
        <v>46237.0</v>
      </c>
      <c r="F1" s="2" t="s">
        <v>3</v>
      </c>
      <c r="G1" s="3">
        <v>46058.0</v>
      </c>
      <c r="H1" s="2" t="s">
        <v>3</v>
      </c>
      <c r="I1" s="3">
        <v>46058.0</v>
      </c>
      <c r="J1" s="5" t="s">
        <v>4</v>
      </c>
      <c r="K1" s="7">
        <f t="array" ref="K1">IFERROR(INDEX(Indicador_Ações[], MATCH($J$2, Indicador_Ações[Stock], 0), MATCH(Indicador_Ações[[#HEADERS],[ult_balanco_processado]], Indicador_Ações[#HEADERS], 0)),"")</f>
        <v>46203</v>
      </c>
      <c r="L1" s="9"/>
      <c r="M1" s="9"/>
      <c r="N1" s="9"/>
      <c r="O1" s="9"/>
      <c r="P1" s="9"/>
      <c r="Q1" s="9"/>
    </row>
    <row r="2">
      <c r="A2" s="10" t="s">
        <v>5</v>
      </c>
      <c r="B2" s="9"/>
      <c r="D2" s="9"/>
      <c r="J2" s="11" t="s">
        <v>9</v>
      </c>
      <c r="K2" s="12">
        <f>IFERROR(__xludf.DUMMYFUNCTION("(GOOGLEFINANCE(""BVMF:"" &amp; J2))"),27.74)</f>
        <v>27.74</v>
      </c>
      <c r="L2" s="14">
        <f t="array" ref="L2">IFERROR(INDEX(Indicador_Ações[], MATCH($J$2, Indicador_Ações[Stock], 0), MATCH(Indicador_Ações[[#HEADERS],[qtd_acao]], Indicador_Ações[#HEADERS], 0)),"")</f>
        <v>703328000</v>
      </c>
      <c r="M2" s="15" t="s">
        <v>10</v>
      </c>
    </row>
    <row r="3">
      <c r="A3" s="9" t="s">
        <v>11</v>
      </c>
      <c r="B3" s="9" t="s">
        <v>12</v>
      </c>
      <c r="C3" s="9" t="s">
        <v>13</v>
      </c>
      <c r="D3" s="9" t="s">
        <v>14</v>
      </c>
      <c r="E3" s="9" t="s">
        <v>15</v>
      </c>
      <c r="F3" s="9" t="s">
        <v>16</v>
      </c>
      <c r="G3" s="9" t="s">
        <v>17</v>
      </c>
      <c r="H3" s="9" t="s">
        <v>18</v>
      </c>
      <c r="J3" s="17" t="s">
        <v>19</v>
      </c>
      <c r="K3" s="18">
        <v>1000.0</v>
      </c>
      <c r="L3" s="19">
        <f>IFERROR(K23/K15,0)</f>
        <v>0.3482363659</v>
      </c>
      <c r="M3" s="9" t="s">
        <v>20</v>
      </c>
      <c r="N3" s="9" t="s">
        <v>21</v>
      </c>
      <c r="P3" s="21"/>
      <c r="Q3" s="22"/>
      <c r="R3" s="21"/>
      <c r="S3" s="22"/>
      <c r="T3" s="21"/>
      <c r="U3" s="22"/>
      <c r="V3" s="21"/>
    </row>
    <row r="4">
      <c r="A4" s="9" t="s">
        <v>24</v>
      </c>
      <c r="B4" s="23">
        <f>B5+B6</f>
        <v>30704682</v>
      </c>
      <c r="C4" s="20">
        <f t="shared" ref="C4:C6" si="1">IFERROR(SUM((D4/B4)-1),0)</f>
        <v>0.04164166234</v>
      </c>
      <c r="D4" s="23">
        <f>D5+D6</f>
        <v>31983276</v>
      </c>
      <c r="E4" s="20">
        <f t="shared" ref="E4:E6" si="2">IFERROR(SUM((F4/D4)-1),0)</f>
        <v>-0.08621984189</v>
      </c>
      <c r="F4" s="23">
        <f>F5+F6</f>
        <v>29225683</v>
      </c>
      <c r="G4" s="20">
        <f t="shared" ref="G4:G6" si="3">IFERROR(SUM((H4/F4)-1),0)</f>
        <v>0.03994674821</v>
      </c>
      <c r="H4" s="23">
        <f>H5+H6</f>
        <v>30393154</v>
      </c>
      <c r="J4" s="25" t="s">
        <v>25</v>
      </c>
      <c r="K4" s="26">
        <f t="array" ref="K4">IFERROR(INDEX(Indicador_Ações[], MATCH($J$2, Indicador_Ações[Stock], 0), MATCH(Indicador_Ações[[#HEADERS],[ativo]], Indicador_Ações[#HEADERS], 0)),"")</f>
        <v>49954800000</v>
      </c>
      <c r="L4" s="19">
        <f>IFERROR(K20/K15,0)</f>
        <v>0.6703051201</v>
      </c>
      <c r="M4" s="9" t="s">
        <v>26</v>
      </c>
      <c r="N4" s="9" t="s">
        <v>27</v>
      </c>
      <c r="O4" s="27">
        <v>279322.0</v>
      </c>
      <c r="P4" s="28"/>
      <c r="Q4" s="19"/>
      <c r="R4" s="28"/>
      <c r="S4" s="19"/>
      <c r="T4" s="28"/>
      <c r="U4" s="19"/>
      <c r="V4" s="28"/>
    </row>
    <row r="5">
      <c r="A5" s="9" t="s">
        <v>28</v>
      </c>
      <c r="B5" s="27">
        <v>2420425.0</v>
      </c>
      <c r="C5" s="20">
        <f t="shared" si="1"/>
        <v>0.1994653831</v>
      </c>
      <c r="D5" s="27">
        <v>2903216.0</v>
      </c>
      <c r="E5" s="20">
        <f t="shared" si="2"/>
        <v>0.2598914445</v>
      </c>
      <c r="F5" s="27">
        <v>3657737.0</v>
      </c>
      <c r="G5" s="20">
        <f t="shared" si="3"/>
        <v>-0.1122322354</v>
      </c>
      <c r="H5" s="27">
        <v>3247221.0</v>
      </c>
      <c r="J5" s="22" t="s">
        <v>29</v>
      </c>
      <c r="K5" s="29">
        <f>K2*L2</f>
        <v>19510318720</v>
      </c>
      <c r="L5" s="19">
        <f>IFERROR(K17/K15,0)</f>
        <v>0.2907795274</v>
      </c>
      <c r="M5" s="9" t="s">
        <v>30</v>
      </c>
      <c r="N5" s="9" t="s">
        <v>31</v>
      </c>
      <c r="O5" s="27">
        <v>0.0</v>
      </c>
      <c r="P5" s="30"/>
      <c r="Q5" s="19"/>
      <c r="R5" s="31"/>
      <c r="S5" s="19"/>
      <c r="T5" s="30"/>
      <c r="U5" s="19"/>
      <c r="V5" s="30"/>
    </row>
    <row r="6">
      <c r="A6" s="9" t="s">
        <v>33</v>
      </c>
      <c r="B6" s="27">
        <v>2.8284257E7</v>
      </c>
      <c r="C6" s="20">
        <f t="shared" si="1"/>
        <v>0.02813589906</v>
      </c>
      <c r="D6" s="27">
        <v>2.908006E7</v>
      </c>
      <c r="E6" s="20">
        <f t="shared" si="2"/>
        <v>-0.1207739599</v>
      </c>
      <c r="F6" s="27">
        <v>2.5567946E7</v>
      </c>
      <c r="G6" s="20">
        <f t="shared" si="3"/>
        <v>0.06171739412</v>
      </c>
      <c r="H6" s="27">
        <v>2.7145933E7</v>
      </c>
      <c r="J6" s="25" t="s">
        <v>34</v>
      </c>
      <c r="K6" s="26">
        <f>SUM(K5,K10)</f>
        <v>35478758720</v>
      </c>
      <c r="L6" s="19">
        <f>IFERROR(K18/K15,0)</f>
        <v>0.8000676419</v>
      </c>
      <c r="M6" s="9" t="s">
        <v>35</v>
      </c>
      <c r="N6" s="9" t="s">
        <v>32</v>
      </c>
      <c r="O6" s="27">
        <v>2357.0</v>
      </c>
      <c r="P6" s="30"/>
      <c r="Q6" s="19"/>
      <c r="R6" s="30"/>
      <c r="S6" s="19"/>
      <c r="T6" s="30"/>
      <c r="U6" s="19"/>
      <c r="V6" s="30"/>
    </row>
    <row r="7">
      <c r="B7" s="27"/>
      <c r="C7" s="20"/>
      <c r="D7" s="27"/>
      <c r="E7" s="20"/>
      <c r="F7" s="27"/>
      <c r="G7" s="20"/>
      <c r="H7" s="27"/>
      <c r="J7" s="22" t="s">
        <v>36</v>
      </c>
      <c r="K7" s="29">
        <f t="array" ref="K7">IFERROR(INDEX(Indicador_Ações[], MATCH($J$2, Indicador_Ações[Stock], 0), MATCH(Indicador_Ações[[#HEADERS],[disponibilidades]], Indicador_Ações[#HEADERS], 0)),"")</f>
        <v>1757260000</v>
      </c>
      <c r="L7" s="27">
        <f>K23/L2</f>
        <v>2.308669639</v>
      </c>
      <c r="M7" s="9" t="s">
        <v>41</v>
      </c>
      <c r="N7" s="9" t="s">
        <v>39</v>
      </c>
      <c r="O7" s="23">
        <f>SUM(O4:O6)</f>
        <v>281679</v>
      </c>
      <c r="P7" s="41"/>
      <c r="Q7" s="19"/>
      <c r="R7" s="41"/>
      <c r="S7" s="19"/>
      <c r="T7" s="41"/>
      <c r="U7" s="19"/>
      <c r="V7" s="41"/>
    </row>
    <row r="8">
      <c r="A8" s="9" t="s">
        <v>42</v>
      </c>
      <c r="B8" s="27">
        <v>49774.0</v>
      </c>
      <c r="C8" s="20">
        <f t="shared" ref="C8:C11" si="4">IFERROR(SUM((D8/B8)-1),0)</f>
        <v>0.09854542532</v>
      </c>
      <c r="D8" s="27">
        <v>54679.0</v>
      </c>
      <c r="E8" s="20">
        <f t="shared" ref="E8:E11" si="5">IFERROR(SUM((F8/D8)-1),0)</f>
        <v>-0.1007516597</v>
      </c>
      <c r="F8" s="27">
        <v>49170.0</v>
      </c>
      <c r="G8" s="20">
        <f t="shared" ref="G8:G11" si="6">IFERROR(SUM((H8/F8)-1),0)</f>
        <v>-0.02269676632</v>
      </c>
      <c r="H8" s="27">
        <v>48054.0</v>
      </c>
      <c r="J8" s="25" t="s">
        <v>43</v>
      </c>
      <c r="K8" s="45">
        <f t="array" ref="K8">IFERROR(INDEX(Indicador_Ações[], MATCH($J$2, Indicador_Ações[Stock], 0), MATCH(Indicador_Ações[[#HEADERS],[patrimonio_liquido]], Indicador_Ações[#HEADERS], 0)),"")</f>
        <v>22159400000</v>
      </c>
      <c r="L8" s="29">
        <f t="array" ref="L8">IFERROR(INDEX(O7*K3,0)/L2,"")</f>
        <v>0.4004945061</v>
      </c>
      <c r="M8" s="9" t="s">
        <v>46</v>
      </c>
      <c r="N8" s="9" t="s">
        <v>44</v>
      </c>
      <c r="O8" s="44">
        <f>ABS(SUM(B47,D47,F47,H47)/SUM(B46,D46,F46,H46))</f>
        <v>0.02784466541</v>
      </c>
      <c r="P8" s="47"/>
      <c r="Q8" s="22"/>
      <c r="R8" s="47"/>
      <c r="S8" s="19"/>
      <c r="T8" s="41"/>
      <c r="U8" s="19"/>
      <c r="V8" s="41"/>
    </row>
    <row r="9">
      <c r="A9" s="43" t="s">
        <v>47</v>
      </c>
      <c r="B9" s="42">
        <v>639620.0</v>
      </c>
      <c r="C9" s="48">
        <f t="shared" si="4"/>
        <v>-0.267222726</v>
      </c>
      <c r="D9" s="42">
        <v>468699.0</v>
      </c>
      <c r="E9" s="48">
        <f t="shared" si="5"/>
        <v>0.534409077</v>
      </c>
      <c r="F9" s="42">
        <v>719176.0</v>
      </c>
      <c r="G9" s="48">
        <f t="shared" si="6"/>
        <v>0.885577383</v>
      </c>
      <c r="H9" s="42">
        <v>1356062.0</v>
      </c>
      <c r="J9" s="22" t="s">
        <v>48</v>
      </c>
      <c r="K9" s="50">
        <f t="array" ref="K9">IFERROR(INDEX(Indicador_Ações[], MATCH($J$2, Indicador_Ações[Stock], 0), MATCH(Indicador_Ações[[#HEADERS],[divida_bruta]], Indicador_Ações[#HEADERS], 0)),"")</f>
        <v>17725700000</v>
      </c>
      <c r="L9" s="20">
        <f>IFERROR(L8/L7,0)</f>
        <v>0.1734741512</v>
      </c>
      <c r="M9" s="51" t="s">
        <v>49</v>
      </c>
      <c r="N9" s="9" t="s">
        <v>50</v>
      </c>
      <c r="O9" s="21">
        <f>K17*(1-O8)</f>
        <v>1318090005</v>
      </c>
      <c r="P9" s="28"/>
      <c r="Q9" s="19"/>
      <c r="R9" s="28"/>
      <c r="S9" s="19"/>
      <c r="T9" s="41"/>
      <c r="U9" s="19"/>
      <c r="V9" s="41"/>
    </row>
    <row r="10">
      <c r="A10" s="9" t="s">
        <v>51</v>
      </c>
      <c r="B10" s="27">
        <v>669456.0</v>
      </c>
      <c r="C10" s="20">
        <f t="shared" si="4"/>
        <v>0.9247941612</v>
      </c>
      <c r="D10" s="27">
        <v>1288565.0</v>
      </c>
      <c r="E10" s="20">
        <f t="shared" si="5"/>
        <v>0.3200622398</v>
      </c>
      <c r="F10" s="27">
        <v>1700986.0</v>
      </c>
      <c r="G10" s="20">
        <f t="shared" si="6"/>
        <v>-0.5244381788</v>
      </c>
      <c r="H10" s="27">
        <v>808924.0</v>
      </c>
      <c r="J10" s="25" t="s">
        <v>52</v>
      </c>
      <c r="K10" s="45">
        <f>K9-K7</f>
        <v>15968440000</v>
      </c>
      <c r="L10" s="23">
        <f>IFERROR(K14/K4,0)</f>
        <v>0.2136831696</v>
      </c>
      <c r="M10" s="9" t="s">
        <v>53</v>
      </c>
      <c r="O10" s="22"/>
      <c r="P10" s="53"/>
      <c r="Q10" s="19"/>
      <c r="R10" s="53"/>
      <c r="S10" s="22"/>
      <c r="T10" s="22"/>
      <c r="U10" s="22"/>
      <c r="V10" s="21"/>
    </row>
    <row r="11">
      <c r="A11" s="9" t="s">
        <v>54</v>
      </c>
      <c r="B11" s="27">
        <f>SUM(B9,B10)</f>
        <v>1309076</v>
      </c>
      <c r="C11" s="20">
        <f t="shared" si="4"/>
        <v>0.3423697325</v>
      </c>
      <c r="D11" s="27">
        <f>SUM(D9,D10)</f>
        <v>1757264</v>
      </c>
      <c r="E11" s="20">
        <f t="shared" si="5"/>
        <v>0.3772330168</v>
      </c>
      <c r="F11" s="27">
        <f>SUM(F9,F10)</f>
        <v>2420162</v>
      </c>
      <c r="G11" s="20">
        <f t="shared" si="6"/>
        <v>-0.1054375699</v>
      </c>
      <c r="H11" s="27">
        <f>SUM(H9,H10)</f>
        <v>2164986</v>
      </c>
      <c r="J11" s="22" t="s">
        <v>56</v>
      </c>
      <c r="K11" s="29">
        <f>SUM(K8,K9)</f>
        <v>39885100000</v>
      </c>
      <c r="L11" s="19">
        <f>IFERROR(K24/K8,0)</f>
        <v>0.1271320523</v>
      </c>
      <c r="M11" s="9" t="s">
        <v>57</v>
      </c>
      <c r="O11" s="22"/>
      <c r="P11" s="53"/>
      <c r="Q11" s="19"/>
      <c r="R11" s="54"/>
      <c r="S11" s="22"/>
      <c r="T11" s="22"/>
      <c r="U11" s="22"/>
      <c r="V11" s="55"/>
    </row>
    <row r="12">
      <c r="A12" s="56"/>
      <c r="B12" s="57"/>
      <c r="C12" s="58"/>
      <c r="D12" s="57"/>
      <c r="E12" s="58"/>
      <c r="F12" s="57"/>
      <c r="G12" s="58"/>
      <c r="H12" s="57"/>
      <c r="J12" s="25" t="s">
        <v>58</v>
      </c>
      <c r="K12" s="59">
        <f>K9/K11</f>
        <v>0.4444190938</v>
      </c>
      <c r="L12" s="20">
        <f>O9/K11</f>
        <v>0.03304717815</v>
      </c>
      <c r="M12" s="9" t="s">
        <v>59</v>
      </c>
    </row>
    <row r="13">
      <c r="A13" s="9" t="s">
        <v>60</v>
      </c>
      <c r="B13" s="23">
        <f>SUM(B14+B15)</f>
        <v>20087970</v>
      </c>
      <c r="C13" s="20">
        <f t="shared" ref="C13:C17" si="7">IFERROR(SUM((D13/B13)-1),0)</f>
        <v>0.05615410616</v>
      </c>
      <c r="D13" s="23">
        <f>SUM(D14+D15)</f>
        <v>21215992</v>
      </c>
      <c r="E13" s="20">
        <f t="shared" ref="E13:E17" si="8">IFERROR(SUM((F13/D13)-1),0)</f>
        <v>-0.1258997458</v>
      </c>
      <c r="F13" s="23">
        <f>SUM(F14+F15)</f>
        <v>18544904</v>
      </c>
      <c r="G13" s="20">
        <f t="shared" ref="G13:G17" si="9">IFERROR(SUM((H13/F13)-1),0)</f>
        <v>0.07331669121</v>
      </c>
      <c r="H13" s="23">
        <f>SUM(H14+H15)</f>
        <v>19904555</v>
      </c>
      <c r="J13" s="10" t="s">
        <v>61</v>
      </c>
      <c r="K13" s="61"/>
      <c r="L13" s="19">
        <f>IFERROR(K24/K4,0)</f>
        <v>0.05639438052</v>
      </c>
      <c r="M13" s="9" t="s">
        <v>62</v>
      </c>
      <c r="O13" s="22"/>
      <c r="P13" s="47"/>
      <c r="Q13" s="22"/>
    </row>
    <row r="14">
      <c r="A14" s="9" t="s">
        <v>63</v>
      </c>
      <c r="B14" s="27">
        <v>1618504.0</v>
      </c>
      <c r="C14" s="20">
        <f t="shared" si="7"/>
        <v>-0.1603011176</v>
      </c>
      <c r="D14" s="27">
        <v>1359056.0</v>
      </c>
      <c r="E14" s="20">
        <f t="shared" si="8"/>
        <v>0.1655715438</v>
      </c>
      <c r="F14" s="27">
        <v>1584077.0</v>
      </c>
      <c r="G14" s="20">
        <f t="shared" si="9"/>
        <v>0.1912861559</v>
      </c>
      <c r="H14" s="27">
        <v>1887089.0</v>
      </c>
      <c r="J14" s="49" t="s">
        <v>64</v>
      </c>
      <c r="K14" s="45">
        <f t="array" ref="K14">IFERROR(INDEX(Indicador_Ações[], MATCH($J$2, Indicador_Ações[Stock], 0), MATCH(Indicador_Ações[[#HEADERS],[receita_liquida_12m]], Indicador_Ações[#HEADERS], 0)),"")</f>
        <v>10674500000</v>
      </c>
      <c r="L14" s="28">
        <f>K6/K18</f>
        <v>9.51034198</v>
      </c>
      <c r="M14" s="22" t="s">
        <v>65</v>
      </c>
      <c r="Q14" s="22"/>
      <c r="R14" s="28"/>
    </row>
    <row r="15">
      <c r="A15" s="9" t="s">
        <v>66</v>
      </c>
      <c r="B15" s="27">
        <v>1.8469466E7</v>
      </c>
      <c r="C15" s="20">
        <f t="shared" si="7"/>
        <v>0.07512236683</v>
      </c>
      <c r="D15" s="27">
        <v>1.9856936E7</v>
      </c>
      <c r="E15" s="20">
        <f t="shared" si="8"/>
        <v>-0.1458487352</v>
      </c>
      <c r="F15" s="27">
        <v>1.6960827E7</v>
      </c>
      <c r="G15" s="20">
        <f t="shared" si="9"/>
        <v>0.06229879003</v>
      </c>
      <c r="H15" s="27">
        <v>1.8017466E7</v>
      </c>
      <c r="J15" s="24" t="s">
        <v>68</v>
      </c>
      <c r="K15" s="45">
        <f>IFERROR(SUM(B32,D32,F32,H32),"")*K3</f>
        <v>4662787000</v>
      </c>
      <c r="L15" s="19">
        <f>K18/K6</f>
        <v>0.1051486899</v>
      </c>
      <c r="M15" s="22" t="s">
        <v>69</v>
      </c>
      <c r="Q15" s="9"/>
      <c r="R15" s="23"/>
    </row>
    <row r="16">
      <c r="A16" s="9" t="s">
        <v>70</v>
      </c>
      <c r="B16" s="27">
        <v>390701.0</v>
      </c>
      <c r="C16" s="20">
        <f t="shared" si="7"/>
        <v>0.1333628529</v>
      </c>
      <c r="D16" s="27">
        <v>442806.0</v>
      </c>
      <c r="E16" s="20">
        <f t="shared" si="8"/>
        <v>-0.03493177599</v>
      </c>
      <c r="F16" s="27">
        <v>427338.0</v>
      </c>
      <c r="G16" s="20">
        <f t="shared" si="9"/>
        <v>0.3714741025</v>
      </c>
      <c r="H16" s="27">
        <v>586083.0</v>
      </c>
      <c r="J16" s="62" t="s">
        <v>71</v>
      </c>
      <c r="K16" s="63">
        <f t="array" ref="K16">IFERROR(INDEX(Indicador_Ações[], MATCH($J$2, Indicador_Ações[Stock], 0), MATCH(Indicador_Ações[[#HEADERS],[cagr_receita_5a]], Indicador_Ações[#HEADERS], 0)),"")</f>
        <v>17</v>
      </c>
      <c r="L16" s="64">
        <f>IFERROR(K10/K18,0)</f>
        <v>4.280457681</v>
      </c>
      <c r="M16" s="65" t="s">
        <v>72</v>
      </c>
      <c r="Q16" s="22"/>
      <c r="R16" s="23"/>
      <c r="S16" s="22"/>
    </row>
    <row r="17">
      <c r="A17" s="9" t="s">
        <v>73</v>
      </c>
      <c r="B17" s="27">
        <v>1.5855349E7</v>
      </c>
      <c r="C17" s="20">
        <f t="shared" si="7"/>
        <v>0.08701662764</v>
      </c>
      <c r="D17" s="27">
        <v>1.7235028E7</v>
      </c>
      <c r="E17" s="20">
        <f t="shared" si="8"/>
        <v>-0.1685010317</v>
      </c>
      <c r="F17" s="27">
        <v>1.4330908E7</v>
      </c>
      <c r="G17" s="20">
        <f t="shared" si="9"/>
        <v>0.07220212425</v>
      </c>
      <c r="H17" s="27">
        <v>1.536563E7</v>
      </c>
      <c r="J17" s="51" t="s">
        <v>74</v>
      </c>
      <c r="K17" s="50">
        <f>SUM(B42,D42,F42,H42)*K3</f>
        <v>1355843000</v>
      </c>
      <c r="L17" s="66">
        <f>IFERROR(SUM(B5,D5,F5,H5)/SUM(B14,D14,F14,H14),0)</f>
        <v>1.896281374</v>
      </c>
      <c r="M17" s="65" t="s">
        <v>75</v>
      </c>
      <c r="Q17" s="22"/>
      <c r="R17" s="28"/>
    </row>
    <row r="18">
      <c r="A18" s="67"/>
      <c r="B18" s="32"/>
      <c r="C18" s="20"/>
      <c r="D18" s="32"/>
      <c r="E18" s="20"/>
      <c r="F18" s="32"/>
      <c r="G18" s="20"/>
      <c r="H18" s="32"/>
      <c r="J18" s="24" t="s">
        <v>77</v>
      </c>
      <c r="K18" s="45">
        <f>IFERROR(SUM(B45,D45,F45,H45),"")*K3</f>
        <v>3730545000</v>
      </c>
      <c r="L18" s="68">
        <f>SUM(B42,D42,F42,H42)/ABS(SUM(B37,D37,F37,H37))</f>
        <v>0.6422064715</v>
      </c>
      <c r="M18" s="69" t="s">
        <v>78</v>
      </c>
      <c r="N18" s="22"/>
      <c r="Q18" s="22"/>
      <c r="R18" s="28"/>
    </row>
    <row r="19">
      <c r="A19" s="70" t="s">
        <v>79</v>
      </c>
      <c r="B19" s="32"/>
      <c r="C19" s="20"/>
      <c r="D19" s="32"/>
      <c r="E19" s="20"/>
      <c r="F19" s="32"/>
      <c r="G19" s="20"/>
      <c r="H19" s="32"/>
      <c r="J19" s="22" t="s">
        <v>80</v>
      </c>
      <c r="K19" s="50">
        <f>SUM(B31,D31,F31,H31)*K3</f>
        <v>-715567000</v>
      </c>
      <c r="L19" s="66">
        <f>IFERROR(K4/K8,0)</f>
        <v>2.254339016</v>
      </c>
      <c r="M19" s="71" t="s">
        <v>82</v>
      </c>
      <c r="Q19" s="22"/>
      <c r="R19" s="28"/>
    </row>
    <row r="20">
      <c r="A20" s="72" t="s">
        <v>48</v>
      </c>
      <c r="B20" s="32">
        <f>SUM(B17,B16)</f>
        <v>16246050</v>
      </c>
      <c r="C20" s="20">
        <f t="shared" ref="C20:C21" si="10">IFERROR(SUM((D20/B20)-1),0)</f>
        <v>0.08813120728</v>
      </c>
      <c r="D20" s="32">
        <f>SUM(D17,D16)</f>
        <v>17677834</v>
      </c>
      <c r="E20" s="20">
        <f t="shared" ref="E20:E21" si="11">IFERROR(SUM((F20/D20)-1),0)</f>
        <v>-0.1651553013</v>
      </c>
      <c r="F20" s="32">
        <f>SUM(F17,F16)</f>
        <v>14758246</v>
      </c>
      <c r="G20" s="20">
        <f t="shared" ref="G20:G21" si="12">IFERROR(SUM((H20/F20)-1),0)</f>
        <v>0.08086780773</v>
      </c>
      <c r="H20" s="32">
        <f>SUM(H17,H16)</f>
        <v>15951713</v>
      </c>
      <c r="J20" s="25" t="s">
        <v>86</v>
      </c>
      <c r="K20" s="45">
        <f>IFERROR(SUM(B34,D34,F34,H34),"")*K3</f>
        <v>3125490000</v>
      </c>
      <c r="L20" s="73">
        <f>K10/K8</f>
        <v>0.7206169842</v>
      </c>
      <c r="M20" s="65" t="s">
        <v>87</v>
      </c>
      <c r="O20" s="22"/>
      <c r="P20" s="19"/>
      <c r="Q20" s="22"/>
      <c r="R20" s="28"/>
    </row>
    <row r="21">
      <c r="A21" s="9" t="s">
        <v>52</v>
      </c>
      <c r="B21" s="32">
        <f>SUM(B20-B11)</f>
        <v>14936974</v>
      </c>
      <c r="C21" s="20">
        <f t="shared" si="10"/>
        <v>0.06584974976</v>
      </c>
      <c r="D21" s="32">
        <f>SUM(D20-D11)</f>
        <v>15920570</v>
      </c>
      <c r="E21" s="20">
        <f t="shared" si="11"/>
        <v>-0.2250224709</v>
      </c>
      <c r="F21" s="32">
        <f>SUM(F20-F11)</f>
        <v>12338084</v>
      </c>
      <c r="G21" s="20">
        <f t="shared" si="12"/>
        <v>0.1174123146</v>
      </c>
      <c r="H21" s="32">
        <f>SUM(H20-H11)</f>
        <v>13786727</v>
      </c>
      <c r="J21" s="9" t="s">
        <v>88</v>
      </c>
      <c r="K21" s="50">
        <f>IFERROR(SUM(B33,D33,F33,H33),"")*K3</f>
        <v>-1537297000</v>
      </c>
      <c r="M21" s="22" t="s">
        <v>89</v>
      </c>
      <c r="N21" s="22"/>
      <c r="O21" s="22"/>
      <c r="P21" s="28"/>
    </row>
    <row r="22">
      <c r="C22" s="20"/>
      <c r="E22" s="20"/>
      <c r="G22" s="20"/>
      <c r="J22" s="62" t="s">
        <v>90</v>
      </c>
      <c r="K22" s="74">
        <f>'Indicadores_Ações'!$B$4</f>
        <v>0.04443024618</v>
      </c>
      <c r="L22" s="28">
        <f>'Indicadores_Ações'!$B$3</f>
        <v>0.139</v>
      </c>
      <c r="M22" s="22" t="s">
        <v>91</v>
      </c>
      <c r="O22" s="22"/>
      <c r="P22" s="23"/>
    </row>
    <row r="23">
      <c r="A23" s="9" t="s">
        <v>92</v>
      </c>
      <c r="B23" s="23">
        <f>B4-B13</f>
        <v>10616712</v>
      </c>
      <c r="C23" s="20">
        <f>IFERROR(SUM((D23/B23)-1),0)</f>
        <v>0.01418254541</v>
      </c>
      <c r="D23" s="23">
        <f>D4-D13</f>
        <v>10767284</v>
      </c>
      <c r="E23" s="20">
        <f>IFERROR(SUM((F23/D23)-1),0)</f>
        <v>-0.008034059471</v>
      </c>
      <c r="F23" s="23">
        <f>F4-F13</f>
        <v>10680779</v>
      </c>
      <c r="G23" s="20">
        <f>IFERROR(SUM((H23/F23)-1),0)</f>
        <v>-0.01799306961</v>
      </c>
      <c r="H23" s="23">
        <f>H4-H13</f>
        <v>10488599</v>
      </c>
      <c r="J23" s="24" t="s">
        <v>94</v>
      </c>
      <c r="K23" s="26">
        <f>SUM(B48,D48,F48,H48)*K3</f>
        <v>1623752000</v>
      </c>
      <c r="L23" s="75">
        <f>K25</f>
        <v>0.81</v>
      </c>
      <c r="M23" s="22" t="s">
        <v>95</v>
      </c>
      <c r="O23" s="22"/>
      <c r="P23" s="28"/>
      <c r="T23" s="20"/>
      <c r="U23" s="23"/>
    </row>
    <row r="24">
      <c r="J24" s="9" t="s">
        <v>96</v>
      </c>
      <c r="K24" s="50">
        <f t="array" ref="K24">IFERROR(INDEX(Indicador_Ações[], MATCH($J$2, Indicador_Ações[Stock], 0), MATCH(Indicador_Ações[[#HEADERS],[lucro_liquido_12m]], Indicador_Ações[#HEADERS], 0)),"")</f>
        <v>2817170000</v>
      </c>
      <c r="L24" s="28">
        <f>L22+0.02</f>
        <v>0.159</v>
      </c>
      <c r="M24" s="22" t="s">
        <v>98</v>
      </c>
      <c r="O24" s="22"/>
      <c r="P24" s="28"/>
      <c r="T24" s="20"/>
      <c r="U24" s="23"/>
    </row>
    <row r="25">
      <c r="A25" s="9" t="s">
        <v>99</v>
      </c>
      <c r="B25" s="27">
        <v>666.0</v>
      </c>
      <c r="C25" s="20">
        <f t="shared" ref="C25:C26" si="13">IFERROR(SUM((D25/B25)-1),0)</f>
        <v>0</v>
      </c>
      <c r="D25" s="27">
        <v>666.0</v>
      </c>
      <c r="E25" s="20">
        <f t="shared" ref="E25:E26" si="14">IFERROR(SUM((F25/D25)-1),0)</f>
        <v>0</v>
      </c>
      <c r="F25" s="27">
        <v>666.0</v>
      </c>
      <c r="G25" s="20">
        <f t="shared" ref="G25:G26" si="15">IFERROR(SUM((H25/F25)-1),0)</f>
        <v>0</v>
      </c>
      <c r="H25" s="27">
        <v>666.0</v>
      </c>
      <c r="J25" s="25" t="s">
        <v>100</v>
      </c>
      <c r="K25" s="76">
        <f t="array" ref="K25">IFERROR(INDEX(Indicador_Ações[], MATCH($J$2, Indicador_Ações[Stock], 0), MATCH(Indicador_Ações[[#HEADERS],[beta_ibov_3a]], Indicador_Ações[#HEADERS], 0)),"")</f>
        <v>0.81</v>
      </c>
      <c r="L25" s="78">
        <f>L22+L23*(L24-L22)</f>
        <v>0.1552</v>
      </c>
      <c r="M25" s="17" t="s">
        <v>101</v>
      </c>
      <c r="O25" s="79"/>
      <c r="P25" s="19"/>
      <c r="T25" s="20"/>
      <c r="U25" s="23"/>
    </row>
    <row r="26">
      <c r="A26" s="9" t="s">
        <v>102</v>
      </c>
      <c r="B26" s="27">
        <v>3859010.0</v>
      </c>
      <c r="C26" s="20">
        <f t="shared" si="13"/>
        <v>0.05488246986</v>
      </c>
      <c r="D26" s="27">
        <v>4070802.0</v>
      </c>
      <c r="E26" s="20">
        <f t="shared" si="14"/>
        <v>-0.05539743765</v>
      </c>
      <c r="F26" s="27">
        <v>3845290.0</v>
      </c>
      <c r="G26" s="20">
        <f t="shared" si="15"/>
        <v>-0.02674154615</v>
      </c>
      <c r="H26" s="27">
        <v>3742461.0</v>
      </c>
      <c r="J26" s="51"/>
      <c r="L26" s="19"/>
      <c r="M26" s="23"/>
      <c r="P26" s="19"/>
      <c r="T26" s="20"/>
      <c r="U26" s="23"/>
    </row>
    <row r="27">
      <c r="A27" s="80"/>
      <c r="B27" s="80"/>
      <c r="C27" s="80"/>
      <c r="D27" s="80"/>
      <c r="E27" s="80"/>
      <c r="F27" s="80"/>
      <c r="G27" s="80"/>
      <c r="H27" s="80"/>
      <c r="J27" s="22"/>
      <c r="K27" s="22"/>
      <c r="L27" s="22"/>
      <c r="M27" s="22"/>
      <c r="N27" s="22"/>
      <c r="P27" s="19"/>
      <c r="Q27" s="22"/>
      <c r="R27" s="22"/>
      <c r="T27" s="20"/>
      <c r="U27" s="23"/>
    </row>
    <row r="28" ht="22.5" customHeight="1">
      <c r="A28" s="81" t="s">
        <v>103</v>
      </c>
      <c r="J28" s="82" t="s">
        <v>104</v>
      </c>
      <c r="K28" s="82" t="s">
        <v>105</v>
      </c>
      <c r="L28" s="82" t="s">
        <v>11</v>
      </c>
      <c r="M28" s="82" t="s">
        <v>106</v>
      </c>
      <c r="N28" s="82" t="s">
        <v>107</v>
      </c>
      <c r="O28" s="84" t="s">
        <v>108</v>
      </c>
      <c r="P28" s="19"/>
      <c r="Q28" s="85" t="s">
        <v>11</v>
      </c>
      <c r="R28" s="82" t="s">
        <v>110</v>
      </c>
    </row>
    <row r="29" ht="22.5" customHeight="1">
      <c r="A29" s="9" t="s">
        <v>111</v>
      </c>
      <c r="B29" s="9" t="s">
        <v>12</v>
      </c>
      <c r="C29" s="9" t="s">
        <v>13</v>
      </c>
      <c r="D29" s="9" t="s">
        <v>14</v>
      </c>
      <c r="E29" s="9" t="s">
        <v>15</v>
      </c>
      <c r="F29" s="9" t="s">
        <v>16</v>
      </c>
      <c r="G29" s="9" t="s">
        <v>17</v>
      </c>
      <c r="H29" s="9" t="s">
        <v>18</v>
      </c>
      <c r="J29" s="87" t="s">
        <v>112</v>
      </c>
      <c r="K29" s="88">
        <f>K2</f>
        <v>27.74</v>
      </c>
      <c r="L29" s="89">
        <v>1.0</v>
      </c>
      <c r="M29" s="90">
        <f>K34</f>
        <v>1623752000</v>
      </c>
      <c r="N29" s="91"/>
      <c r="O29" s="92">
        <v>10.0</v>
      </c>
      <c r="P29" s="20"/>
      <c r="Q29" s="93">
        <v>0.0</v>
      </c>
      <c r="R29" s="95">
        <f>-K6</f>
        <v>-35478758720</v>
      </c>
    </row>
    <row r="30" ht="22.5" customHeight="1">
      <c r="A30" s="9" t="s">
        <v>114</v>
      </c>
      <c r="B30" s="27">
        <v>1393479.0</v>
      </c>
      <c r="C30" s="20">
        <f t="shared" ref="C30:C34" si="16">IFERROR(SUM((D30/B30)-1),0)</f>
        <v>0.01986969305</v>
      </c>
      <c r="D30" s="27">
        <v>1421167.0</v>
      </c>
      <c r="E30" s="20">
        <f t="shared" ref="E30:E34" si="17">IFERROR(SUM((F30/D30)-1),0)</f>
        <v>-0.120031636</v>
      </c>
      <c r="F30" s="27">
        <v>1250582.0</v>
      </c>
      <c r="G30" s="20">
        <f t="shared" ref="G30:G34" si="18">IFERROR(SUM((H30/F30)-1),0)</f>
        <v>0.05001191445</v>
      </c>
      <c r="H30" s="27">
        <v>1313126.0</v>
      </c>
      <c r="J30" s="97" t="s">
        <v>10</v>
      </c>
      <c r="K30" s="98">
        <f>L2</f>
        <v>703328000</v>
      </c>
      <c r="L30" s="99">
        <v>2.0</v>
      </c>
      <c r="M30" s="100">
        <f t="shared" ref="M30:M35" si="19">M29*(1+O29/100)</f>
        <v>1786127200</v>
      </c>
      <c r="N30" s="100">
        <f>M30/(1+K35)^L29</f>
        <v>1546162742</v>
      </c>
      <c r="O30" s="92">
        <v>10.0</v>
      </c>
      <c r="P30" s="20"/>
      <c r="Q30" s="93">
        <v>1.0</v>
      </c>
      <c r="R30" s="101">
        <f t="shared" ref="R30:R34" si="20">M30</f>
        <v>1786127200</v>
      </c>
    </row>
    <row r="31" ht="22.5" customHeight="1">
      <c r="A31" s="9" t="s">
        <v>115</v>
      </c>
      <c r="B31" s="27">
        <v>-167215.0</v>
      </c>
      <c r="C31" s="20">
        <f t="shared" si="16"/>
        <v>0.06325987501</v>
      </c>
      <c r="D31" s="27">
        <v>-177793.0</v>
      </c>
      <c r="E31" s="20">
        <f t="shared" si="17"/>
        <v>0.002564780391</v>
      </c>
      <c r="F31" s="27">
        <v>-178249.0</v>
      </c>
      <c r="G31" s="20">
        <f t="shared" si="18"/>
        <v>0.07888403301</v>
      </c>
      <c r="H31" s="27">
        <v>-192310.0</v>
      </c>
      <c r="J31" s="87" t="s">
        <v>116</v>
      </c>
      <c r="K31" s="88" t="str">
        <f>P21</f>
        <v/>
      </c>
      <c r="L31" s="89">
        <v>3.0</v>
      </c>
      <c r="M31" s="100">
        <f t="shared" si="19"/>
        <v>1964739920</v>
      </c>
      <c r="N31" s="90">
        <f>M31/(1+K35)^L30</f>
        <v>1472281005</v>
      </c>
      <c r="O31" s="92">
        <v>10.0</v>
      </c>
      <c r="P31" s="20"/>
      <c r="Q31" s="93">
        <v>2.0</v>
      </c>
      <c r="R31" s="101">
        <f t="shared" si="20"/>
        <v>1964739920</v>
      </c>
      <c r="S31" s="21"/>
      <c r="T31" s="22"/>
      <c r="U31" s="22"/>
      <c r="V31" s="22"/>
    </row>
    <row r="32" ht="22.5" customHeight="1">
      <c r="A32" s="72" t="s">
        <v>117</v>
      </c>
      <c r="B32" s="27">
        <f>SUM(B30,B31)</f>
        <v>1226264</v>
      </c>
      <c r="C32" s="20">
        <f t="shared" si="16"/>
        <v>0.01395294977</v>
      </c>
      <c r="D32" s="27">
        <f>SUM(D30,D31)</f>
        <v>1243374</v>
      </c>
      <c r="E32" s="20">
        <f t="shared" si="17"/>
        <v>-0.1375619886</v>
      </c>
      <c r="F32" s="27">
        <f>SUM(F30,F31)</f>
        <v>1072333</v>
      </c>
      <c r="G32" s="20">
        <f t="shared" si="18"/>
        <v>0.04521263451</v>
      </c>
      <c r="H32" s="27">
        <f>SUM(H30,H31)</f>
        <v>1120816</v>
      </c>
      <c r="J32" s="97" t="s">
        <v>118</v>
      </c>
      <c r="K32" s="92">
        <f>SUM(O29:O37)/6</f>
        <v>9.5</v>
      </c>
      <c r="L32" s="99">
        <v>4.0</v>
      </c>
      <c r="M32" s="100">
        <f t="shared" si="19"/>
        <v>2161213912</v>
      </c>
      <c r="N32" s="100">
        <f>M32/(1+K35)^L31</f>
        <v>1401929627</v>
      </c>
      <c r="O32" s="92">
        <v>9.0</v>
      </c>
      <c r="P32" s="20"/>
      <c r="Q32" s="93">
        <v>3.0</v>
      </c>
      <c r="R32" s="101">
        <f t="shared" si="20"/>
        <v>2161213912</v>
      </c>
      <c r="S32" s="22"/>
      <c r="T32" s="22"/>
      <c r="U32" s="22"/>
      <c r="V32" s="22"/>
    </row>
    <row r="33" ht="22.5" customHeight="1">
      <c r="A33" s="9" t="s">
        <v>119</v>
      </c>
      <c r="B33" s="27">
        <v>-349209.0</v>
      </c>
      <c r="C33" s="20">
        <f t="shared" si="16"/>
        <v>0.2504001901</v>
      </c>
      <c r="D33" s="27">
        <v>-436651.0</v>
      </c>
      <c r="E33" s="20">
        <f t="shared" si="17"/>
        <v>-0.186432643</v>
      </c>
      <c r="F33" s="27">
        <v>-355245.0</v>
      </c>
      <c r="G33" s="20">
        <f t="shared" si="18"/>
        <v>0.1152641135</v>
      </c>
      <c r="H33" s="27">
        <v>-396192.0</v>
      </c>
      <c r="J33" s="87" t="s">
        <v>120</v>
      </c>
      <c r="K33" s="105">
        <v>0.04</v>
      </c>
      <c r="L33" s="89">
        <v>5.0</v>
      </c>
      <c r="M33" s="100">
        <f t="shared" si="19"/>
        <v>2355723164</v>
      </c>
      <c r="N33" s="90">
        <f>M33/(1+K35)^L32</f>
        <v>1322804098</v>
      </c>
      <c r="O33" s="92">
        <v>9.0</v>
      </c>
      <c r="P33" s="20"/>
      <c r="Q33" s="93">
        <v>4.0</v>
      </c>
      <c r="R33" s="101">
        <f t="shared" si="20"/>
        <v>2355723164</v>
      </c>
      <c r="S33" s="107"/>
      <c r="T33" s="107"/>
      <c r="U33" s="107"/>
      <c r="V33" s="107"/>
    </row>
    <row r="34" ht="22.5" customHeight="1">
      <c r="A34" s="72" t="s">
        <v>122</v>
      </c>
      <c r="B34" s="27">
        <f>B32+B33</f>
        <v>877055</v>
      </c>
      <c r="C34" s="20">
        <f t="shared" si="16"/>
        <v>-0.08019109406</v>
      </c>
      <c r="D34" s="27">
        <f>D32+D33</f>
        <v>806723</v>
      </c>
      <c r="E34" s="20">
        <f t="shared" si="17"/>
        <v>-0.1111100093</v>
      </c>
      <c r="F34" s="27">
        <f>F32+F33</f>
        <v>717088</v>
      </c>
      <c r="G34" s="20">
        <f t="shared" si="18"/>
        <v>0.01050917042</v>
      </c>
      <c r="H34" s="27">
        <f>H32+H33</f>
        <v>724624</v>
      </c>
      <c r="J34" s="108" t="s">
        <v>124</v>
      </c>
      <c r="K34" s="98">
        <f>$K$23</f>
        <v>1623752000</v>
      </c>
      <c r="L34" s="99">
        <v>6.0</v>
      </c>
      <c r="M34" s="100">
        <f t="shared" si="19"/>
        <v>2567738249</v>
      </c>
      <c r="N34" s="100">
        <f>M34/(1+K35)^L33</f>
        <v>1248144448</v>
      </c>
      <c r="O34" s="92">
        <v>9.0</v>
      </c>
      <c r="P34" s="20"/>
      <c r="Q34" s="93">
        <v>5.0</v>
      </c>
      <c r="R34" s="101">
        <f t="shared" si="20"/>
        <v>2567738249</v>
      </c>
      <c r="S34" s="107"/>
      <c r="T34" s="107"/>
      <c r="U34" s="107"/>
      <c r="V34" s="107"/>
    </row>
    <row r="35" ht="22.5" customHeight="1">
      <c r="A35" s="67"/>
      <c r="C35" s="20"/>
      <c r="E35" s="20"/>
      <c r="G35" s="20"/>
      <c r="J35" s="110" t="s">
        <v>125</v>
      </c>
      <c r="K35" s="105">
        <f>L25</f>
        <v>0.1552</v>
      </c>
      <c r="L35" s="89">
        <v>7.0</v>
      </c>
      <c r="M35" s="100">
        <f t="shared" si="19"/>
        <v>2798834691</v>
      </c>
      <c r="N35" s="90">
        <f>M35/(1+K35)^L34</f>
        <v>1177698622</v>
      </c>
      <c r="O35" s="92"/>
      <c r="P35" s="20"/>
      <c r="Q35" s="93">
        <v>6.0</v>
      </c>
      <c r="R35" s="101">
        <f>M35+M36</f>
        <v>28066092321</v>
      </c>
      <c r="S35" s="107"/>
      <c r="T35" s="107"/>
      <c r="U35" s="107"/>
      <c r="V35" s="107"/>
    </row>
    <row r="36" ht="22.5" customHeight="1">
      <c r="A36" s="9" t="s">
        <v>127</v>
      </c>
      <c r="B36" s="27">
        <v>64291.0</v>
      </c>
      <c r="C36" s="20">
        <f t="shared" ref="C36:C38" si="21">IFERROR(SUM((D36/B36)-1),0)</f>
        <v>-0.01620755627</v>
      </c>
      <c r="D36" s="27">
        <v>63249.0</v>
      </c>
      <c r="E36" s="20">
        <f t="shared" ref="E36:E38" si="22">IFERROR(SUM((F36/D36)-1),0)</f>
        <v>0.6037723917</v>
      </c>
      <c r="F36" s="27">
        <v>101437.0</v>
      </c>
      <c r="G36" s="20">
        <f t="shared" ref="G36:G38" si="23">IFERROR(SUM((H36/F36)-1),0)</f>
        <v>0.1100683183</v>
      </c>
      <c r="H36" s="27">
        <v>112602.0</v>
      </c>
      <c r="J36" s="97" t="s">
        <v>128</v>
      </c>
      <c r="K36" s="98">
        <f>K37/K30</f>
        <v>24.70059902</v>
      </c>
      <c r="L36" s="99" t="s">
        <v>131</v>
      </c>
      <c r="M36" s="100">
        <f>IFERROR( M35 * (1 + K33) / (K35  -K33  ), 0 )
</f>
        <v>25267257629</v>
      </c>
      <c r="N36" s="100">
        <f>M36/(1+K35)^L35</f>
        <v>9203602363</v>
      </c>
      <c r="O36" s="92"/>
      <c r="P36" s="20"/>
      <c r="Q36" s="93" t="s">
        <v>132</v>
      </c>
      <c r="R36" s="114">
        <f>IFERROR(IRR(R29:R35),0)</f>
        <v>0.01788603623</v>
      </c>
      <c r="S36" s="107"/>
      <c r="T36" s="107"/>
      <c r="U36" s="107"/>
      <c r="V36" s="107"/>
    </row>
    <row r="37" ht="22.5" customHeight="1">
      <c r="A37" s="9" t="s">
        <v>135</v>
      </c>
      <c r="B37" s="27">
        <v>-547195.0</v>
      </c>
      <c r="C37" s="20">
        <f t="shared" si="21"/>
        <v>0.2832134797</v>
      </c>
      <c r="D37" s="27">
        <v>-702168.0</v>
      </c>
      <c r="E37" s="20">
        <f t="shared" si="22"/>
        <v>-0.438067528</v>
      </c>
      <c r="F37" s="27">
        <v>-394571.0</v>
      </c>
      <c r="G37" s="20">
        <f t="shared" si="23"/>
        <v>0.1843039656</v>
      </c>
      <c r="H37" s="27">
        <v>-467292.0</v>
      </c>
      <c r="J37" s="87" t="s">
        <v>136</v>
      </c>
      <c r="K37" s="88">
        <f>N37</f>
        <v>17372622905</v>
      </c>
      <c r="L37" s="116"/>
      <c r="M37" s="90"/>
      <c r="N37" s="90">
        <f>SUM(N29:N36)</f>
        <v>17372622905</v>
      </c>
      <c r="O37" s="92"/>
      <c r="P37" s="20"/>
      <c r="Q37" s="107"/>
      <c r="R37" s="107"/>
      <c r="S37" s="107"/>
      <c r="T37" s="107"/>
      <c r="U37" s="107"/>
      <c r="V37" s="107"/>
    </row>
    <row r="38">
      <c r="A38" s="9" t="s">
        <v>138</v>
      </c>
      <c r="B38" s="27">
        <f>B36+B37</f>
        <v>-482904</v>
      </c>
      <c r="C38" s="20">
        <f t="shared" si="21"/>
        <v>0.3230766364</v>
      </c>
      <c r="D38" s="27">
        <f>D36+D37</f>
        <v>-638919</v>
      </c>
      <c r="E38" s="20">
        <f t="shared" si="22"/>
        <v>-0.5412031885</v>
      </c>
      <c r="F38" s="27">
        <f>F36+F37</f>
        <v>-293134</v>
      </c>
      <c r="G38" s="20">
        <f t="shared" si="23"/>
        <v>0.2099926996</v>
      </c>
      <c r="H38" s="27">
        <f>H36+H37</f>
        <v>-354690</v>
      </c>
      <c r="P38" s="20"/>
      <c r="Q38" s="107"/>
      <c r="R38" s="107"/>
      <c r="S38" s="107"/>
      <c r="T38" s="107"/>
      <c r="U38" s="107"/>
      <c r="V38" s="107"/>
    </row>
    <row r="39">
      <c r="P39" s="20"/>
      <c r="Q39" s="107"/>
      <c r="R39" s="107"/>
      <c r="S39" s="107"/>
      <c r="T39" s="107"/>
      <c r="U39" s="107"/>
      <c r="V39" s="107"/>
    </row>
    <row r="40">
      <c r="A40" s="9" t="s">
        <v>141</v>
      </c>
      <c r="B40" s="27">
        <v>83784.0</v>
      </c>
      <c r="C40" s="20">
        <f t="shared" ref="C40:C42" si="24">IFERROR(SUM((D40/B40)-1),0)</f>
        <v>-0.05387663516</v>
      </c>
      <c r="D40" s="27">
        <v>79270.0</v>
      </c>
      <c r="E40" s="20">
        <f t="shared" ref="E40:E42" si="25">IFERROR(SUM((F40/D40)-1),0)</f>
        <v>0.2661158067</v>
      </c>
      <c r="F40" s="27">
        <v>100365.0</v>
      </c>
      <c r="G40" s="20">
        <f t="shared" ref="G40:G42" si="26">IFERROR(SUM((H40/F40)-1),0)</f>
        <v>-0.1109948687</v>
      </c>
      <c r="H40" s="27">
        <v>89225.0</v>
      </c>
      <c r="Q40" s="22"/>
      <c r="R40" s="118"/>
      <c r="S40" s="21"/>
      <c r="T40" s="22"/>
      <c r="U40" s="22"/>
      <c r="V40" s="22"/>
    </row>
    <row r="41">
      <c r="A41" s="9" t="s">
        <v>142</v>
      </c>
      <c r="B41" s="27">
        <v>-25391.0</v>
      </c>
      <c r="C41" s="20">
        <f t="shared" si="24"/>
        <v>1.437911071</v>
      </c>
      <c r="D41" s="27">
        <v>-61901.0</v>
      </c>
      <c r="E41" s="20">
        <f t="shared" si="25"/>
        <v>-1.061921455</v>
      </c>
      <c r="F41" s="27">
        <v>3833.0</v>
      </c>
      <c r="G41" s="20">
        <f t="shared" si="26"/>
        <v>-12.80902687</v>
      </c>
      <c r="H41" s="27">
        <v>-45264.0</v>
      </c>
      <c r="Q41" s="22"/>
      <c r="R41" s="22"/>
    </row>
    <row r="42">
      <c r="A42" s="72" t="s">
        <v>143</v>
      </c>
      <c r="B42" s="23">
        <f>SUM(B34,B38)</f>
        <v>394151</v>
      </c>
      <c r="C42" s="20">
        <f t="shared" si="24"/>
        <v>-0.5742646854</v>
      </c>
      <c r="D42" s="23">
        <f>SUM(D34,D38)</f>
        <v>167804</v>
      </c>
      <c r="E42" s="20">
        <f t="shared" si="25"/>
        <v>1.526483278</v>
      </c>
      <c r="F42" s="23">
        <f>SUM(F34,F38)</f>
        <v>423954</v>
      </c>
      <c r="G42" s="20">
        <f t="shared" si="26"/>
        <v>-0.1274194842</v>
      </c>
      <c r="H42" s="23">
        <f>SUM(H34,H38)</f>
        <v>369934</v>
      </c>
      <c r="Q42" s="107"/>
      <c r="R42" s="107"/>
      <c r="T42" s="107"/>
      <c r="U42" s="107"/>
    </row>
    <row r="43">
      <c r="J43" s="9"/>
      <c r="K43" s="20"/>
      <c r="L43" s="9"/>
      <c r="M43" s="20"/>
      <c r="Q43" s="107"/>
      <c r="R43" s="107"/>
      <c r="T43" s="107"/>
      <c r="U43" s="107"/>
    </row>
    <row r="44">
      <c r="A44" s="9" t="s">
        <v>133</v>
      </c>
      <c r="B44" s="27">
        <v>-169511.0</v>
      </c>
      <c r="C44" s="20">
        <f t="shared" ref="C44:C48" si="27">IFERROR(SUM((D44/B44)-1),0)</f>
        <v>0.3100624738</v>
      </c>
      <c r="D44" s="27">
        <v>-222070.0</v>
      </c>
      <c r="E44" s="20">
        <f t="shared" ref="E44:E48" si="28">IFERROR(SUM((F44/D44)-1),0)</f>
        <v>-0.2454586392</v>
      </c>
      <c r="F44" s="27">
        <v>-167561.0</v>
      </c>
      <c r="G44" s="20">
        <f t="shared" ref="G44:G48" si="29">IFERROR(SUM((H44/F44)-1),0)</f>
        <v>0.04222342908</v>
      </c>
      <c r="H44" s="27">
        <v>-174636.0</v>
      </c>
      <c r="K44" s="29"/>
      <c r="Q44" s="107"/>
      <c r="R44" s="107"/>
      <c r="T44" s="107"/>
      <c r="U44" s="107"/>
    </row>
    <row r="45">
      <c r="A45" s="72" t="s">
        <v>146</v>
      </c>
      <c r="B45" s="23">
        <f>B48-B47-B40-B38-B44</f>
        <v>1021175</v>
      </c>
      <c r="C45" s="20">
        <f t="shared" si="27"/>
        <v>-0.05315739222</v>
      </c>
      <c r="D45" s="23">
        <f>D48-D47-D40-D38-D44</f>
        <v>966892</v>
      </c>
      <c r="E45" s="20">
        <f t="shared" si="28"/>
        <v>-0.08109488961</v>
      </c>
      <c r="F45" s="23">
        <f>F48-F47-F40-F38-F44</f>
        <v>888482</v>
      </c>
      <c r="G45" s="20">
        <f t="shared" si="29"/>
        <v>-0.03881451735</v>
      </c>
      <c r="H45" s="23">
        <f>H48-H47-H40-H38-H44</f>
        <v>853996</v>
      </c>
      <c r="J45" s="9"/>
      <c r="K45" s="20"/>
      <c r="Q45" s="107"/>
      <c r="R45" s="107"/>
      <c r="T45" s="107"/>
      <c r="U45" s="107"/>
    </row>
    <row r="46">
      <c r="A46" s="9" t="s">
        <v>150</v>
      </c>
      <c r="B46" s="23">
        <f>SUM(B40:B41,B42)</f>
        <v>452544</v>
      </c>
      <c r="C46" s="20">
        <f t="shared" si="27"/>
        <v>-0.5908176884</v>
      </c>
      <c r="D46" s="23">
        <f>SUM(D40:D41,D42)</f>
        <v>185173</v>
      </c>
      <c r="E46" s="20">
        <f t="shared" si="28"/>
        <v>1.852208475</v>
      </c>
      <c r="F46" s="23">
        <f>SUM(F40:F41,F42)</f>
        <v>528152</v>
      </c>
      <c r="G46" s="20">
        <f t="shared" si="29"/>
        <v>-0.2163335555</v>
      </c>
      <c r="H46" s="23">
        <f>SUM(H40:H41,H42)</f>
        <v>413895</v>
      </c>
      <c r="K46" s="50"/>
      <c r="Q46" s="107"/>
      <c r="R46" s="107"/>
      <c r="T46" s="107"/>
      <c r="U46" s="107"/>
    </row>
    <row r="47">
      <c r="A47" s="9" t="s">
        <v>152</v>
      </c>
      <c r="B47" s="27">
        <v>-84721.0</v>
      </c>
      <c r="C47" s="20">
        <f t="shared" si="27"/>
        <v>-1.040651078</v>
      </c>
      <c r="D47" s="27">
        <v>3444.0</v>
      </c>
      <c r="E47" s="20">
        <f t="shared" si="28"/>
        <v>10.57171893</v>
      </c>
      <c r="F47" s="27">
        <v>39853.0</v>
      </c>
      <c r="G47" s="20">
        <f t="shared" si="29"/>
        <v>1.143176172</v>
      </c>
      <c r="H47" s="27">
        <v>85412.0</v>
      </c>
      <c r="J47" s="9"/>
      <c r="K47" s="124"/>
      <c r="Q47" s="107"/>
      <c r="R47" s="107"/>
      <c r="T47" s="107"/>
      <c r="U47" s="107"/>
    </row>
    <row r="48">
      <c r="A48" s="72" t="s">
        <v>156</v>
      </c>
      <c r="B48" s="27">
        <f>B46+B47</f>
        <v>367823</v>
      </c>
      <c r="C48" s="20">
        <f t="shared" si="27"/>
        <v>-0.4872071621</v>
      </c>
      <c r="D48" s="27">
        <f>D46+D47</f>
        <v>188617</v>
      </c>
      <c r="E48" s="20">
        <f t="shared" si="28"/>
        <v>2.011419967</v>
      </c>
      <c r="F48" s="27">
        <f>F46+F47</f>
        <v>568005</v>
      </c>
      <c r="G48" s="20">
        <f t="shared" si="29"/>
        <v>-0.1209461184</v>
      </c>
      <c r="H48" s="27">
        <f>H46+H47</f>
        <v>499307</v>
      </c>
      <c r="Q48" s="107"/>
      <c r="R48" s="107"/>
    </row>
    <row r="49">
      <c r="A49" s="80"/>
      <c r="B49" s="80"/>
      <c r="C49" s="80"/>
      <c r="D49" s="80"/>
      <c r="E49" s="80"/>
      <c r="F49" s="80"/>
      <c r="G49" s="80"/>
      <c r="H49" s="80"/>
      <c r="Q49" s="107"/>
      <c r="R49" s="107"/>
    </row>
    <row r="50">
      <c r="A50" s="10" t="s">
        <v>160</v>
      </c>
      <c r="Q50" s="107"/>
      <c r="R50" s="107"/>
    </row>
    <row r="51">
      <c r="A51" s="67" t="s">
        <v>162</v>
      </c>
      <c r="B51" s="9" t="s">
        <v>12</v>
      </c>
      <c r="C51" s="9" t="s">
        <v>13</v>
      </c>
      <c r="D51" s="9" t="s">
        <v>14</v>
      </c>
      <c r="E51" s="9" t="s">
        <v>15</v>
      </c>
      <c r="F51" s="9" t="s">
        <v>16</v>
      </c>
      <c r="G51" s="9" t="s">
        <v>17</v>
      </c>
      <c r="H51" s="9" t="s">
        <v>18</v>
      </c>
    </row>
    <row r="52">
      <c r="A52" s="9" t="s">
        <v>163</v>
      </c>
      <c r="B52" s="27">
        <f>B48</f>
        <v>367823</v>
      </c>
      <c r="C52" s="20">
        <f t="shared" ref="C52:C56" si="30">IFERROR(SUM((D52/B52)-1),0)</f>
        <v>0.5127928379</v>
      </c>
      <c r="D52" s="27">
        <f>SUM(B52,D48)</f>
        <v>556440</v>
      </c>
      <c r="E52" s="20">
        <f t="shared" ref="E52:E56" si="31">IFERROR(SUM((F52/D52)-1),0)</f>
        <v>1.020783912</v>
      </c>
      <c r="F52" s="27">
        <f>SUM(D52,F48)</f>
        <v>1124445</v>
      </c>
      <c r="G52" s="20">
        <f t="shared" ref="G52:G56" si="32">IFERROR(SUM((H52/F52)-1),0)</f>
        <v>0.4440475079</v>
      </c>
      <c r="H52" s="27">
        <f>SUM(F52,H48)</f>
        <v>1623752</v>
      </c>
    </row>
    <row r="53">
      <c r="A53" s="126" t="s">
        <v>165</v>
      </c>
      <c r="B53" s="127">
        <v>1695046.0</v>
      </c>
      <c r="C53" s="128">
        <f t="shared" si="30"/>
        <v>0.1403371944</v>
      </c>
      <c r="D53" s="127">
        <v>1932924.0</v>
      </c>
      <c r="E53" s="128">
        <f t="shared" si="31"/>
        <v>0.3768466841</v>
      </c>
      <c r="F53" s="127">
        <v>2661340.0</v>
      </c>
      <c r="G53" s="128">
        <f t="shared" si="32"/>
        <v>0.3600021042</v>
      </c>
      <c r="H53" s="127">
        <v>3619428.0</v>
      </c>
    </row>
    <row r="54">
      <c r="A54" s="9" t="s">
        <v>166</v>
      </c>
      <c r="B54" s="27">
        <v>-125449.0</v>
      </c>
      <c r="C54" s="20">
        <f t="shared" si="30"/>
        <v>1.164584811</v>
      </c>
      <c r="D54" s="27">
        <v>-271545.0</v>
      </c>
      <c r="E54" s="20">
        <f t="shared" si="31"/>
        <v>-3.38670202</v>
      </c>
      <c r="F54" s="27">
        <v>648097.0</v>
      </c>
      <c r="G54" s="20">
        <f t="shared" si="32"/>
        <v>-0.4843919969</v>
      </c>
      <c r="H54" s="27">
        <v>334164.0</v>
      </c>
    </row>
    <row r="55">
      <c r="A55" s="9" t="s">
        <v>168</v>
      </c>
      <c r="B55" s="27">
        <v>26705.0</v>
      </c>
      <c r="C55" s="20">
        <f t="shared" si="30"/>
        <v>0.9316981839</v>
      </c>
      <c r="D55" s="27">
        <v>51586.0</v>
      </c>
      <c r="E55" s="20">
        <f t="shared" si="31"/>
        <v>-2.792676308</v>
      </c>
      <c r="F55" s="27">
        <v>-92477.0</v>
      </c>
      <c r="G55" s="20">
        <f t="shared" si="32"/>
        <v>-1.430020438</v>
      </c>
      <c r="H55" s="27">
        <v>39767.0</v>
      </c>
    </row>
    <row r="56">
      <c r="A56" s="129" t="s">
        <v>169</v>
      </c>
      <c r="B56" s="130">
        <f>SUM(B53,B54,B55)</f>
        <v>1596302</v>
      </c>
      <c r="C56" s="111">
        <f t="shared" si="30"/>
        <v>0.07308328875</v>
      </c>
      <c r="D56" s="130">
        <f>SUM(D53,D54,D55)</f>
        <v>1712965</v>
      </c>
      <c r="E56" s="111">
        <f t="shared" si="31"/>
        <v>0.8780068478</v>
      </c>
      <c r="F56" s="130">
        <f>SUM(F53,F54,F55)</f>
        <v>3216960</v>
      </c>
      <c r="G56" s="111">
        <f t="shared" si="32"/>
        <v>0.2413455561</v>
      </c>
      <c r="H56" s="130">
        <f>SUM(H53,H54,H55)</f>
        <v>3993359</v>
      </c>
    </row>
    <row r="58">
      <c r="A58" s="9" t="s">
        <v>172</v>
      </c>
      <c r="B58" s="23"/>
      <c r="C58" s="20"/>
      <c r="D58" s="23"/>
      <c r="E58" s="20"/>
      <c r="F58" s="23"/>
      <c r="G58" s="20"/>
      <c r="H58" s="23"/>
    </row>
    <row r="59">
      <c r="A59" s="9" t="s">
        <v>174</v>
      </c>
      <c r="B59" s="27">
        <v>-1973093.0</v>
      </c>
      <c r="C59" s="20">
        <f t="shared" ref="C59:C66" si="33">IFERROR(SUM((D59/B59)-1),0)</f>
        <v>0.1255288017</v>
      </c>
      <c r="D59" s="27">
        <v>-2220773.0</v>
      </c>
      <c r="E59" s="20">
        <f t="shared" ref="E59:E66" si="34">IFERROR(SUM((F59/D59)-1),0)</f>
        <v>0.5128182844</v>
      </c>
      <c r="F59" s="27">
        <v>-3359626.0</v>
      </c>
      <c r="G59" s="20">
        <f t="shared" ref="G59:G66" si="35">IFERROR(SUM((H59/F59)-1),0)</f>
        <v>0.5640377828</v>
      </c>
      <c r="H59" s="27">
        <v>-5254582.0</v>
      </c>
    </row>
    <row r="60">
      <c r="A60" s="9" t="s">
        <v>181</v>
      </c>
      <c r="B60" s="27">
        <v>0.0</v>
      </c>
      <c r="C60" s="20">
        <f t="shared" si="33"/>
        <v>0</v>
      </c>
      <c r="D60" s="27">
        <v>0.0</v>
      </c>
      <c r="E60" s="20">
        <f t="shared" si="34"/>
        <v>0</v>
      </c>
      <c r="F60" s="27">
        <v>0.0</v>
      </c>
      <c r="G60" s="20">
        <f t="shared" si="35"/>
        <v>0</v>
      </c>
      <c r="H60" s="27">
        <v>0.0</v>
      </c>
    </row>
    <row r="61">
      <c r="A61" s="9" t="s">
        <v>183</v>
      </c>
      <c r="B61" s="27">
        <v>-753780.0</v>
      </c>
      <c r="C61" s="20">
        <f t="shared" si="33"/>
        <v>1.340204038</v>
      </c>
      <c r="D61" s="27">
        <v>-1763999.0</v>
      </c>
      <c r="E61" s="20">
        <f t="shared" si="34"/>
        <v>1.887413201</v>
      </c>
      <c r="F61" s="27">
        <v>-5093394.0</v>
      </c>
      <c r="G61" s="20">
        <f t="shared" si="35"/>
        <v>0.3643935655</v>
      </c>
      <c r="H61" s="27">
        <v>-6949394.0</v>
      </c>
    </row>
    <row r="62">
      <c r="A62" s="131" t="s">
        <v>172</v>
      </c>
      <c r="B62" s="132">
        <f>SUM(B59:B61)</f>
        <v>-2726873</v>
      </c>
      <c r="C62" s="133">
        <f t="shared" si="33"/>
        <v>0.4612972441</v>
      </c>
      <c r="D62" s="132">
        <f>SUM(D59:D61)</f>
        <v>-3984772</v>
      </c>
      <c r="E62" s="133">
        <f t="shared" si="34"/>
        <v>1.121330907</v>
      </c>
      <c r="F62" s="132">
        <f>SUM(F59:F61)</f>
        <v>-8453020</v>
      </c>
      <c r="G62" s="133">
        <f t="shared" si="35"/>
        <v>0.4437415267</v>
      </c>
      <c r="H62" s="132">
        <f>SUM(H59:H61)</f>
        <v>-12203976</v>
      </c>
      <c r="J62" s="67"/>
      <c r="L62" s="20"/>
      <c r="N62" s="20"/>
      <c r="P62" s="20"/>
    </row>
    <row r="63">
      <c r="A63" s="9" t="s">
        <v>189</v>
      </c>
      <c r="B63" s="27">
        <v>1016158.0</v>
      </c>
      <c r="C63" s="20">
        <f t="shared" si="33"/>
        <v>0.3321314205</v>
      </c>
      <c r="D63" s="27">
        <v>1353656.0</v>
      </c>
      <c r="E63" s="20">
        <f t="shared" si="34"/>
        <v>2.040155697</v>
      </c>
      <c r="F63" s="27">
        <v>4115325.0</v>
      </c>
      <c r="G63" s="20">
        <f t="shared" si="35"/>
        <v>0.6299026201</v>
      </c>
      <c r="H63" s="27">
        <v>6707579.0</v>
      </c>
      <c r="J63" s="9"/>
      <c r="K63" s="20"/>
      <c r="L63" s="20"/>
      <c r="M63" s="20"/>
      <c r="N63" s="20"/>
      <c r="O63" s="20"/>
      <c r="P63" s="20"/>
      <c r="Q63" s="20"/>
    </row>
    <row r="64">
      <c r="A64" s="9" t="s">
        <v>191</v>
      </c>
      <c r="B64" s="27">
        <v>-570.0</v>
      </c>
      <c r="C64" s="20">
        <f t="shared" si="33"/>
        <v>1.075438596</v>
      </c>
      <c r="D64" s="27">
        <v>-1183.0</v>
      </c>
      <c r="E64" s="20">
        <f t="shared" si="34"/>
        <v>-1.738799662</v>
      </c>
      <c r="F64" s="27">
        <v>874.0</v>
      </c>
      <c r="G64" s="20">
        <f t="shared" si="35"/>
        <v>-0.7173913043</v>
      </c>
      <c r="H64" s="27">
        <v>247.0</v>
      </c>
      <c r="K64" s="23"/>
      <c r="L64" s="20"/>
      <c r="M64" s="23"/>
      <c r="N64" s="20"/>
      <c r="O64" s="23"/>
      <c r="P64" s="20"/>
      <c r="Q64" s="23"/>
    </row>
    <row r="65">
      <c r="A65" s="9" t="s">
        <v>193</v>
      </c>
      <c r="B65" s="27">
        <v>58915.0</v>
      </c>
      <c r="C65" s="20">
        <f t="shared" si="33"/>
        <v>1.980225749</v>
      </c>
      <c r="D65" s="27">
        <v>175580.0</v>
      </c>
      <c r="E65" s="20">
        <f t="shared" si="34"/>
        <v>-1</v>
      </c>
      <c r="F65" s="27">
        <v>0.0</v>
      </c>
      <c r="G65" s="20">
        <f t="shared" si="35"/>
        <v>0</v>
      </c>
      <c r="H65" s="27">
        <v>661221.0</v>
      </c>
      <c r="J65" s="9"/>
      <c r="L65" s="20"/>
      <c r="N65" s="20"/>
      <c r="P65" s="20"/>
    </row>
    <row r="66">
      <c r="A66" s="129" t="s">
        <v>192</v>
      </c>
      <c r="B66" s="130">
        <f>SUM(B62:B65)</f>
        <v>-1652370</v>
      </c>
      <c r="C66" s="111">
        <f t="shared" si="33"/>
        <v>0.4867850421</v>
      </c>
      <c r="D66" s="130">
        <f>SUM(D62:D65)</f>
        <v>-2456719</v>
      </c>
      <c r="E66" s="111">
        <f t="shared" si="34"/>
        <v>0.7652898032</v>
      </c>
      <c r="F66" s="130">
        <f>SUM(F62:F65)</f>
        <v>-4336821</v>
      </c>
      <c r="G66" s="111">
        <f t="shared" si="35"/>
        <v>0.1148555589</v>
      </c>
      <c r="H66" s="130">
        <f>SUM(H62:H65)</f>
        <v>-4834929</v>
      </c>
      <c r="K66" s="23"/>
      <c r="L66" s="20"/>
      <c r="M66" s="23"/>
      <c r="N66" s="20"/>
      <c r="O66" s="23"/>
      <c r="P66" s="20"/>
      <c r="Q66" s="23"/>
    </row>
    <row r="67">
      <c r="K67" s="20"/>
      <c r="L67" s="20"/>
      <c r="M67" s="20"/>
      <c r="N67" s="20"/>
      <c r="O67" s="20"/>
      <c r="P67" s="20"/>
      <c r="Q67" s="20"/>
    </row>
    <row r="68">
      <c r="A68" s="9" t="s">
        <v>194</v>
      </c>
      <c r="B68" s="27"/>
      <c r="C68" s="20"/>
      <c r="D68" s="23"/>
      <c r="E68" s="20"/>
      <c r="F68" s="27"/>
      <c r="G68" s="20"/>
      <c r="H68" s="27"/>
      <c r="K68" s="27"/>
      <c r="L68" s="20"/>
      <c r="M68" s="27"/>
      <c r="N68" s="20"/>
      <c r="O68" s="27"/>
      <c r="P68" s="20"/>
      <c r="Q68" s="27"/>
    </row>
    <row r="69">
      <c r="A69" s="9" t="s">
        <v>196</v>
      </c>
      <c r="B69" s="27">
        <v>3837665.0</v>
      </c>
      <c r="C69" s="20">
        <f t="shared" ref="C69:C76" si="36">IFERROR(SUM((D69/B69)-1),0)</f>
        <v>0.2480122679</v>
      </c>
      <c r="D69" s="27">
        <v>4789453.0</v>
      </c>
      <c r="E69" s="20">
        <f t="shared" ref="E69:E76" si="37">IFERROR(SUM((F69/D69)-1),0)</f>
        <v>-0.5808817834</v>
      </c>
      <c r="F69" s="27">
        <v>2007347.0</v>
      </c>
      <c r="G69" s="20">
        <f t="shared" ref="G69:G76" si="38">IFERROR(SUM((H69/F69)-1),0)</f>
        <v>0.9536243609</v>
      </c>
      <c r="H69" s="27">
        <v>3921602.0</v>
      </c>
    </row>
    <row r="70">
      <c r="A70" s="9" t="s">
        <v>199</v>
      </c>
      <c r="B70" s="27">
        <v>-3656998.0</v>
      </c>
      <c r="C70" s="20">
        <f t="shared" si="36"/>
        <v>0.01146049301</v>
      </c>
      <c r="D70" s="32">
        <v>-3698909.0</v>
      </c>
      <c r="E70" s="20">
        <f t="shared" si="37"/>
        <v>-0.7214930132</v>
      </c>
      <c r="F70" s="32">
        <v>-1030172.0</v>
      </c>
      <c r="G70" s="20">
        <f t="shared" si="38"/>
        <v>0.7194099626</v>
      </c>
      <c r="H70" s="32">
        <v>-1771288.0</v>
      </c>
    </row>
    <row r="71">
      <c r="A71" s="9" t="s">
        <v>200</v>
      </c>
      <c r="B71" s="27">
        <v>-417819.0</v>
      </c>
      <c r="C71" s="20">
        <f t="shared" si="36"/>
        <v>0.3597993389</v>
      </c>
      <c r="D71" s="32">
        <v>-568150.0</v>
      </c>
      <c r="E71" s="20">
        <f t="shared" si="37"/>
        <v>0.2665950893</v>
      </c>
      <c r="F71" s="32">
        <v>-719616.0</v>
      </c>
      <c r="G71" s="20">
        <f t="shared" si="38"/>
        <v>0.6035052028</v>
      </c>
      <c r="H71" s="32">
        <v>-1153908.0</v>
      </c>
      <c r="L71" s="20"/>
      <c r="N71" s="20"/>
      <c r="P71" s="20"/>
    </row>
    <row r="72">
      <c r="A72" s="137" t="s">
        <v>202</v>
      </c>
      <c r="B72" s="138">
        <f>SUM(B70:B71)</f>
        <v>-4074817</v>
      </c>
      <c r="C72" s="139">
        <f t="shared" si="36"/>
        <v>0.04717806959</v>
      </c>
      <c r="D72" s="138">
        <f>SUM(D70:D71)</f>
        <v>-4267059</v>
      </c>
      <c r="E72" s="139">
        <f t="shared" si="37"/>
        <v>-0.5899311446</v>
      </c>
      <c r="F72" s="138">
        <f>SUM(F70:F71)</f>
        <v>-1749788</v>
      </c>
      <c r="G72" s="139">
        <f t="shared" si="38"/>
        <v>0.6717430912</v>
      </c>
      <c r="H72" s="138">
        <f>SUM(H70:H71)</f>
        <v>-2925196</v>
      </c>
      <c r="J72" s="67"/>
      <c r="L72" s="20"/>
      <c r="N72" s="20"/>
      <c r="P72" s="20"/>
    </row>
    <row r="73">
      <c r="A73" s="9" t="s">
        <v>205</v>
      </c>
      <c r="B73" s="27">
        <v>-5966.0</v>
      </c>
      <c r="C73" s="20">
        <f t="shared" si="36"/>
        <v>1.006872276</v>
      </c>
      <c r="D73" s="27">
        <v>-11973.0</v>
      </c>
      <c r="E73" s="20">
        <f t="shared" si="37"/>
        <v>-0.07341518416</v>
      </c>
      <c r="F73" s="27">
        <v>-11094.0</v>
      </c>
      <c r="G73" s="20">
        <f t="shared" si="38"/>
        <v>0.5374977465</v>
      </c>
      <c r="H73" s="27">
        <v>-17057.0</v>
      </c>
      <c r="J73" s="9"/>
      <c r="K73" s="20"/>
      <c r="L73" s="20"/>
      <c r="M73" s="20"/>
      <c r="N73" s="20"/>
      <c r="O73" s="20"/>
      <c r="P73" s="20"/>
      <c r="Q73" s="20"/>
    </row>
    <row r="74">
      <c r="A74" s="9" t="s">
        <v>204</v>
      </c>
      <c r="B74" s="27">
        <v>-3958.0</v>
      </c>
      <c r="C74" s="20">
        <f t="shared" si="36"/>
        <v>-3.465639212</v>
      </c>
      <c r="D74" s="27">
        <v>9759.0</v>
      </c>
      <c r="E74" s="20">
        <f t="shared" si="37"/>
        <v>0.3997335793</v>
      </c>
      <c r="F74" s="27">
        <v>13660.0</v>
      </c>
      <c r="G74" s="20">
        <f t="shared" si="38"/>
        <v>-0.6450219619</v>
      </c>
      <c r="H74" s="27">
        <v>4849.0</v>
      </c>
      <c r="J74" s="9"/>
      <c r="K74" s="20"/>
      <c r="L74" s="20"/>
      <c r="M74" s="20"/>
      <c r="N74" s="20"/>
      <c r="O74" s="20"/>
      <c r="P74" s="20"/>
      <c r="Q74" s="20"/>
    </row>
    <row r="75">
      <c r="A75" s="9" t="s">
        <v>209</v>
      </c>
      <c r="B75" s="27">
        <v>-413298.0</v>
      </c>
      <c r="C75" s="20">
        <f t="shared" si="36"/>
        <v>0.6060784228</v>
      </c>
      <c r="D75" s="27">
        <v>-663789.0</v>
      </c>
      <c r="E75" s="20">
        <f t="shared" si="37"/>
        <v>1.012439194</v>
      </c>
      <c r="F75" s="27">
        <v>-1335835.0</v>
      </c>
      <c r="G75" s="20">
        <f t="shared" si="38"/>
        <v>0.2735951671</v>
      </c>
      <c r="H75" s="27">
        <v>-1701313.0</v>
      </c>
      <c r="J75" s="9"/>
      <c r="K75" s="9"/>
      <c r="N75" s="20"/>
      <c r="O75" s="20"/>
      <c r="P75" s="20"/>
      <c r="Q75" s="20"/>
    </row>
    <row r="76">
      <c r="A76" s="129" t="s">
        <v>208</v>
      </c>
      <c r="B76" s="140">
        <f>SUM(B69,B75,B72,B73,B74)</f>
        <v>-660374</v>
      </c>
      <c r="C76" s="111">
        <f t="shared" si="36"/>
        <v>-0.7825338369</v>
      </c>
      <c r="D76" s="140">
        <f>SUM(D69,D75,D72,D73,D74)</f>
        <v>-143609</v>
      </c>
      <c r="E76" s="111">
        <f t="shared" si="37"/>
        <v>6.49054725</v>
      </c>
      <c r="F76" s="140">
        <f>SUM(F69,F75,F72,F73,F74)</f>
        <v>-1075710</v>
      </c>
      <c r="G76" s="111">
        <f t="shared" si="38"/>
        <v>-0.3333565738</v>
      </c>
      <c r="H76" s="140">
        <f>SUM(H69,H75,H72,H73,H74)</f>
        <v>-717115</v>
      </c>
      <c r="K76" s="29"/>
      <c r="L76" s="19"/>
      <c r="N76" s="20"/>
      <c r="O76" s="20"/>
      <c r="P76" s="20"/>
      <c r="Q76" s="20"/>
    </row>
    <row r="77">
      <c r="B77" s="23"/>
      <c r="C77" s="20"/>
      <c r="D77" s="23"/>
      <c r="E77" s="20"/>
      <c r="F77" s="23"/>
      <c r="G77" s="20"/>
      <c r="H77" s="23"/>
      <c r="J77" s="22"/>
      <c r="K77" s="19"/>
      <c r="L77" s="19"/>
      <c r="N77" s="20"/>
      <c r="P77" s="20"/>
    </row>
    <row r="78">
      <c r="A78" s="72" t="s">
        <v>210</v>
      </c>
      <c r="B78" s="120">
        <f>SUM(B56,B66,B76)</f>
        <v>-716442</v>
      </c>
      <c r="C78" s="111">
        <f t="shared" ref="C78:C80" si="39">IFERROR(SUM((D78/B78)-1),0)</f>
        <v>0.2385692073</v>
      </c>
      <c r="D78" s="120">
        <f>SUM(D56,D66,D76)</f>
        <v>-887363</v>
      </c>
      <c r="E78" s="111">
        <f t="shared" ref="E78:E80" si="40">IFERROR(SUM((F78/D78)-1),0)</f>
        <v>1.47426476</v>
      </c>
      <c r="F78" s="120">
        <f>SUM(F56,F66,F76)</f>
        <v>-2195571</v>
      </c>
      <c r="G78" s="111">
        <f t="shared" ref="G78:G80" si="41">IFERROR(SUM((H78/F78)-1),0)</f>
        <v>-0.2900776153</v>
      </c>
      <c r="H78" s="120">
        <f>SUM(H56,H66,H76)</f>
        <v>-1558685</v>
      </c>
      <c r="K78" s="29"/>
      <c r="L78" s="19"/>
      <c r="N78" s="20"/>
      <c r="P78" s="20"/>
    </row>
    <row r="79">
      <c r="A79" s="9" t="s">
        <v>212</v>
      </c>
      <c r="B79" s="32">
        <v>1356062.0</v>
      </c>
      <c r="C79" s="20">
        <f t="shared" si="39"/>
        <v>0</v>
      </c>
      <c r="D79" s="32">
        <v>1356062.0</v>
      </c>
      <c r="E79" s="20">
        <f t="shared" si="40"/>
        <v>1.149420159</v>
      </c>
      <c r="F79" s="32">
        <v>2914747.0</v>
      </c>
      <c r="G79" s="20">
        <f t="shared" si="41"/>
        <v>0</v>
      </c>
      <c r="H79" s="32">
        <v>2914747.0</v>
      </c>
      <c r="J79" s="51"/>
      <c r="K79" s="19"/>
      <c r="L79" s="19"/>
      <c r="N79" s="20"/>
      <c r="O79" s="23"/>
      <c r="P79" s="20"/>
      <c r="Q79" s="23"/>
    </row>
    <row r="80">
      <c r="A80" s="43" t="s">
        <v>214</v>
      </c>
      <c r="B80" s="42">
        <f>SUM(B78:B79)</f>
        <v>639620</v>
      </c>
      <c r="C80" s="48">
        <f t="shared" si="39"/>
        <v>-0.267222726</v>
      </c>
      <c r="D80" s="42">
        <f>SUM(D78:D79)</f>
        <v>468699</v>
      </c>
      <c r="E80" s="48">
        <f t="shared" si="40"/>
        <v>0.534409077</v>
      </c>
      <c r="F80" s="42">
        <f>SUM(F78:F79)</f>
        <v>719176</v>
      </c>
      <c r="G80" s="48">
        <f t="shared" si="41"/>
        <v>0.885577383</v>
      </c>
      <c r="H80" s="42">
        <f>SUM(H78:H79)</f>
        <v>1356062</v>
      </c>
      <c r="K80" s="29"/>
      <c r="L80" s="23"/>
      <c r="N80" s="20"/>
      <c r="O80" s="23"/>
      <c r="P80" s="20"/>
      <c r="Q80" s="23"/>
    </row>
    <row r="81">
      <c r="J81" s="51"/>
      <c r="K81" s="19"/>
      <c r="L81" s="142"/>
      <c r="N81" s="20"/>
      <c r="P81" s="20"/>
    </row>
    <row r="82">
      <c r="J82" s="9"/>
      <c r="L82" s="20"/>
      <c r="M82" s="51"/>
    </row>
    <row r="83">
      <c r="C83" s="20"/>
      <c r="D83" s="27"/>
      <c r="E83" s="20"/>
      <c r="F83" s="27"/>
      <c r="G83" s="20"/>
      <c r="H83" s="27"/>
      <c r="J83" s="22"/>
      <c r="K83" s="50"/>
      <c r="L83" s="23"/>
    </row>
    <row r="84">
      <c r="C84" s="20"/>
      <c r="D84" s="27"/>
      <c r="E84" s="20"/>
      <c r="F84" s="27"/>
      <c r="G84" s="20"/>
      <c r="H84" s="27"/>
      <c r="J84" s="22"/>
      <c r="K84" s="19"/>
      <c r="L84" s="20"/>
      <c r="N84" s="20"/>
      <c r="O84" s="23"/>
      <c r="P84" s="20"/>
      <c r="Q84" s="23"/>
    </row>
    <row r="85">
      <c r="K85" s="50"/>
      <c r="L85" s="20"/>
      <c r="N85" s="20"/>
      <c r="O85" s="23"/>
      <c r="P85" s="20"/>
      <c r="Q85" s="23"/>
    </row>
    <row r="86">
      <c r="J86" s="9"/>
      <c r="K86" s="20"/>
      <c r="L86" s="20"/>
      <c r="N86" s="20"/>
      <c r="O86" s="23"/>
      <c r="P86" s="20"/>
      <c r="Q86" s="23"/>
    </row>
    <row r="87">
      <c r="K87" s="50"/>
      <c r="L87" s="23"/>
      <c r="M87" s="9"/>
    </row>
    <row r="88">
      <c r="J88" s="9"/>
      <c r="K88" s="20"/>
      <c r="L88" s="143"/>
      <c r="M88" s="144"/>
    </row>
    <row r="89">
      <c r="L89" s="145"/>
      <c r="M89" s="22"/>
    </row>
    <row r="90">
      <c r="L90" s="145"/>
      <c r="M90" s="22"/>
    </row>
    <row r="91">
      <c r="I91" s="20"/>
      <c r="J91" s="22"/>
      <c r="K91" s="50"/>
      <c r="L91" s="23"/>
    </row>
    <row r="92">
      <c r="I92" s="20"/>
      <c r="J92" s="22"/>
      <c r="K92" s="19"/>
    </row>
    <row r="93">
      <c r="I93" s="20"/>
      <c r="K93" s="50"/>
    </row>
    <row r="94">
      <c r="I94" s="20"/>
      <c r="J94" s="9"/>
      <c r="K94" s="20"/>
    </row>
    <row r="95">
      <c r="I95" s="20"/>
      <c r="J95" s="9"/>
    </row>
    <row r="96">
      <c r="H96" s="27"/>
      <c r="K96" s="29"/>
    </row>
    <row r="97">
      <c r="A97" s="22"/>
      <c r="B97" s="47"/>
      <c r="F97" s="22"/>
      <c r="H97" s="27"/>
      <c r="J97" s="9"/>
      <c r="K97" s="20"/>
    </row>
    <row r="98">
      <c r="A98" s="22"/>
      <c r="B98" s="22"/>
      <c r="F98" s="22"/>
      <c r="G98" s="28"/>
      <c r="H98" s="32"/>
    </row>
    <row r="99">
      <c r="A99" s="22"/>
      <c r="B99" s="28"/>
      <c r="F99" s="22"/>
      <c r="G99" s="28"/>
      <c r="H99" s="32"/>
    </row>
    <row r="100">
      <c r="A100" s="22"/>
      <c r="B100" s="147"/>
      <c r="C100" s="148"/>
      <c r="D100" s="149"/>
      <c r="F100" s="22"/>
      <c r="G100" s="28"/>
      <c r="H100" s="27"/>
    </row>
    <row r="101">
      <c r="A101" s="22"/>
      <c r="B101" s="28"/>
      <c r="F101" s="22"/>
      <c r="G101" s="28"/>
    </row>
    <row r="102">
      <c r="E102" s="23"/>
      <c r="F102" s="22"/>
      <c r="G102" s="28"/>
      <c r="H102" s="23"/>
    </row>
    <row r="103">
      <c r="A103" s="22"/>
      <c r="B103" s="19"/>
      <c r="F103" s="22"/>
      <c r="G103" s="28"/>
      <c r="H103" s="27"/>
    </row>
    <row r="104">
      <c r="A104" s="22"/>
      <c r="B104" s="19"/>
      <c r="F104" s="22"/>
      <c r="G104" s="28"/>
      <c r="H104" s="27"/>
    </row>
    <row r="105">
      <c r="A105" s="22"/>
      <c r="B105" s="28"/>
      <c r="D105" s="151"/>
      <c r="G105" s="67"/>
      <c r="H105" s="32"/>
    </row>
    <row r="106">
      <c r="A106" s="79"/>
      <c r="B106" s="28"/>
      <c r="C106" s="20"/>
      <c r="D106" s="152"/>
      <c r="E106" s="9"/>
      <c r="G106" s="79"/>
      <c r="H106" s="32"/>
    </row>
    <row r="107">
      <c r="A107" s="22"/>
      <c r="B107" s="28"/>
      <c r="D107" s="152"/>
      <c r="E107" s="50"/>
      <c r="F107" s="20"/>
      <c r="G107" s="28"/>
    </row>
    <row r="108">
      <c r="A108" s="22"/>
      <c r="B108" s="28"/>
      <c r="D108" s="152"/>
      <c r="E108" s="50"/>
      <c r="F108" s="19"/>
      <c r="G108" s="53"/>
    </row>
    <row r="109">
      <c r="A109" s="22"/>
      <c r="B109" s="19"/>
      <c r="D109" s="152"/>
      <c r="E109" s="50"/>
      <c r="F109" s="20"/>
      <c r="G109" s="28"/>
    </row>
    <row r="110">
      <c r="A110" s="22"/>
      <c r="B110" s="19"/>
      <c r="D110" s="153"/>
      <c r="E110" s="154"/>
      <c r="F110" s="20"/>
      <c r="G110" s="28"/>
    </row>
    <row r="111">
      <c r="A111" s="22"/>
      <c r="B111" s="19"/>
      <c r="D111" s="155"/>
      <c r="E111" s="156"/>
      <c r="F111" s="157"/>
      <c r="G111" s="159"/>
      <c r="H111" s="151"/>
    </row>
    <row r="112">
      <c r="A112" s="22"/>
      <c r="B112" s="19"/>
      <c r="D112" s="151"/>
      <c r="E112" s="151"/>
      <c r="F112" s="151"/>
      <c r="G112" s="151"/>
      <c r="H112" s="151"/>
    </row>
    <row r="113">
      <c r="D113" s="151"/>
      <c r="E113" s="151"/>
      <c r="F113" s="151"/>
      <c r="G113" s="151"/>
      <c r="H113" s="161"/>
      <c r="I113" s="118"/>
      <c r="J113" s="21"/>
      <c r="K113" s="22"/>
      <c r="L113" s="22"/>
      <c r="M113" s="22"/>
    </row>
    <row r="114">
      <c r="A114" s="22"/>
      <c r="B114" s="22"/>
      <c r="C114" s="22"/>
      <c r="D114" s="153"/>
      <c r="E114" s="153"/>
      <c r="F114" s="162"/>
      <c r="G114" s="151"/>
      <c r="H114" s="161"/>
      <c r="I114" s="22"/>
      <c r="J114" s="22"/>
      <c r="K114" s="22"/>
      <c r="L114" s="22"/>
      <c r="M114" s="22"/>
    </row>
    <row r="115">
      <c r="A115" s="107"/>
      <c r="B115" s="107"/>
      <c r="C115" s="107"/>
      <c r="D115" s="151"/>
      <c r="E115" s="151"/>
      <c r="F115" s="151"/>
      <c r="G115" s="151"/>
      <c r="H115" s="151"/>
      <c r="I115" s="107"/>
      <c r="J115" s="107"/>
      <c r="K115" s="107"/>
      <c r="L115" s="107"/>
      <c r="M115" s="107"/>
    </row>
    <row r="116">
      <c r="A116" s="107"/>
      <c r="B116" s="107"/>
      <c r="C116" s="107"/>
      <c r="D116" s="107"/>
      <c r="E116" s="107"/>
      <c r="F116" s="107"/>
      <c r="H116" s="107"/>
      <c r="I116" s="107"/>
      <c r="J116" s="107"/>
      <c r="K116" s="107"/>
      <c r="L116" s="107"/>
      <c r="M116" s="107"/>
    </row>
    <row r="117">
      <c r="A117" s="107"/>
      <c r="B117" s="107"/>
      <c r="C117" s="107"/>
      <c r="D117" s="107"/>
      <c r="E117" s="107"/>
      <c r="F117" s="107"/>
      <c r="H117" s="107"/>
      <c r="I117" s="107"/>
      <c r="J117" s="107"/>
      <c r="K117" s="107"/>
      <c r="L117" s="107"/>
      <c r="M117" s="107"/>
    </row>
    <row r="118">
      <c r="A118" s="107"/>
      <c r="B118" s="107"/>
      <c r="C118" s="107"/>
      <c r="D118" s="107"/>
      <c r="E118" s="107"/>
      <c r="F118" s="107"/>
      <c r="H118" s="107"/>
      <c r="I118" s="107"/>
      <c r="J118" s="107"/>
      <c r="K118" s="107"/>
      <c r="L118" s="107"/>
      <c r="M118" s="107"/>
    </row>
    <row r="119">
      <c r="A119" s="107"/>
      <c r="B119" s="107"/>
      <c r="C119" s="107"/>
      <c r="D119" s="107"/>
      <c r="E119" s="107"/>
      <c r="F119" s="107"/>
      <c r="H119" s="107"/>
      <c r="I119" s="107"/>
      <c r="J119" s="107"/>
      <c r="K119" s="107"/>
      <c r="L119" s="107"/>
      <c r="M119" s="107"/>
    </row>
    <row r="120">
      <c r="A120" s="107"/>
      <c r="B120" s="107"/>
      <c r="C120" s="107"/>
      <c r="D120" s="107"/>
      <c r="E120" s="107"/>
      <c r="F120" s="107"/>
      <c r="H120" s="107"/>
      <c r="I120" s="107"/>
      <c r="J120" s="107"/>
      <c r="K120" s="107"/>
      <c r="L120" s="107"/>
      <c r="M120" s="107"/>
    </row>
    <row r="121">
      <c r="A121" s="107"/>
      <c r="B121" s="107"/>
      <c r="C121" s="107"/>
      <c r="D121" s="107"/>
      <c r="E121" s="107"/>
      <c r="F121" s="107"/>
      <c r="G121" s="9"/>
      <c r="H121" s="107"/>
      <c r="I121" s="107"/>
      <c r="J121" s="107"/>
      <c r="K121" s="107"/>
      <c r="L121" s="107"/>
      <c r="M121" s="107"/>
    </row>
    <row r="122">
      <c r="A122" s="107"/>
      <c r="B122" s="107"/>
      <c r="C122" s="107"/>
      <c r="D122" s="107"/>
      <c r="E122" s="107"/>
      <c r="F122" s="107"/>
      <c r="H122" s="55"/>
      <c r="I122" s="118"/>
      <c r="J122" s="21"/>
      <c r="K122" s="22"/>
      <c r="L122" s="22"/>
      <c r="M122" s="22"/>
    </row>
    <row r="123">
      <c r="A123" s="107"/>
      <c r="B123" s="107"/>
      <c r="C123" s="107"/>
      <c r="D123" s="107"/>
      <c r="E123" s="107"/>
      <c r="F123" s="107"/>
    </row>
    <row r="124">
      <c r="A124" s="107"/>
      <c r="B124" s="107"/>
      <c r="C124" s="107"/>
      <c r="D124" s="107"/>
      <c r="E124" s="107"/>
      <c r="F124" s="107"/>
      <c r="H124" s="20"/>
    </row>
    <row r="125">
      <c r="A125" s="9"/>
      <c r="C125" s="20"/>
      <c r="E125" s="20"/>
      <c r="H125" s="23"/>
    </row>
    <row r="126">
      <c r="H126" s="23"/>
    </row>
    <row r="127">
      <c r="H127" s="23"/>
    </row>
    <row r="128">
      <c r="H128" s="27"/>
    </row>
    <row r="129">
      <c r="H129" s="27"/>
      <c r="I129" s="20"/>
      <c r="J129" s="20"/>
    </row>
    <row r="130">
      <c r="H130" s="27"/>
      <c r="I130" s="20"/>
      <c r="J130" s="20"/>
    </row>
    <row r="132">
      <c r="G132" s="67"/>
    </row>
    <row r="133">
      <c r="G133" s="9"/>
    </row>
    <row r="134">
      <c r="E134" s="20"/>
    </row>
    <row r="135">
      <c r="B135" s="27"/>
      <c r="C135" s="20"/>
      <c r="D135" s="27"/>
      <c r="E135" s="20"/>
      <c r="H135" s="27"/>
    </row>
    <row r="136">
      <c r="B136" s="27"/>
      <c r="C136" s="20"/>
      <c r="D136" s="27"/>
      <c r="E136" s="20"/>
      <c r="F136" s="32"/>
      <c r="H136" s="27"/>
    </row>
    <row r="137">
      <c r="B137" s="27"/>
      <c r="C137" s="20"/>
      <c r="D137" s="27"/>
      <c r="E137" s="20"/>
      <c r="H137" s="27"/>
    </row>
    <row r="139">
      <c r="A139" s="9"/>
      <c r="C139" s="20"/>
      <c r="G139" s="9"/>
    </row>
    <row r="140">
      <c r="C140" s="20"/>
      <c r="E140" s="20"/>
      <c r="F140" s="20"/>
    </row>
    <row r="141">
      <c r="B141" s="27"/>
      <c r="C141" s="20"/>
      <c r="D141" s="27"/>
      <c r="E141" s="20"/>
      <c r="F141" s="20"/>
      <c r="H141" s="27"/>
    </row>
    <row r="142">
      <c r="A142" s="9"/>
      <c r="C142" s="20"/>
      <c r="E142" s="20"/>
      <c r="F142" s="20"/>
      <c r="G142" s="9"/>
    </row>
    <row r="144">
      <c r="A144" s="9"/>
      <c r="G144" s="9"/>
    </row>
    <row r="145">
      <c r="A145" s="67"/>
      <c r="G145" s="67"/>
    </row>
    <row r="146">
      <c r="B146" s="27"/>
      <c r="C146" s="20"/>
      <c r="D146" s="27"/>
      <c r="H146" s="27"/>
    </row>
    <row r="147">
      <c r="A147" s="150"/>
      <c r="B147" s="27"/>
      <c r="C147" s="20"/>
      <c r="D147" s="27"/>
      <c r="G147" s="150"/>
      <c r="H147" s="27"/>
    </row>
    <row r="148">
      <c r="B148" s="27"/>
      <c r="C148" s="20"/>
      <c r="D148" s="27"/>
      <c r="H148" s="27"/>
    </row>
    <row r="149">
      <c r="B149" s="27"/>
      <c r="C149" s="20"/>
      <c r="D149" s="27"/>
      <c r="H149" s="27"/>
    </row>
    <row r="150">
      <c r="A150" s="9"/>
      <c r="B150" s="27"/>
      <c r="C150" s="20"/>
      <c r="D150" s="27"/>
      <c r="G150" s="9"/>
      <c r="H150" s="27"/>
    </row>
    <row r="151">
      <c r="B151" s="27"/>
      <c r="C151" s="20"/>
      <c r="D151" s="27"/>
      <c r="H151" s="27"/>
    </row>
    <row r="152">
      <c r="B152" s="27"/>
      <c r="C152" s="20"/>
      <c r="D152" s="27"/>
      <c r="H152" s="27"/>
    </row>
    <row r="153">
      <c r="B153" s="27"/>
      <c r="C153" s="20"/>
      <c r="D153" s="27"/>
      <c r="H153" s="27"/>
    </row>
    <row r="154">
      <c r="B154" s="27"/>
      <c r="C154" s="20"/>
      <c r="D154" s="27"/>
      <c r="H154" s="27"/>
    </row>
    <row r="155">
      <c r="C155" s="20"/>
      <c r="D155" s="32"/>
    </row>
    <row r="156">
      <c r="A156" s="67"/>
      <c r="B156" s="158"/>
      <c r="C156" s="160"/>
      <c r="D156" s="158"/>
      <c r="G156" s="67"/>
      <c r="H156" s="158"/>
    </row>
    <row r="157">
      <c r="B157" s="23"/>
      <c r="D157" s="23"/>
      <c r="H157" s="23"/>
    </row>
    <row r="158">
      <c r="B158" s="27"/>
      <c r="C158" s="20"/>
      <c r="D158" s="27"/>
      <c r="H158" s="27"/>
    </row>
    <row r="159">
      <c r="B159" s="27"/>
      <c r="C159" s="20"/>
      <c r="D159" s="27"/>
      <c r="H159" s="27"/>
    </row>
    <row r="160">
      <c r="B160" s="27"/>
      <c r="C160" s="20"/>
      <c r="D160" s="27"/>
      <c r="H160" s="27"/>
    </row>
    <row r="161">
      <c r="B161" s="27"/>
      <c r="C161" s="20"/>
      <c r="D161" s="27"/>
      <c r="H161" s="27"/>
    </row>
    <row r="162">
      <c r="A162" s="67"/>
      <c r="B162" s="158"/>
      <c r="C162" s="160"/>
      <c r="D162" s="158"/>
      <c r="G162" s="67"/>
      <c r="H162" s="158"/>
    </row>
    <row r="163">
      <c r="B163" s="23"/>
      <c r="D163" s="23"/>
      <c r="H163" s="23"/>
    </row>
    <row r="164">
      <c r="B164" s="27"/>
      <c r="D164" s="23"/>
      <c r="H164" s="27"/>
    </row>
    <row r="165">
      <c r="B165" s="27"/>
      <c r="C165" s="20"/>
      <c r="D165" s="27"/>
      <c r="H165" s="27"/>
    </row>
    <row r="166">
      <c r="B166" s="27"/>
      <c r="C166" s="20"/>
      <c r="D166" s="27"/>
      <c r="H166" s="27"/>
    </row>
    <row r="167">
      <c r="B167" s="27"/>
      <c r="C167" s="20"/>
      <c r="D167" s="27"/>
      <c r="H167" s="27"/>
    </row>
    <row r="168">
      <c r="B168" s="27"/>
      <c r="C168" s="20"/>
      <c r="D168" s="27"/>
      <c r="H168" s="27"/>
    </row>
    <row r="169">
      <c r="A169" s="67"/>
      <c r="B169" s="146"/>
      <c r="C169" s="160"/>
      <c r="D169" s="146"/>
      <c r="G169" s="67"/>
      <c r="H169" s="146"/>
    </row>
    <row r="170">
      <c r="B170" s="23"/>
      <c r="D170" s="23"/>
      <c r="H170" s="23"/>
    </row>
    <row r="171">
      <c r="A171" s="9"/>
      <c r="C171" s="20"/>
      <c r="G171" s="9"/>
    </row>
    <row r="172">
      <c r="B172" s="32"/>
      <c r="C172" s="20"/>
      <c r="D172" s="32"/>
      <c r="H172" s="32"/>
    </row>
    <row r="173">
      <c r="A173" s="9"/>
      <c r="B173" s="9"/>
      <c r="C173" s="20"/>
      <c r="D173" s="9"/>
      <c r="G173" s="9"/>
      <c r="H173" s="9"/>
    </row>
    <row r="177">
      <c r="G177" s="9"/>
    </row>
    <row r="178">
      <c r="C178" s="20"/>
      <c r="D178" s="23"/>
      <c r="G178" s="9"/>
      <c r="I178" s="20"/>
    </row>
    <row r="179">
      <c r="C179" s="20"/>
      <c r="D179" s="27"/>
      <c r="E179" s="20"/>
      <c r="F179" s="23"/>
      <c r="H179" s="23"/>
      <c r="I179" s="20"/>
      <c r="J179" s="23"/>
    </row>
    <row r="180">
      <c r="C180" s="20"/>
      <c r="D180" s="27"/>
      <c r="E180" s="20"/>
      <c r="F180" s="27"/>
      <c r="H180" s="23"/>
      <c r="I180" s="20"/>
      <c r="J180" s="23"/>
    </row>
    <row r="181">
      <c r="C181" s="20"/>
      <c r="D181" s="27"/>
      <c r="E181" s="20"/>
      <c r="F181" s="27"/>
      <c r="H181" s="23"/>
      <c r="I181" s="20"/>
      <c r="J181" s="23"/>
    </row>
    <row r="182">
      <c r="C182" s="20"/>
      <c r="D182" s="27"/>
      <c r="E182" s="20"/>
      <c r="F182" s="27"/>
      <c r="H182" s="23"/>
      <c r="I182" s="20"/>
      <c r="J182" s="23"/>
    </row>
    <row r="183">
      <c r="C183" s="20"/>
      <c r="D183" s="32"/>
      <c r="E183" s="20"/>
      <c r="F183" s="27"/>
      <c r="H183" s="20"/>
      <c r="I183" s="20"/>
      <c r="J183" s="20"/>
    </row>
    <row r="184">
      <c r="C184" s="20"/>
      <c r="D184" s="32"/>
      <c r="E184" s="20"/>
      <c r="F184" s="27"/>
      <c r="H184" s="20"/>
      <c r="I184" s="20"/>
      <c r="J184" s="20"/>
    </row>
    <row r="185">
      <c r="C185" s="20"/>
      <c r="D185" s="27"/>
      <c r="E185" s="20"/>
      <c r="F185" s="23"/>
      <c r="H185" s="23"/>
      <c r="I185" s="20"/>
      <c r="J185" s="23"/>
    </row>
    <row r="186">
      <c r="E186" s="20"/>
      <c r="F186" s="23"/>
      <c r="H186" s="23"/>
      <c r="I186" s="20"/>
      <c r="J186" s="23"/>
    </row>
    <row r="187">
      <c r="C187" s="20"/>
      <c r="D187" s="23"/>
      <c r="E187" s="20"/>
      <c r="F187" s="27"/>
      <c r="H187" s="23"/>
      <c r="I187" s="20"/>
      <c r="J187" s="23"/>
    </row>
    <row r="188">
      <c r="C188" s="20"/>
      <c r="D188" s="27"/>
      <c r="E188" s="20"/>
      <c r="F188" s="27"/>
      <c r="H188" s="20"/>
      <c r="I188" s="20"/>
      <c r="J188" s="20"/>
    </row>
    <row r="189">
      <c r="C189" s="20"/>
      <c r="D189" s="27"/>
      <c r="E189" s="20"/>
      <c r="F189" s="27"/>
      <c r="G189" s="67"/>
    </row>
    <row r="190">
      <c r="C190" s="20"/>
      <c r="D190" s="27"/>
      <c r="E190" s="20"/>
      <c r="F190" s="27"/>
      <c r="G190" s="67"/>
    </row>
    <row r="191">
      <c r="C191" s="20"/>
      <c r="D191" s="27"/>
      <c r="F191" s="23"/>
      <c r="G191" s="9"/>
      <c r="I191" s="20"/>
    </row>
    <row r="192">
      <c r="C192" s="20"/>
      <c r="D192" s="32"/>
      <c r="E192" s="20"/>
      <c r="F192" s="23"/>
      <c r="G192" s="9"/>
      <c r="H192" s="20"/>
      <c r="I192" s="20"/>
      <c r="J192" s="20"/>
    </row>
    <row r="193">
      <c r="C193" s="20"/>
      <c r="D193" s="32"/>
      <c r="E193" s="20"/>
      <c r="F193" s="23"/>
      <c r="G193" s="9"/>
      <c r="H193" s="20"/>
      <c r="I193" s="20"/>
      <c r="J193" s="20"/>
    </row>
    <row r="194">
      <c r="C194" s="20"/>
      <c r="D194" s="32"/>
      <c r="E194" s="20"/>
      <c r="F194" s="23"/>
      <c r="G194" s="9"/>
      <c r="H194" s="20"/>
      <c r="I194" s="20"/>
      <c r="J194" s="20"/>
    </row>
    <row r="195">
      <c r="C195" s="20"/>
      <c r="D195" s="32"/>
      <c r="E195" s="20"/>
      <c r="F195" s="23"/>
      <c r="G195" s="9"/>
      <c r="H195" s="27"/>
      <c r="I195" s="20"/>
      <c r="J195" s="27"/>
    </row>
    <row r="196">
      <c r="E196" s="20"/>
      <c r="F196" s="23"/>
      <c r="G196" s="9"/>
      <c r="H196" s="20"/>
      <c r="I196" s="20"/>
      <c r="J196" s="20"/>
    </row>
    <row r="197">
      <c r="C197" s="20"/>
      <c r="D197" s="23"/>
      <c r="E197" s="20"/>
      <c r="F197" s="23"/>
      <c r="H197" s="23"/>
      <c r="I197" s="20"/>
      <c r="J197" s="23"/>
    </row>
    <row r="198">
      <c r="C198" s="20"/>
      <c r="D198" s="23"/>
      <c r="E198" s="20"/>
      <c r="F198" s="23"/>
    </row>
    <row r="199">
      <c r="C199" s="20"/>
      <c r="D199" s="23"/>
      <c r="F199" s="23"/>
      <c r="G199" s="67"/>
    </row>
    <row r="200">
      <c r="D200" s="23"/>
      <c r="E200" s="20"/>
      <c r="F200" s="27"/>
      <c r="G200" s="9"/>
      <c r="H200" s="20"/>
      <c r="I200" s="20"/>
      <c r="J200" s="20"/>
    </row>
    <row r="201">
      <c r="C201" s="20"/>
      <c r="D201" s="27"/>
      <c r="E201" s="20"/>
      <c r="F201" s="27"/>
      <c r="G201" s="9"/>
      <c r="H201" s="20"/>
      <c r="I201" s="20"/>
      <c r="J201" s="20"/>
    </row>
    <row r="202">
      <c r="C202" s="20"/>
      <c r="D202" s="27"/>
      <c r="E202" s="20"/>
      <c r="F202" s="23"/>
      <c r="G202" s="9"/>
      <c r="H202" s="20"/>
      <c r="I202" s="20"/>
      <c r="J202" s="20"/>
    </row>
    <row r="203">
      <c r="C203" s="20"/>
      <c r="D203" s="27"/>
      <c r="E203" s="20"/>
      <c r="G203" s="9"/>
      <c r="H203" s="20"/>
      <c r="I203" s="20"/>
      <c r="J203" s="20"/>
    </row>
    <row r="205">
      <c r="G205" s="67"/>
    </row>
    <row r="206">
      <c r="E206" s="20"/>
      <c r="F206" s="32"/>
      <c r="H206" s="23"/>
      <c r="I206" s="20"/>
      <c r="J206" s="23"/>
    </row>
    <row r="207">
      <c r="C207" s="20"/>
      <c r="D207" s="32"/>
      <c r="E207" s="20"/>
      <c r="H207" s="23"/>
      <c r="I207" s="20"/>
      <c r="J207" s="23"/>
    </row>
    <row r="208">
      <c r="C208" s="20"/>
      <c r="D208" s="27"/>
      <c r="E208" s="20"/>
    </row>
    <row r="209">
      <c r="C209" s="20"/>
      <c r="D209" s="32"/>
      <c r="E209" s="20"/>
      <c r="G209" s="9"/>
    </row>
    <row r="210">
      <c r="C210" s="20"/>
      <c r="D210" s="27"/>
      <c r="E210" s="20"/>
      <c r="H210" s="23"/>
      <c r="I210" s="20"/>
      <c r="J210" s="23"/>
    </row>
    <row r="211">
      <c r="E211" s="20"/>
      <c r="H211" s="23"/>
      <c r="I211" s="20"/>
      <c r="J211" s="23"/>
    </row>
    <row r="212">
      <c r="C212" s="20"/>
      <c r="D212" s="27"/>
      <c r="E212" s="20"/>
      <c r="F212" s="20"/>
      <c r="H212" s="23"/>
      <c r="I212" s="20"/>
      <c r="J212" s="23"/>
    </row>
    <row r="213">
      <c r="C213" s="20"/>
      <c r="D213" s="27"/>
      <c r="H213" s="23"/>
      <c r="I213" s="20"/>
      <c r="J213" s="23"/>
    </row>
    <row r="214">
      <c r="C214" s="20"/>
      <c r="D214" s="20"/>
      <c r="E214" s="20"/>
      <c r="F214" s="32"/>
    </row>
    <row r="215">
      <c r="C215" s="20"/>
      <c r="D215" s="27"/>
      <c r="E215" s="20"/>
      <c r="F215" s="27"/>
    </row>
    <row r="216">
      <c r="C216" s="20"/>
      <c r="D216" s="27"/>
      <c r="E216" s="20"/>
      <c r="F216" s="32"/>
    </row>
    <row r="217">
      <c r="C217" s="20"/>
      <c r="D217" s="23"/>
      <c r="E217" s="20"/>
      <c r="F217" s="27"/>
    </row>
    <row r="218">
      <c r="E218" s="20"/>
      <c r="F218" s="32"/>
    </row>
    <row r="219">
      <c r="D219" s="27"/>
      <c r="E219" s="20"/>
      <c r="F219" s="32"/>
    </row>
    <row r="220">
      <c r="C220" s="20"/>
      <c r="E220" s="20"/>
    </row>
    <row r="221">
      <c r="E221" s="20"/>
    </row>
    <row r="222">
      <c r="C222" s="20"/>
      <c r="D222" s="27"/>
      <c r="E222" s="20"/>
    </row>
    <row r="223">
      <c r="C223" s="20"/>
      <c r="D223" s="27"/>
      <c r="E223" s="20"/>
      <c r="F223" s="32"/>
    </row>
    <row r="224">
      <c r="C224" s="20"/>
      <c r="D224" s="27"/>
      <c r="E224" s="20"/>
    </row>
    <row r="226">
      <c r="C226" s="20"/>
    </row>
    <row r="227">
      <c r="C227" s="20"/>
      <c r="E227" s="20"/>
      <c r="F227" s="20"/>
    </row>
    <row r="228">
      <c r="C228" s="20"/>
      <c r="D228" s="27"/>
      <c r="E228" s="20"/>
      <c r="F228" s="20"/>
    </row>
    <row r="229">
      <c r="C229" s="20"/>
      <c r="E229" s="20"/>
      <c r="F229" s="20"/>
    </row>
    <row r="233">
      <c r="C233" s="20"/>
      <c r="D233" s="27"/>
    </row>
    <row r="234">
      <c r="C234" s="20"/>
      <c r="D234" s="27"/>
    </row>
    <row r="235">
      <c r="C235" s="20"/>
      <c r="D235" s="27"/>
    </row>
    <row r="236">
      <c r="C236" s="20"/>
      <c r="D236" s="27"/>
    </row>
    <row r="237">
      <c r="C237" s="20"/>
      <c r="D237" s="27"/>
    </row>
    <row r="238">
      <c r="C238" s="20"/>
      <c r="D238" s="27"/>
    </row>
    <row r="239">
      <c r="C239" s="20"/>
      <c r="D239" s="27"/>
    </row>
    <row r="240">
      <c r="C240" s="20"/>
      <c r="D240" s="27"/>
    </row>
    <row r="241">
      <c r="C241" s="20"/>
      <c r="D241" s="27"/>
    </row>
    <row r="242">
      <c r="C242" s="20"/>
      <c r="D242" s="32"/>
    </row>
    <row r="243">
      <c r="C243" s="160"/>
      <c r="D243" s="158"/>
    </row>
    <row r="244">
      <c r="D244" s="23"/>
    </row>
    <row r="245">
      <c r="C245" s="20"/>
      <c r="D245" s="27"/>
    </row>
    <row r="246">
      <c r="C246" s="20"/>
      <c r="D246" s="27"/>
    </row>
    <row r="247">
      <c r="C247" s="20"/>
      <c r="D247" s="27"/>
    </row>
    <row r="248">
      <c r="C248" s="20"/>
      <c r="D248" s="27"/>
    </row>
    <row r="249">
      <c r="C249" s="160"/>
      <c r="D249" s="158"/>
    </row>
    <row r="250">
      <c r="D250" s="23"/>
    </row>
    <row r="251">
      <c r="D251" s="23"/>
    </row>
    <row r="252">
      <c r="C252" s="20"/>
      <c r="D252" s="27"/>
    </row>
    <row r="253">
      <c r="C253" s="20"/>
      <c r="D253" s="27"/>
    </row>
    <row r="254">
      <c r="C254" s="20"/>
      <c r="D254" s="27"/>
    </row>
    <row r="255">
      <c r="C255" s="20"/>
      <c r="D255" s="27"/>
    </row>
    <row r="256">
      <c r="C256" s="160"/>
      <c r="D256" s="146"/>
    </row>
    <row r="257">
      <c r="D257" s="23"/>
    </row>
    <row r="258">
      <c r="C258" s="20"/>
    </row>
    <row r="259">
      <c r="C259" s="20"/>
      <c r="D259" s="32"/>
    </row>
    <row r="260">
      <c r="C260" s="20"/>
      <c r="D260" s="9"/>
    </row>
    <row r="264">
      <c r="A264" s="9"/>
    </row>
    <row r="265">
      <c r="G265" s="9"/>
    </row>
    <row r="266">
      <c r="B266" s="23"/>
      <c r="C266" s="20"/>
      <c r="D266" s="23"/>
      <c r="G266" s="9"/>
      <c r="I266" s="20"/>
    </row>
    <row r="267">
      <c r="B267" s="27"/>
      <c r="C267" s="20"/>
      <c r="D267" s="27"/>
      <c r="E267" s="20"/>
      <c r="F267" s="23"/>
      <c r="H267" s="23"/>
      <c r="I267" s="20"/>
      <c r="J267" s="23"/>
    </row>
    <row r="268">
      <c r="B268" s="27"/>
      <c r="C268" s="20"/>
      <c r="D268" s="27"/>
      <c r="E268" s="20"/>
      <c r="F268" s="27"/>
      <c r="H268" s="23"/>
      <c r="I268" s="20"/>
      <c r="J268" s="23"/>
    </row>
    <row r="269">
      <c r="B269" s="27"/>
      <c r="C269" s="20"/>
      <c r="D269" s="27"/>
      <c r="E269" s="20"/>
      <c r="F269" s="27"/>
      <c r="H269" s="23"/>
      <c r="I269" s="20"/>
      <c r="J269" s="23"/>
    </row>
    <row r="270">
      <c r="B270" s="27"/>
      <c r="C270" s="20"/>
      <c r="D270" s="27"/>
      <c r="E270" s="20"/>
      <c r="F270" s="27"/>
      <c r="H270" s="23"/>
      <c r="I270" s="20"/>
      <c r="J270" s="23"/>
    </row>
    <row r="271">
      <c r="A271" s="9"/>
      <c r="B271" s="32"/>
      <c r="C271" s="20"/>
      <c r="D271" s="32"/>
      <c r="E271" s="20"/>
      <c r="F271" s="27"/>
      <c r="H271" s="20"/>
      <c r="I271" s="20"/>
      <c r="J271" s="20"/>
    </row>
    <row r="272">
      <c r="B272" s="32"/>
      <c r="C272" s="20"/>
      <c r="D272" s="32"/>
      <c r="E272" s="20"/>
      <c r="F272" s="27"/>
      <c r="H272" s="20"/>
      <c r="I272" s="20"/>
      <c r="J272" s="20"/>
    </row>
    <row r="273">
      <c r="B273" s="27"/>
      <c r="C273" s="20"/>
      <c r="D273" s="27"/>
      <c r="E273" s="20"/>
      <c r="F273" s="23"/>
      <c r="H273" s="23"/>
      <c r="I273" s="20"/>
      <c r="J273" s="23"/>
    </row>
    <row r="274">
      <c r="E274" s="20"/>
      <c r="F274" s="23"/>
      <c r="H274" s="23"/>
      <c r="I274" s="20"/>
      <c r="J274" s="23"/>
    </row>
    <row r="275">
      <c r="B275" s="23"/>
      <c r="C275" s="20"/>
      <c r="D275" s="23"/>
      <c r="E275" s="20"/>
      <c r="F275" s="27"/>
      <c r="H275" s="23"/>
      <c r="I275" s="20"/>
      <c r="J275" s="23"/>
    </row>
    <row r="276">
      <c r="B276" s="27"/>
      <c r="C276" s="20"/>
      <c r="D276" s="27"/>
      <c r="E276" s="20"/>
      <c r="F276" s="27"/>
      <c r="H276" s="20"/>
      <c r="I276" s="20"/>
      <c r="J276" s="20"/>
    </row>
    <row r="277">
      <c r="B277" s="27"/>
      <c r="C277" s="20"/>
      <c r="D277" s="27"/>
      <c r="E277" s="20"/>
      <c r="F277" s="27"/>
      <c r="G277" s="67"/>
    </row>
    <row r="278">
      <c r="B278" s="27"/>
      <c r="C278" s="20"/>
      <c r="D278" s="27"/>
      <c r="E278" s="20"/>
      <c r="F278" s="27"/>
      <c r="G278" s="67"/>
    </row>
    <row r="279">
      <c r="B279" s="27"/>
      <c r="C279" s="20"/>
      <c r="D279" s="27"/>
      <c r="F279" s="23"/>
      <c r="G279" s="9"/>
      <c r="I279" s="20"/>
    </row>
    <row r="280">
      <c r="A280" s="67"/>
      <c r="B280" s="32"/>
      <c r="C280" s="20"/>
      <c r="D280" s="32"/>
      <c r="E280" s="20"/>
      <c r="F280" s="23"/>
      <c r="G280" s="9"/>
      <c r="H280" s="20"/>
      <c r="I280" s="20"/>
      <c r="J280" s="20"/>
    </row>
    <row r="281">
      <c r="A281" s="67"/>
      <c r="B281" s="32"/>
      <c r="C281" s="20"/>
      <c r="D281" s="32"/>
      <c r="E281" s="20"/>
      <c r="F281" s="23"/>
      <c r="G281" s="9"/>
      <c r="H281" s="20"/>
      <c r="I281" s="20"/>
      <c r="J281" s="20"/>
    </row>
    <row r="282">
      <c r="A282" s="9"/>
      <c r="B282" s="32"/>
      <c r="C282" s="20"/>
      <c r="D282" s="32"/>
      <c r="E282" s="20"/>
      <c r="F282" s="23"/>
      <c r="G282" s="9"/>
      <c r="H282" s="20"/>
      <c r="I282" s="20"/>
      <c r="J282" s="20"/>
    </row>
    <row r="283">
      <c r="B283" s="32"/>
      <c r="C283" s="20"/>
      <c r="D283" s="32"/>
      <c r="E283" s="20"/>
      <c r="F283" s="23"/>
      <c r="G283" s="9"/>
      <c r="H283" s="27"/>
      <c r="I283" s="20"/>
      <c r="J283" s="27"/>
    </row>
    <row r="284">
      <c r="E284" s="20"/>
      <c r="F284" s="23"/>
      <c r="G284" s="9"/>
      <c r="H284" s="20"/>
      <c r="I284" s="20"/>
      <c r="J284" s="20"/>
    </row>
    <row r="285">
      <c r="B285" s="20"/>
      <c r="C285" s="20"/>
      <c r="D285" s="23"/>
      <c r="E285" s="20"/>
      <c r="F285" s="23"/>
      <c r="H285" s="23"/>
      <c r="I285" s="20"/>
      <c r="J285" s="23"/>
    </row>
    <row r="286">
      <c r="B286" s="23"/>
      <c r="C286" s="20"/>
      <c r="D286" s="23"/>
      <c r="E286" s="20"/>
      <c r="F286" s="23"/>
    </row>
    <row r="287">
      <c r="B287" s="23"/>
      <c r="C287" s="20"/>
      <c r="D287" s="23"/>
      <c r="F287" s="23"/>
      <c r="G287" s="67"/>
    </row>
    <row r="288">
      <c r="B288" s="23"/>
      <c r="D288" s="23"/>
      <c r="E288" s="20"/>
      <c r="F288" s="27"/>
      <c r="G288" s="9"/>
      <c r="H288" s="20"/>
      <c r="I288" s="20"/>
      <c r="J288" s="20"/>
    </row>
    <row r="289">
      <c r="B289" s="27"/>
      <c r="C289" s="20"/>
      <c r="D289" s="27"/>
      <c r="E289" s="20"/>
      <c r="F289" s="27"/>
      <c r="G289" s="9"/>
      <c r="H289" s="20"/>
      <c r="I289" s="20"/>
      <c r="J289" s="20"/>
    </row>
    <row r="290">
      <c r="B290" s="27"/>
      <c r="C290" s="20"/>
      <c r="D290" s="27"/>
      <c r="E290" s="20"/>
      <c r="F290" s="23"/>
      <c r="G290" s="9"/>
      <c r="H290" s="20"/>
      <c r="I290" s="20"/>
      <c r="J290" s="20"/>
    </row>
    <row r="291">
      <c r="B291" s="27"/>
      <c r="C291" s="20"/>
      <c r="D291" s="27"/>
      <c r="E291" s="20"/>
      <c r="G291" s="9"/>
      <c r="H291" s="20"/>
      <c r="I291" s="20"/>
      <c r="J291" s="20"/>
    </row>
    <row r="293">
      <c r="A293" s="67"/>
      <c r="G293" s="67"/>
    </row>
    <row r="294">
      <c r="E294" s="20"/>
      <c r="F294" s="32"/>
      <c r="H294" s="23"/>
      <c r="I294" s="20"/>
      <c r="J294" s="23"/>
    </row>
    <row r="295">
      <c r="B295" s="32"/>
      <c r="C295" s="20"/>
      <c r="D295" s="32"/>
      <c r="E295" s="20"/>
      <c r="H295" s="23"/>
      <c r="I295" s="20"/>
      <c r="J295" s="23"/>
    </row>
    <row r="296">
      <c r="A296" s="9"/>
      <c r="B296" s="27"/>
      <c r="C296" s="20"/>
      <c r="D296" s="27"/>
      <c r="E296" s="20"/>
    </row>
    <row r="297">
      <c r="B297" s="32"/>
      <c r="C297" s="20"/>
      <c r="D297" s="32"/>
      <c r="E297" s="20"/>
      <c r="G297" s="9"/>
    </row>
    <row r="298">
      <c r="A298" s="9"/>
      <c r="B298" s="27"/>
      <c r="C298" s="20"/>
      <c r="D298" s="27"/>
      <c r="E298" s="20"/>
      <c r="H298" s="23"/>
      <c r="I298" s="20"/>
      <c r="J298" s="23"/>
    </row>
    <row r="299">
      <c r="A299" s="67"/>
      <c r="E299" s="20"/>
      <c r="H299" s="23"/>
      <c r="I299" s="20"/>
      <c r="J299" s="23"/>
    </row>
    <row r="300">
      <c r="B300" s="27"/>
      <c r="C300" s="20"/>
      <c r="D300" s="27"/>
      <c r="E300" s="20"/>
      <c r="F300" s="20"/>
      <c r="H300" s="23"/>
      <c r="I300" s="20"/>
      <c r="J300" s="23"/>
    </row>
    <row r="301">
      <c r="B301" s="27"/>
      <c r="C301" s="20"/>
      <c r="D301" s="27"/>
      <c r="H301" s="23"/>
      <c r="I301" s="20"/>
      <c r="J301" s="23"/>
    </row>
    <row r="302">
      <c r="B302" s="20"/>
      <c r="C302" s="20"/>
      <c r="D302" s="20"/>
      <c r="E302" s="20"/>
      <c r="F302" s="32"/>
    </row>
    <row r="303">
      <c r="B303" s="27"/>
      <c r="C303" s="20"/>
      <c r="D303" s="27"/>
      <c r="E303" s="20"/>
      <c r="F303" s="27"/>
    </row>
    <row r="304">
      <c r="B304" s="27"/>
      <c r="C304" s="20"/>
      <c r="D304" s="27"/>
      <c r="E304" s="20"/>
      <c r="F304" s="32"/>
    </row>
    <row r="305">
      <c r="B305" s="23"/>
      <c r="C305" s="20"/>
      <c r="D305" s="23"/>
      <c r="E305" s="20"/>
      <c r="F305" s="27"/>
    </row>
    <row r="306">
      <c r="E306" s="20"/>
      <c r="F306" s="32"/>
    </row>
    <row r="307">
      <c r="B307" s="27"/>
      <c r="D307" s="27"/>
      <c r="E307" s="20"/>
      <c r="F307" s="32"/>
    </row>
    <row r="308">
      <c r="A308" s="9"/>
      <c r="C308" s="20"/>
      <c r="E308" s="20"/>
    </row>
    <row r="309">
      <c r="E309" s="20"/>
    </row>
    <row r="310">
      <c r="B310" s="27"/>
      <c r="C310" s="20"/>
      <c r="D310" s="27"/>
      <c r="E310" s="20"/>
    </row>
    <row r="311">
      <c r="B311" s="27"/>
      <c r="C311" s="20"/>
      <c r="D311" s="27"/>
      <c r="E311" s="20"/>
      <c r="F311" s="32"/>
    </row>
    <row r="312">
      <c r="B312" s="27"/>
      <c r="C312" s="20"/>
      <c r="D312" s="27"/>
      <c r="E312" s="20"/>
    </row>
    <row r="314">
      <c r="A314" s="9"/>
      <c r="C314" s="20"/>
    </row>
    <row r="315">
      <c r="C315" s="20"/>
      <c r="E315" s="20"/>
      <c r="F315" s="20"/>
    </row>
    <row r="316">
      <c r="B316" s="27"/>
      <c r="C316" s="20"/>
      <c r="D316" s="27"/>
      <c r="E316" s="20"/>
      <c r="F316" s="20"/>
    </row>
    <row r="317">
      <c r="A317" s="9"/>
      <c r="C317" s="20"/>
      <c r="E317" s="20"/>
      <c r="F317" s="20"/>
    </row>
    <row r="319">
      <c r="A319" s="9"/>
    </row>
    <row r="320">
      <c r="A320" s="67"/>
    </row>
    <row r="321">
      <c r="B321" s="27"/>
      <c r="C321" s="20"/>
      <c r="D321" s="27"/>
    </row>
    <row r="322">
      <c r="A322" s="150"/>
      <c r="B322" s="27"/>
      <c r="C322" s="20"/>
      <c r="D322" s="27"/>
    </row>
    <row r="323">
      <c r="B323" s="27"/>
      <c r="C323" s="20"/>
      <c r="D323" s="27"/>
    </row>
    <row r="324">
      <c r="B324" s="27"/>
      <c r="C324" s="20"/>
      <c r="D324" s="27"/>
    </row>
    <row r="325">
      <c r="A325" s="9"/>
      <c r="B325" s="27"/>
      <c r="C325" s="20"/>
      <c r="D325" s="27"/>
    </row>
    <row r="326">
      <c r="B326" s="27"/>
      <c r="C326" s="20"/>
      <c r="D326" s="27"/>
    </row>
    <row r="327">
      <c r="B327" s="27"/>
      <c r="C327" s="20"/>
      <c r="D327" s="27"/>
    </row>
    <row r="328">
      <c r="B328" s="27"/>
      <c r="C328" s="20"/>
      <c r="D328" s="27"/>
    </row>
    <row r="329">
      <c r="B329" s="27"/>
      <c r="C329" s="20"/>
      <c r="D329" s="27"/>
    </row>
    <row r="330">
      <c r="C330" s="20"/>
      <c r="D330" s="32"/>
    </row>
    <row r="331">
      <c r="A331" s="67"/>
      <c r="B331" s="158"/>
      <c r="C331" s="160"/>
      <c r="D331" s="158"/>
    </row>
    <row r="332">
      <c r="B332" s="23"/>
      <c r="D332" s="23"/>
    </row>
    <row r="333">
      <c r="B333" s="27"/>
      <c r="C333" s="20"/>
      <c r="D333" s="27"/>
    </row>
    <row r="334">
      <c r="B334" s="27"/>
      <c r="C334" s="20"/>
      <c r="D334" s="27"/>
    </row>
    <row r="335">
      <c r="B335" s="27"/>
      <c r="C335" s="20"/>
      <c r="D335" s="27"/>
    </row>
    <row r="336">
      <c r="B336" s="27"/>
      <c r="C336" s="20"/>
      <c r="D336" s="27"/>
    </row>
    <row r="337">
      <c r="A337" s="67"/>
      <c r="B337" s="158"/>
      <c r="C337" s="160"/>
      <c r="D337" s="158"/>
    </row>
    <row r="338">
      <c r="B338" s="23"/>
      <c r="D338" s="23"/>
    </row>
    <row r="339">
      <c r="B339" s="27"/>
      <c r="D339" s="23"/>
    </row>
    <row r="340">
      <c r="B340" s="27"/>
      <c r="C340" s="20"/>
      <c r="D340" s="27"/>
    </row>
    <row r="341">
      <c r="B341" s="27"/>
      <c r="C341" s="20"/>
      <c r="D341" s="27"/>
    </row>
    <row r="342">
      <c r="B342" s="27"/>
      <c r="C342" s="20"/>
      <c r="D342" s="27"/>
    </row>
    <row r="343">
      <c r="B343" s="27"/>
      <c r="C343" s="20"/>
      <c r="D343" s="27"/>
    </row>
    <row r="344">
      <c r="A344" s="67"/>
      <c r="B344" s="146"/>
      <c r="C344" s="160"/>
      <c r="D344" s="146"/>
    </row>
    <row r="345">
      <c r="B345" s="23"/>
      <c r="D345" s="23"/>
    </row>
    <row r="346">
      <c r="A346" s="9"/>
      <c r="C346" s="20"/>
    </row>
    <row r="347">
      <c r="B347" s="32"/>
      <c r="C347" s="20"/>
      <c r="D347" s="32"/>
    </row>
    <row r="348">
      <c r="B348" s="9"/>
      <c r="C348" s="20"/>
      <c r="D348" s="9"/>
    </row>
  </sheetData>
  <mergeCells count="2">
    <mergeCell ref="Q13:R13"/>
    <mergeCell ref="F97:G97"/>
  </mergeCells>
  <dataValidations>
    <dataValidation type="list" allowBlank="1" showErrorMessage="1" sqref="B1 D1 F1 H1">
      <formula1>"Feito,Não,Atual"</formula1>
    </dataValidation>
    <dataValidation type="custom" allowBlank="1" showDropDown="1" sqref="K29:K37 M29:N37">
      <formula1>AND(ISNUMBER(K29),(NOT(OR(NOT(ISERROR(DATEVALUE(K29))), AND(ISNUMBER(K29), LEFT(CELL("format", K29))="D")))))</formula1>
    </dataValidation>
  </dataValidations>
  <drawing r:id="rId2"/>
  <legacyDrawing r:id="rId3"/>
  <tableParts count="2">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2" width="18.0"/>
    <col customWidth="1" min="3" max="3" width="12.75"/>
    <col customWidth="1" min="4" max="4" width="15.63"/>
    <col customWidth="1" min="5" max="5" width="18.63"/>
    <col customWidth="1" min="6" max="6" width="16.0"/>
    <col customWidth="1" min="7" max="7" width="20.13"/>
    <col customWidth="1" min="8" max="8" width="15.63"/>
    <col customWidth="1" min="9" max="9" width="19.63"/>
    <col customWidth="1" min="10" max="10" width="22.5"/>
    <col customWidth="1" min="11" max="11" width="20.75"/>
    <col customWidth="1" min="12" max="12" width="22.88"/>
    <col customWidth="1" min="13" max="13" width="34.75"/>
    <col customWidth="1" min="14" max="14" width="21.0"/>
    <col customWidth="1" min="15" max="15" width="30.88"/>
    <col customWidth="1" min="16" max="16" width="21.38"/>
    <col customWidth="1" min="17" max="17" width="22.75"/>
    <col customWidth="1" min="18" max="18" width="20.0"/>
    <col customWidth="1" min="20" max="20" width="20.63"/>
    <col customWidth="1" min="21" max="21" width="22.25"/>
  </cols>
  <sheetData>
    <row r="1">
      <c r="A1" s="1"/>
      <c r="B1" s="2" t="s">
        <v>1</v>
      </c>
      <c r="C1" s="3">
        <v>46058.0</v>
      </c>
      <c r="D1" s="2" t="s">
        <v>2</v>
      </c>
      <c r="E1" s="4">
        <v>46247.0</v>
      </c>
      <c r="F1" s="2" t="s">
        <v>3</v>
      </c>
      <c r="G1" s="3">
        <v>46058.0</v>
      </c>
      <c r="H1" s="2" t="s">
        <v>3</v>
      </c>
      <c r="I1" s="3">
        <v>46058.0</v>
      </c>
      <c r="J1" s="6" t="s">
        <v>4</v>
      </c>
      <c r="K1" s="8">
        <f t="array" ref="K1">IFERROR(INDEX(Indicador_Ações[], MATCH($J$2, Indicador_Ações[Stock], 0), MATCH(Indicador_Ações[[#HEADERS],[ult_balanco_processado]], Indicador_Ações[#HEADERS], 0)),"")</f>
        <v>46203</v>
      </c>
      <c r="L1" s="9"/>
      <c r="M1" s="9"/>
      <c r="N1" s="9"/>
      <c r="O1" s="9"/>
      <c r="P1" s="9"/>
      <c r="Q1" s="9"/>
    </row>
    <row r="2">
      <c r="A2" s="10" t="s">
        <v>5</v>
      </c>
      <c r="B2" s="9"/>
      <c r="D2" s="9"/>
      <c r="J2" s="6" t="s">
        <v>6</v>
      </c>
      <c r="K2" s="12">
        <f>IFERROR(__xludf.DUMMYFUNCTION("(GOOGLEFINANCE(""BVMF:"" &amp; J2))"),6.83)</f>
        <v>6.83</v>
      </c>
      <c r="L2" s="13">
        <f t="array" ref="L2">IFERROR(INDEX(Indicador_Ações[], MATCH($J$2, Indicador_Ações[Stock], 0), MATCH(Indicador_Ações[[#HEADERS],[qtd_acao]], Indicador_Ações[#HEADERS], 0)),"")</f>
        <v>1511210000</v>
      </c>
      <c r="M2" s="16" t="s">
        <v>10</v>
      </c>
    </row>
    <row r="3">
      <c r="A3" s="9" t="s">
        <v>11</v>
      </c>
      <c r="B3" s="9" t="s">
        <v>12</v>
      </c>
      <c r="C3" s="9" t="s">
        <v>13</v>
      </c>
      <c r="D3" s="9" t="s">
        <v>14</v>
      </c>
      <c r="E3" s="9" t="s">
        <v>15</v>
      </c>
      <c r="F3" s="9" t="s">
        <v>16</v>
      </c>
      <c r="G3" s="9" t="s">
        <v>17</v>
      </c>
      <c r="H3" s="9" t="s">
        <v>18</v>
      </c>
      <c r="J3" s="10" t="s">
        <v>19</v>
      </c>
      <c r="K3" s="10">
        <v>1000.0</v>
      </c>
      <c r="L3" s="20">
        <f>IFERROR(K22/K14,0)</f>
        <v>0.06035698376</v>
      </c>
      <c r="M3" s="9" t="s">
        <v>22</v>
      </c>
      <c r="N3" s="9" t="s">
        <v>21</v>
      </c>
      <c r="P3" s="21"/>
      <c r="Q3" s="22"/>
      <c r="R3" s="21"/>
      <c r="S3" s="22"/>
      <c r="T3" s="21"/>
      <c r="U3" s="22"/>
      <c r="V3" s="21"/>
    </row>
    <row r="4">
      <c r="A4" s="9" t="s">
        <v>24</v>
      </c>
      <c r="B4" s="23">
        <f>B5+B6</f>
        <v>26827910</v>
      </c>
      <c r="C4" s="20">
        <f t="shared" ref="C4:C6" si="1">IFERROR(SUM((D4/B4)-1),0)</f>
        <v>-0.01100902008</v>
      </c>
      <c r="D4" s="23">
        <f>D5+D6</f>
        <v>26532561</v>
      </c>
      <c r="E4" s="20">
        <f t="shared" ref="E4:E6" si="2">IFERROR(SUM((F4/D4)-1),0)</f>
        <v>-0.01999128542</v>
      </c>
      <c r="F4" s="23">
        <f>F5+F6</f>
        <v>26002141</v>
      </c>
      <c r="G4" s="20">
        <f t="shared" ref="G4:G6" si="3">IFERROR(SUM((H4/F4)-1),0)</f>
        <v>0.01783633894</v>
      </c>
      <c r="H4" s="23">
        <f>H5+H6</f>
        <v>26465924</v>
      </c>
      <c r="J4" s="24" t="s">
        <v>25</v>
      </c>
      <c r="K4" s="26">
        <f t="array" ref="K4">IFERROR(INDEX(Indicador_Ações[], MATCH($J$2, Indicador_Ações[Stock], 0), MATCH(Indicador_Ações[[#HEADERS],[ativo]], Indicador_Ações[#HEADERS], 0)),"")</f>
        <v>26532600000</v>
      </c>
      <c r="L4" s="20">
        <f>IFERROR(K19/K14,0)</f>
        <v>0.5376027492</v>
      </c>
      <c r="M4" s="9" t="s">
        <v>26</v>
      </c>
      <c r="N4" s="9" t="s">
        <v>27</v>
      </c>
      <c r="O4" s="27">
        <v>91430.0</v>
      </c>
      <c r="P4" s="28"/>
      <c r="Q4" s="19"/>
      <c r="R4" s="28"/>
      <c r="S4" s="19"/>
      <c r="T4" s="28"/>
      <c r="U4" s="19"/>
      <c r="V4" s="28"/>
    </row>
    <row r="5">
      <c r="A5" s="9" t="s">
        <v>28</v>
      </c>
      <c r="B5" s="27">
        <v>7025965.0</v>
      </c>
      <c r="C5" s="20">
        <f t="shared" si="1"/>
        <v>-0.09990300265</v>
      </c>
      <c r="D5" s="27">
        <v>6324050.0</v>
      </c>
      <c r="E5" s="20">
        <f t="shared" si="2"/>
        <v>0.183963283</v>
      </c>
      <c r="F5" s="27">
        <v>7487443.0</v>
      </c>
      <c r="G5" s="20">
        <f t="shared" si="3"/>
        <v>-0.03537642958</v>
      </c>
      <c r="H5" s="27">
        <v>7222564.0</v>
      </c>
      <c r="J5" s="9" t="s">
        <v>29</v>
      </c>
      <c r="K5" s="29">
        <f>K2*L2</f>
        <v>10321564300</v>
      </c>
      <c r="L5" s="20">
        <f>IFERROR(K16/K14,0)</f>
        <v>0.3371286446</v>
      </c>
      <c r="M5" s="9" t="s">
        <v>30</v>
      </c>
      <c r="N5" s="9" t="s">
        <v>32</v>
      </c>
      <c r="O5" s="32">
        <v>0.0</v>
      </c>
      <c r="P5" s="33"/>
      <c r="Q5" s="19"/>
      <c r="R5" s="27"/>
      <c r="S5" s="19"/>
      <c r="T5" s="33"/>
      <c r="U5" s="19"/>
      <c r="V5" s="36"/>
    </row>
    <row r="6">
      <c r="A6" s="9" t="s">
        <v>33</v>
      </c>
      <c r="B6" s="27">
        <v>1.9801945E7</v>
      </c>
      <c r="C6" s="20">
        <f t="shared" si="1"/>
        <v>0.02053161949</v>
      </c>
      <c r="D6" s="27">
        <v>2.0208511E7</v>
      </c>
      <c r="E6" s="20">
        <f t="shared" si="2"/>
        <v>-0.08381681362</v>
      </c>
      <c r="F6" s="27">
        <v>1.8514698E7</v>
      </c>
      <c r="G6" s="20">
        <f t="shared" si="3"/>
        <v>0.03935586743</v>
      </c>
      <c r="H6" s="27">
        <v>1.924336E7</v>
      </c>
      <c r="J6" s="24" t="s">
        <v>34</v>
      </c>
      <c r="K6" s="26">
        <f>SUM(K5,K10)</f>
        <v>12909144300</v>
      </c>
      <c r="L6" s="20">
        <f>IFERROR(K17/K14,0)</f>
        <v>0.3929336413</v>
      </c>
      <c r="M6" s="9" t="s">
        <v>37</v>
      </c>
      <c r="N6" s="9" t="s">
        <v>39</v>
      </c>
      <c r="O6" s="23">
        <f>SUM(O4:O5)</f>
        <v>91430</v>
      </c>
      <c r="P6" s="33"/>
      <c r="Q6" s="19"/>
      <c r="R6" s="27"/>
      <c r="S6" s="19"/>
      <c r="T6" s="33"/>
      <c r="U6" s="19"/>
      <c r="V6" s="36"/>
    </row>
    <row r="7">
      <c r="B7" s="27"/>
      <c r="C7" s="20"/>
      <c r="D7" s="27"/>
      <c r="E7" s="20"/>
      <c r="F7" s="27"/>
      <c r="G7" s="20"/>
      <c r="H7" s="27"/>
      <c r="J7" s="9" t="s">
        <v>36</v>
      </c>
      <c r="K7" s="29">
        <f t="array" ref="K7">IFERROR(INDEX(Indicador_Ações[], MATCH($J$2, Indicador_Ações[Stock], 0), MATCH(Indicador_Ações[[#HEADERS],[disponibilidades]], Indicador_Ações[#HEADERS], 0)),"")</f>
        <v>4662450000</v>
      </c>
      <c r="L7" s="42">
        <f>K22/L2</f>
        <v>0.30124933</v>
      </c>
      <c r="M7" s="43" t="s">
        <v>41</v>
      </c>
      <c r="N7" s="9" t="s">
        <v>44</v>
      </c>
      <c r="O7" s="44">
        <f>ABS(SUM(B51,D51,F51,H51)/SUM(B50,D50,F50,H50))</f>
        <v>0.09688251171</v>
      </c>
      <c r="P7" s="28"/>
      <c r="Q7" s="19"/>
      <c r="R7" s="36"/>
      <c r="S7" s="19"/>
      <c r="T7" s="46"/>
      <c r="U7" s="19"/>
      <c r="V7" s="36"/>
    </row>
    <row r="8">
      <c r="A8" s="9" t="s">
        <v>42</v>
      </c>
      <c r="B8" s="27">
        <v>79524.0</v>
      </c>
      <c r="C8" s="20">
        <f t="shared" ref="C8:C11" si="4">IFERROR(SUM((D8/B8)-1),0)</f>
        <v>0.02525023892</v>
      </c>
      <c r="D8" s="27">
        <v>81532.0</v>
      </c>
      <c r="E8" s="20">
        <f t="shared" ref="E8:E11" si="5">IFERROR(SUM((F8/D8)-1),0)</f>
        <v>-0.05307118677</v>
      </c>
      <c r="F8" s="27">
        <v>77205.0</v>
      </c>
      <c r="G8" s="20">
        <f t="shared" ref="G8:G11" si="6">IFERROR(SUM((H8/F8)-1),0)</f>
        <v>0.2564341688</v>
      </c>
      <c r="H8" s="27">
        <v>97003.0</v>
      </c>
      <c r="J8" s="49" t="s">
        <v>43</v>
      </c>
      <c r="K8" s="45">
        <f t="array" ref="K8">IFERROR(INDEX(Indicador_Ações[], MATCH($J$2, Indicador_Ações[Stock], 0), MATCH(Indicador_Ações[[#HEADERS],[patrimonio_liquido]], Indicador_Ações[#HEADERS], 0)),"")</f>
        <v>12103900000</v>
      </c>
      <c r="L8" s="29">
        <f t="array" ref="L8">IFERROR(INDEX(O6*K3,0)/L2,"")</f>
        <v>0.06050118779</v>
      </c>
      <c r="M8" s="9" t="s">
        <v>46</v>
      </c>
      <c r="N8" s="9" t="s">
        <v>50</v>
      </c>
      <c r="O8" s="21">
        <f>K16*(1-O7)</f>
        <v>2296483274</v>
      </c>
      <c r="P8" s="52"/>
    </row>
    <row r="9">
      <c r="A9" s="9" t="s">
        <v>47</v>
      </c>
      <c r="B9" s="27">
        <v>54662.0</v>
      </c>
      <c r="C9" s="20">
        <f t="shared" si="4"/>
        <v>0.1042040174</v>
      </c>
      <c r="D9" s="27">
        <v>60358.0</v>
      </c>
      <c r="E9" s="20">
        <f t="shared" si="5"/>
        <v>-0.5069419133</v>
      </c>
      <c r="F9" s="27">
        <v>29760.0</v>
      </c>
      <c r="G9" s="20">
        <f t="shared" si="6"/>
        <v>-0.3715389785</v>
      </c>
      <c r="H9" s="27">
        <v>18703.0</v>
      </c>
      <c r="J9" s="51" t="s">
        <v>48</v>
      </c>
      <c r="K9" s="50">
        <f t="array" ref="K9">IFERROR(INDEX(Indicador_Ações[], MATCH($J$2, Indicador_Ações[Stock], 0), MATCH(Indicador_Ações[[#HEADERS],[divida_bruta]], Indicador_Ações[#HEADERS], 0)),"")</f>
        <v>7250030000</v>
      </c>
      <c r="L9" s="20">
        <f>IFERROR(L8/L7,0)</f>
        <v>0.2008342651</v>
      </c>
      <c r="M9" s="51" t="s">
        <v>55</v>
      </c>
      <c r="N9" s="20"/>
      <c r="O9" s="51"/>
      <c r="P9" s="52"/>
    </row>
    <row r="10">
      <c r="A10" s="9" t="s">
        <v>51</v>
      </c>
      <c r="B10" s="27">
        <v>5304820.0</v>
      </c>
      <c r="C10" s="20">
        <f t="shared" si="4"/>
        <v>-0.1324691507</v>
      </c>
      <c r="D10" s="27">
        <v>4602095.0</v>
      </c>
      <c r="E10" s="20">
        <f t="shared" si="5"/>
        <v>0.2712143057</v>
      </c>
      <c r="F10" s="27">
        <v>5850249.0</v>
      </c>
      <c r="G10" s="20">
        <f t="shared" si="6"/>
        <v>-0.04458288869</v>
      </c>
      <c r="H10" s="27">
        <v>5589428.0</v>
      </c>
      <c r="J10" s="49" t="s">
        <v>52</v>
      </c>
      <c r="K10" s="45">
        <f>K9-K7</f>
        <v>2587580000</v>
      </c>
      <c r="L10" s="23">
        <f>IFERROR(K14/K4,0)</f>
        <v>0.2842782087</v>
      </c>
      <c r="M10" s="9" t="s">
        <v>53</v>
      </c>
      <c r="N10" s="20"/>
      <c r="O10" s="21"/>
      <c r="P10" s="47"/>
      <c r="Q10" s="22"/>
      <c r="R10" s="47"/>
    </row>
    <row r="11">
      <c r="A11" s="43" t="s">
        <v>54</v>
      </c>
      <c r="B11" s="42">
        <f>SUM(B9,B10)</f>
        <v>5359482</v>
      </c>
      <c r="C11" s="48">
        <f t="shared" si="4"/>
        <v>-0.1300552927</v>
      </c>
      <c r="D11" s="42">
        <f>SUM(D9,D10)</f>
        <v>4662453</v>
      </c>
      <c r="E11" s="48">
        <f t="shared" si="5"/>
        <v>0.2611406485</v>
      </c>
      <c r="F11" s="42">
        <f>SUM(F9,F10)</f>
        <v>5880009</v>
      </c>
      <c r="G11" s="48">
        <f t="shared" si="6"/>
        <v>-0.04623768433</v>
      </c>
      <c r="H11" s="42">
        <f>SUM(H9,H10)</f>
        <v>5608131</v>
      </c>
      <c r="J11" s="9" t="s">
        <v>56</v>
      </c>
      <c r="K11" s="29">
        <f>SUM(K8,K9)</f>
        <v>19353930000</v>
      </c>
      <c r="L11" s="20">
        <f>IFERROR(K22/K8,0)</f>
        <v>0.03761192673</v>
      </c>
      <c r="M11" s="9" t="s">
        <v>57</v>
      </c>
      <c r="N11" s="20"/>
      <c r="O11" s="22"/>
      <c r="P11" s="28"/>
      <c r="Q11" s="19"/>
      <c r="R11" s="28"/>
    </row>
    <row r="12">
      <c r="A12" s="56"/>
      <c r="B12" s="57"/>
      <c r="C12" s="58"/>
      <c r="D12" s="57"/>
      <c r="E12" s="58"/>
      <c r="F12" s="57"/>
      <c r="G12" s="58"/>
      <c r="H12" s="57"/>
      <c r="J12" s="24" t="s">
        <v>58</v>
      </c>
      <c r="K12" s="59">
        <f>K9/K11</f>
        <v>0.3746024709</v>
      </c>
      <c r="L12" s="20">
        <f>O8/K11</f>
        <v>0.1186572068</v>
      </c>
      <c r="M12" s="9" t="s">
        <v>59</v>
      </c>
      <c r="N12" s="20"/>
      <c r="O12" s="51"/>
      <c r="P12" s="53"/>
      <c r="Q12" s="19"/>
      <c r="R12" s="53"/>
    </row>
    <row r="13">
      <c r="A13" s="9" t="s">
        <v>60</v>
      </c>
      <c r="B13" s="23">
        <f>SUM(B14+B15)</f>
        <v>14127448</v>
      </c>
      <c r="C13" s="20">
        <f t="shared" ref="C13:C17" si="7">IFERROR(SUM((D13/B13)-1),0)</f>
        <v>0.02132288861</v>
      </c>
      <c r="D13" s="23">
        <f>SUM(D14+D15)</f>
        <v>14428686</v>
      </c>
      <c r="E13" s="20">
        <f t="shared" ref="E13:E17" si="8">IFERROR(SUM((F13/D13)-1),0)</f>
        <v>-0.03169048103</v>
      </c>
      <c r="F13" s="23">
        <f>SUM(F14+F15)</f>
        <v>13971434</v>
      </c>
      <c r="G13" s="20">
        <f t="shared" ref="G13:G17" si="9">IFERROR(SUM((H13/F13)-1),0)</f>
        <v>0.01050064009</v>
      </c>
      <c r="H13" s="23">
        <f>SUM(H14+H15)</f>
        <v>14118143</v>
      </c>
      <c r="J13" s="10" t="s">
        <v>61</v>
      </c>
      <c r="K13" s="61"/>
      <c r="L13" s="20">
        <f>IFERROR(K22/K4,0)</f>
        <v>0.01715817523</v>
      </c>
      <c r="M13" s="9" t="s">
        <v>62</v>
      </c>
      <c r="N13" s="20"/>
    </row>
    <row r="14">
      <c r="A14" s="9" t="s">
        <v>63</v>
      </c>
      <c r="B14" s="27">
        <v>6491367.0</v>
      </c>
      <c r="C14" s="20">
        <f t="shared" si="7"/>
        <v>-0.4752911059</v>
      </c>
      <c r="D14" s="27">
        <v>3406078.0</v>
      </c>
      <c r="E14" s="20">
        <f t="shared" si="8"/>
        <v>0.7232142071</v>
      </c>
      <c r="F14" s="27">
        <v>5869402.0</v>
      </c>
      <c r="G14" s="20">
        <f t="shared" si="9"/>
        <v>0.02646709154</v>
      </c>
      <c r="H14" s="27">
        <v>6024748.0</v>
      </c>
      <c r="J14" s="24" t="s">
        <v>67</v>
      </c>
      <c r="K14" s="45">
        <f t="array" ref="K14">IFERROR(INDEX(Indicador_Ações[], MATCH($J$2, Indicador_Ações[Stock], 0), MATCH(Indicador_Ações[[#HEADERS],[receita_liquida_12m]], Indicador_Ações[#HEADERS], 0)),"")</f>
        <v>7542640000</v>
      </c>
      <c r="L14" s="23">
        <f>K6/K17</f>
        <v>4.355668936</v>
      </c>
      <c r="M14" s="9" t="s">
        <v>65</v>
      </c>
      <c r="N14" s="20"/>
    </row>
    <row r="15">
      <c r="A15" s="9" t="s">
        <v>66</v>
      </c>
      <c r="B15" s="27">
        <v>7636081.0</v>
      </c>
      <c r="C15" s="20">
        <f t="shared" si="7"/>
        <v>0.4434901882</v>
      </c>
      <c r="D15" s="27">
        <v>1.1022608E7</v>
      </c>
      <c r="E15" s="20">
        <f t="shared" si="8"/>
        <v>-0.2649623392</v>
      </c>
      <c r="F15" s="27">
        <v>8102032.0</v>
      </c>
      <c r="G15" s="20">
        <f t="shared" si="9"/>
        <v>-0.001066028868</v>
      </c>
      <c r="H15" s="27">
        <v>8093395.0</v>
      </c>
      <c r="J15" s="62" t="s">
        <v>71</v>
      </c>
      <c r="K15" s="63">
        <f t="array" ref="K15">IFERROR(INDEX(Indicador_Ações[], MATCH($J$2, Indicador_Ações[Stock], 0), MATCH(Indicador_Ações[[#HEADERS],[cagr_receita_5a]], Indicador_Ações[#HEADERS], 0)),"")</f>
        <v>8.5</v>
      </c>
      <c r="L15" s="20">
        <f>K17/K6</f>
        <v>0.2295858603</v>
      </c>
      <c r="M15" s="9" t="s">
        <v>69</v>
      </c>
      <c r="N15" s="20"/>
      <c r="R15" s="23"/>
    </row>
    <row r="16">
      <c r="A16" s="9" t="s">
        <v>70</v>
      </c>
      <c r="B16" s="27">
        <v>1369898.0</v>
      </c>
      <c r="C16" s="20">
        <f t="shared" si="7"/>
        <v>-0.08970375897</v>
      </c>
      <c r="D16" s="27">
        <v>1247013.0</v>
      </c>
      <c r="E16" s="20">
        <f t="shared" si="8"/>
        <v>-0.2422059754</v>
      </c>
      <c r="F16" s="27">
        <v>944979.0</v>
      </c>
      <c r="G16" s="20">
        <f t="shared" si="9"/>
        <v>0.05539805646</v>
      </c>
      <c r="H16" s="27">
        <v>997329.0</v>
      </c>
      <c r="J16" s="9" t="s">
        <v>76</v>
      </c>
      <c r="K16" s="29">
        <f t="array" ref="K16">IFERROR(INDEX(Indicador_Ações[], MATCH($J$2, Indicador_Ações[Stock], 0), MATCH(Indicador_Ações[[#HEADERS],[ebit_12m]], Indicador_Ações[#HEADERS], 0)),"")</f>
        <v>2542840000</v>
      </c>
      <c r="L16" s="64">
        <f>IFERROR(K10/K17,0)</f>
        <v>0.873074277</v>
      </c>
      <c r="M16" s="65" t="s">
        <v>81</v>
      </c>
      <c r="N16" s="20"/>
      <c r="R16" s="23"/>
      <c r="V16" s="32"/>
    </row>
    <row r="17">
      <c r="A17" s="9" t="s">
        <v>73</v>
      </c>
      <c r="B17" s="27">
        <v>5910965.0</v>
      </c>
      <c r="C17" s="20">
        <f t="shared" si="7"/>
        <v>0.01557275335</v>
      </c>
      <c r="D17" s="27">
        <v>6003015.0</v>
      </c>
      <c r="E17" s="20">
        <f t="shared" si="8"/>
        <v>0.05125940881</v>
      </c>
      <c r="F17" s="27">
        <v>6310726.0</v>
      </c>
      <c r="G17" s="20">
        <f t="shared" si="9"/>
        <v>0.01340717375</v>
      </c>
      <c r="H17" s="27">
        <v>6395335.0</v>
      </c>
      <c r="J17" s="9" t="s">
        <v>84</v>
      </c>
      <c r="K17" s="29">
        <f>SUM(B49,D49,F49,H49)*K3</f>
        <v>2963757000</v>
      </c>
      <c r="L17" s="66">
        <f>IFERROR(SUM(B5,D5,F5,H5)/SUM(B14,D14,F14,H14),0)</f>
        <v>1.287653428</v>
      </c>
      <c r="M17" s="65" t="s">
        <v>85</v>
      </c>
      <c r="R17" s="23"/>
      <c r="V17" s="27"/>
    </row>
    <row r="18">
      <c r="A18" s="67"/>
      <c r="B18" s="32"/>
      <c r="C18" s="20"/>
      <c r="D18" s="32"/>
      <c r="E18" s="20"/>
      <c r="F18" s="32"/>
      <c r="G18" s="20"/>
      <c r="H18" s="32"/>
      <c r="J18" s="9" t="s">
        <v>80</v>
      </c>
      <c r="K18" s="29">
        <f>SUM(B32,D32,F32,H32)*K3</f>
        <v>-3150783000</v>
      </c>
      <c r="L18" s="68">
        <f>SUM(B42,D42,F42,H42)/ABS(SUM(B45,D45,F45,H45))</f>
        <v>0.7589549145</v>
      </c>
      <c r="M18" s="69" t="s">
        <v>78</v>
      </c>
      <c r="R18" s="27"/>
    </row>
    <row r="19">
      <c r="A19" s="70" t="s">
        <v>79</v>
      </c>
      <c r="B19" s="32"/>
      <c r="C19" s="20"/>
      <c r="D19" s="32"/>
      <c r="E19" s="20"/>
      <c r="F19" s="32"/>
      <c r="G19" s="20"/>
      <c r="H19" s="32"/>
      <c r="J19" s="24" t="s">
        <v>86</v>
      </c>
      <c r="K19" s="45">
        <f>IFERROR(SUM(B33,D33,F33,H33),"")*K3</f>
        <v>4054944000</v>
      </c>
      <c r="L19" s="66">
        <f>IFERROR(K4/K8,0)</f>
        <v>2.192070324</v>
      </c>
      <c r="M19" s="65" t="s">
        <v>82</v>
      </c>
      <c r="R19" s="27"/>
      <c r="V19" s="27"/>
    </row>
    <row r="20">
      <c r="A20" s="72" t="s">
        <v>48</v>
      </c>
      <c r="B20" s="32">
        <f>SUM(B17,B16)</f>
        <v>7280863</v>
      </c>
      <c r="C20" s="20">
        <f t="shared" ref="C20:C21" si="10">IFERROR(SUM((D20/B20)-1),0)</f>
        <v>-0.004235074881</v>
      </c>
      <c r="D20" s="32">
        <f>SUM(D17,D16)</f>
        <v>7250028</v>
      </c>
      <c r="E20" s="20">
        <f t="shared" ref="E20:E21" si="11">IFERROR(SUM((F20/D20)-1),0)</f>
        <v>0.0007830314586</v>
      </c>
      <c r="F20" s="32">
        <f>SUM(F17,F16)</f>
        <v>7255705</v>
      </c>
      <c r="G20" s="20">
        <f t="shared" ref="G20:G21" si="12">IFERROR(SUM((H20/F20)-1),0)</f>
        <v>0.01887604306</v>
      </c>
      <c r="H20" s="32">
        <f>SUM(H17,H16)</f>
        <v>7392664</v>
      </c>
      <c r="J20" s="9" t="s">
        <v>93</v>
      </c>
      <c r="K20" s="50">
        <f>IFERROR(SUM(B32,D32,F32,H32),"")*K3</f>
        <v>-3150783000</v>
      </c>
      <c r="L20" s="73">
        <f>K10/K8</f>
        <v>0.2137806823</v>
      </c>
      <c r="M20" s="65" t="s">
        <v>87</v>
      </c>
      <c r="V20" s="27"/>
    </row>
    <row r="21">
      <c r="A21" s="9" t="s">
        <v>52</v>
      </c>
      <c r="B21" s="32">
        <f>SUM(B20-B11)</f>
        <v>1921381</v>
      </c>
      <c r="C21" s="20">
        <f t="shared" si="10"/>
        <v>0.3467266513</v>
      </c>
      <c r="D21" s="32">
        <f>SUM(D20-D11)</f>
        <v>2587575</v>
      </c>
      <c r="E21" s="20">
        <f t="shared" si="11"/>
        <v>-0.4683454586</v>
      </c>
      <c r="F21" s="32">
        <f>SUM(F20-F11)</f>
        <v>1375696</v>
      </c>
      <c r="G21" s="20">
        <f t="shared" si="12"/>
        <v>0.2971855701</v>
      </c>
      <c r="H21" s="32">
        <f>SUM(H20-H11)</f>
        <v>1784533</v>
      </c>
      <c r="J21" s="62" t="s">
        <v>90</v>
      </c>
      <c r="K21" s="74">
        <f>'Indicadores_Ações'!$B$4</f>
        <v>0.04443024618</v>
      </c>
      <c r="M21" s="9" t="s">
        <v>89</v>
      </c>
      <c r="P21" s="20"/>
      <c r="V21" s="27"/>
    </row>
    <row r="22">
      <c r="C22" s="20"/>
      <c r="E22" s="20"/>
      <c r="G22" s="20"/>
      <c r="J22" s="43" t="s">
        <v>96</v>
      </c>
      <c r="K22" s="77">
        <f t="array" ref="K22">IFERROR(INDEX(Indicador_Ações[], MATCH($J$2, Indicador_Ações[Stock], 0), MATCH(Indicador_Ações[[#HEADERS],[lucro_liquido_12m]], Indicador_Ações[#HEADERS], 0)),"")</f>
        <v>455251000</v>
      </c>
      <c r="L22" s="23">
        <f>'Indicadores_Ações'!$B$3</f>
        <v>0.139</v>
      </c>
      <c r="M22" s="9" t="s">
        <v>91</v>
      </c>
      <c r="P22" s="23"/>
      <c r="Q22" s="20"/>
      <c r="V22" s="27"/>
    </row>
    <row r="23">
      <c r="A23" s="9" t="s">
        <v>92</v>
      </c>
      <c r="B23" s="23">
        <f>B4-B13</f>
        <v>12700462</v>
      </c>
      <c r="C23" s="20">
        <f>IFERROR(SUM((D23/B23)-1),0)</f>
        <v>-0.04697364553</v>
      </c>
      <c r="D23" s="23">
        <f>D4-D13</f>
        <v>12103875</v>
      </c>
      <c r="E23" s="20">
        <f>IFERROR(SUM((F23/D23)-1),0)</f>
        <v>-0.006045006248</v>
      </c>
      <c r="F23" s="23">
        <f>F4-F13</f>
        <v>12030707</v>
      </c>
      <c r="G23" s="20">
        <f>IFERROR(SUM((H23/F23)-1),0)</f>
        <v>0.02635539208</v>
      </c>
      <c r="H23" s="23">
        <f>H4-H13</f>
        <v>12347781</v>
      </c>
      <c r="J23" s="83" t="s">
        <v>109</v>
      </c>
      <c r="K23" s="29">
        <f>SUM(B52,D52,F52,H52)*K3</f>
        <v>2079568000</v>
      </c>
      <c r="L23" s="75">
        <f>K24</f>
        <v>0.73</v>
      </c>
      <c r="M23" s="9" t="s">
        <v>95</v>
      </c>
      <c r="P23" s="23"/>
      <c r="Q23" s="20"/>
      <c r="V23" s="32"/>
    </row>
    <row r="24">
      <c r="J24" s="24" t="s">
        <v>100</v>
      </c>
      <c r="K24" s="86">
        <f t="array" ref="K24">IFERROR(INDEX(Indicador_Ações[], MATCH($J$2, Indicador_Ações[Stock], 0), MATCH(Indicador_Ações[[#HEADERS],[beta_ibov_3a]], Indicador_Ações[#HEADERS], 0)),"")</f>
        <v>0.73</v>
      </c>
      <c r="L24" s="23">
        <f>L22+0.02</f>
        <v>0.159</v>
      </c>
      <c r="M24" s="9" t="s">
        <v>98</v>
      </c>
      <c r="P24" s="23"/>
      <c r="Q24" s="20"/>
      <c r="V24" s="32"/>
    </row>
    <row r="25">
      <c r="A25" s="9" t="s">
        <v>99</v>
      </c>
      <c r="B25" s="27">
        <v>0.0</v>
      </c>
      <c r="C25" s="20">
        <f t="shared" ref="C25:C27" si="13">IFERROR(SUM((D25/B25)-1),0)</f>
        <v>0</v>
      </c>
      <c r="D25" s="27">
        <v>0.0</v>
      </c>
      <c r="E25" s="20">
        <f t="shared" ref="E25:E27" si="14">IFERROR(SUM((F25/D25)-1),0)</f>
        <v>0</v>
      </c>
      <c r="F25" s="27">
        <v>0.0</v>
      </c>
      <c r="G25" s="20">
        <f t="shared" ref="G25:G27" si="15">IFERROR(SUM((H25/F25)-1),0)</f>
        <v>0</v>
      </c>
      <c r="H25" s="27">
        <v>0.0</v>
      </c>
      <c r="L25" s="94">
        <f>L22+L23*(L24-L22)</f>
        <v>0.1536</v>
      </c>
      <c r="M25" s="10" t="s">
        <v>101</v>
      </c>
      <c r="V25" s="27"/>
    </row>
    <row r="26">
      <c r="A26" s="9" t="s">
        <v>102</v>
      </c>
      <c r="B26" s="27">
        <v>6088560.0</v>
      </c>
      <c r="C26" s="20">
        <f t="shared" si="13"/>
        <v>-0.01501668703</v>
      </c>
      <c r="D26" s="27">
        <v>5997130.0</v>
      </c>
      <c r="E26" s="20">
        <f t="shared" si="14"/>
        <v>-0.2498346709</v>
      </c>
      <c r="F26" s="27">
        <v>4498839.0</v>
      </c>
      <c r="G26" s="20">
        <f t="shared" si="15"/>
        <v>0.3533625009</v>
      </c>
      <c r="H26" s="27">
        <v>6088560.0</v>
      </c>
      <c r="J26" s="22"/>
      <c r="K26" s="22"/>
      <c r="L26" s="22"/>
      <c r="M26" s="22"/>
      <c r="N26" s="22"/>
      <c r="O26" s="27"/>
      <c r="P26" s="20"/>
      <c r="Q26" s="22"/>
      <c r="R26" s="22"/>
    </row>
    <row r="27" ht="22.5" customHeight="1">
      <c r="A27" s="9" t="s">
        <v>113</v>
      </c>
      <c r="B27" s="27">
        <v>353621.0</v>
      </c>
      <c r="C27" s="20">
        <f t="shared" si="13"/>
        <v>-1.425848578</v>
      </c>
      <c r="D27" s="27">
        <v>-150589.0</v>
      </c>
      <c r="E27" s="20">
        <f t="shared" si="14"/>
        <v>-9.638645585</v>
      </c>
      <c r="F27" s="27">
        <v>1300885.0</v>
      </c>
      <c r="G27" s="20">
        <f t="shared" si="15"/>
        <v>-1</v>
      </c>
      <c r="H27" s="27">
        <v>0.0</v>
      </c>
      <c r="J27" s="82" t="s">
        <v>104</v>
      </c>
      <c r="K27" s="82" t="s">
        <v>105</v>
      </c>
      <c r="L27" s="82" t="s">
        <v>11</v>
      </c>
      <c r="M27" s="82" t="s">
        <v>106</v>
      </c>
      <c r="N27" s="82" t="s">
        <v>107</v>
      </c>
      <c r="O27" s="84" t="s">
        <v>108</v>
      </c>
      <c r="P27" s="20"/>
      <c r="Q27" s="85" t="s">
        <v>11</v>
      </c>
      <c r="R27" s="82" t="s">
        <v>110</v>
      </c>
      <c r="V27" s="23"/>
    </row>
    <row r="28" ht="22.5" customHeight="1">
      <c r="A28" s="80"/>
      <c r="B28" s="80"/>
      <c r="C28" s="80"/>
      <c r="D28" s="80"/>
      <c r="E28" s="80"/>
      <c r="F28" s="80"/>
      <c r="G28" s="80"/>
      <c r="H28" s="80"/>
      <c r="J28" s="87" t="s">
        <v>112</v>
      </c>
      <c r="K28" s="88">
        <f>K2</f>
        <v>6.83</v>
      </c>
      <c r="L28" s="89">
        <v>1.0</v>
      </c>
      <c r="M28" s="90">
        <f>K33</f>
        <v>1180945000</v>
      </c>
      <c r="N28" s="91"/>
      <c r="O28" s="92">
        <v>6.0</v>
      </c>
      <c r="P28" s="20"/>
      <c r="Q28" s="93">
        <v>0.0</v>
      </c>
      <c r="R28" s="95">
        <f>-K6</f>
        <v>-12909144300</v>
      </c>
      <c r="T28" s="19"/>
      <c r="V28" s="27"/>
    </row>
    <row r="29" ht="22.5" customHeight="1">
      <c r="A29" s="81" t="s">
        <v>103</v>
      </c>
      <c r="J29" s="97" t="s">
        <v>10</v>
      </c>
      <c r="K29" s="98">
        <f>L2</f>
        <v>1511210000</v>
      </c>
      <c r="L29" s="99">
        <v>2.0</v>
      </c>
      <c r="M29" s="100">
        <f t="shared" ref="M29:M34" si="16">M28*(1+O28/100)</f>
        <v>1251801700</v>
      </c>
      <c r="N29" s="100">
        <f>M29/(1+K34)^L28</f>
        <v>1085126300</v>
      </c>
      <c r="O29" s="92">
        <v>6.0</v>
      </c>
      <c r="P29" s="20"/>
      <c r="Q29" s="93">
        <v>1.0</v>
      </c>
      <c r="R29" s="101">
        <f t="shared" ref="R29:R33" si="17">M29</f>
        <v>1251801700</v>
      </c>
      <c r="T29" s="23"/>
      <c r="V29" s="27"/>
    </row>
    <row r="30" ht="22.5" customHeight="1">
      <c r="A30" s="9" t="s">
        <v>111</v>
      </c>
      <c r="B30" s="9" t="s">
        <v>12</v>
      </c>
      <c r="C30" s="9" t="s">
        <v>13</v>
      </c>
      <c r="D30" s="9" t="s">
        <v>14</v>
      </c>
      <c r="E30" s="9" t="s">
        <v>15</v>
      </c>
      <c r="F30" s="9" t="s">
        <v>16</v>
      </c>
      <c r="G30" s="9" t="s">
        <v>17</v>
      </c>
      <c r="H30" s="9" t="s">
        <v>18</v>
      </c>
      <c r="J30" s="87" t="s">
        <v>116</v>
      </c>
      <c r="K30" s="88">
        <f>K5</f>
        <v>10321564300</v>
      </c>
      <c r="L30" s="89">
        <v>3.0</v>
      </c>
      <c r="M30" s="100">
        <f t="shared" si="16"/>
        <v>1326909802</v>
      </c>
      <c r="N30" s="90">
        <f>M30/(1+K34)^L29</f>
        <v>997082072</v>
      </c>
      <c r="O30" s="92">
        <v>6.0</v>
      </c>
      <c r="Q30" s="93">
        <v>2.0</v>
      </c>
      <c r="R30" s="101">
        <f t="shared" si="17"/>
        <v>1326909802</v>
      </c>
    </row>
    <row r="31" ht="22.5" customHeight="1">
      <c r="A31" s="72" t="s">
        <v>123</v>
      </c>
      <c r="B31" s="27">
        <v>1946354.0</v>
      </c>
      <c r="C31" s="20">
        <f t="shared" ref="C31:C33" si="18">IFERROR(SUM((D31/B31)-1),0)</f>
        <v>-0.02321982538</v>
      </c>
      <c r="D31" s="27">
        <v>1901160.0</v>
      </c>
      <c r="E31" s="20">
        <f t="shared" ref="E31:E33" si="19">IFERROR(SUM((F31/D31)-1),0)</f>
        <v>-0.05101569568</v>
      </c>
      <c r="F31" s="27">
        <v>1804171.0</v>
      </c>
      <c r="G31" s="20">
        <f t="shared" ref="G31:G33" si="20">IFERROR(SUM((H31/F31)-1),0)</f>
        <v>-0.1386392975</v>
      </c>
      <c r="H31" s="27">
        <f t="shared" ref="H31:H32" si="21">IFERROR(B83- SUM(B31,D31,F31),"")</f>
        <v>1554042</v>
      </c>
      <c r="J31" s="97" t="s">
        <v>118</v>
      </c>
      <c r="K31" s="92">
        <f>SUM(O28:O36)/6</f>
        <v>6</v>
      </c>
      <c r="L31" s="99">
        <v>4.0</v>
      </c>
      <c r="M31" s="100">
        <f t="shared" si="16"/>
        <v>1406524390</v>
      </c>
      <c r="N31" s="100">
        <f>M31/(1+K34)^L30</f>
        <v>916181515.6</v>
      </c>
      <c r="O31" s="92">
        <v>6.0</v>
      </c>
      <c r="Q31" s="93">
        <v>3.0</v>
      </c>
      <c r="R31" s="101">
        <f t="shared" si="17"/>
        <v>1406524390</v>
      </c>
    </row>
    <row r="32" ht="22.5" customHeight="1">
      <c r="A32" s="9" t="s">
        <v>126</v>
      </c>
      <c r="B32" s="27">
        <v>-789461.0</v>
      </c>
      <c r="C32" s="20">
        <f t="shared" si="18"/>
        <v>0.05092968494</v>
      </c>
      <c r="D32" s="27">
        <v>-829668.0</v>
      </c>
      <c r="E32" s="20">
        <f t="shared" si="19"/>
        <v>-0.05245592213</v>
      </c>
      <c r="F32" s="27">
        <v>-786147.0</v>
      </c>
      <c r="G32" s="20">
        <f t="shared" si="20"/>
        <v>-0.05169516643</v>
      </c>
      <c r="H32" s="27">
        <f t="shared" si="21"/>
        <v>-745507</v>
      </c>
      <c r="J32" s="87" t="s">
        <v>120</v>
      </c>
      <c r="K32" s="105">
        <v>0.04</v>
      </c>
      <c r="L32" s="89">
        <v>5.0</v>
      </c>
      <c r="M32" s="100">
        <f t="shared" si="16"/>
        <v>1490915854</v>
      </c>
      <c r="N32" s="90">
        <f>M32/(1+K34)^L31</f>
        <v>841845012.6</v>
      </c>
      <c r="O32" s="92">
        <v>6.0</v>
      </c>
      <c r="P32" s="9"/>
      <c r="Q32" s="93">
        <v>4.0</v>
      </c>
      <c r="R32" s="101">
        <f t="shared" si="17"/>
        <v>1490915854</v>
      </c>
    </row>
    <row r="33" ht="22.5" customHeight="1">
      <c r="A33" s="72" t="s">
        <v>130</v>
      </c>
      <c r="B33" s="109">
        <f>B31+B32</f>
        <v>1156893</v>
      </c>
      <c r="C33" s="111">
        <f t="shared" si="18"/>
        <v>-0.07381927283</v>
      </c>
      <c r="D33" s="109">
        <f>D31+D32</f>
        <v>1071492</v>
      </c>
      <c r="E33" s="111">
        <f t="shared" si="19"/>
        <v>-0.04990051256</v>
      </c>
      <c r="F33" s="109">
        <f>F31+F32</f>
        <v>1018024</v>
      </c>
      <c r="G33" s="111">
        <f t="shared" si="20"/>
        <v>-0.2057800209</v>
      </c>
      <c r="H33" s="109">
        <f>H31+H32</f>
        <v>808535</v>
      </c>
      <c r="J33" s="112" t="s">
        <v>129</v>
      </c>
      <c r="K33" s="98">
        <f>L46</f>
        <v>1180945000</v>
      </c>
      <c r="L33" s="99">
        <v>6.0</v>
      </c>
      <c r="M33" s="100">
        <f t="shared" si="16"/>
        <v>1580370805</v>
      </c>
      <c r="N33" s="100">
        <f>M33/(1+K34)^L32</f>
        <v>773539973.4</v>
      </c>
      <c r="O33" s="92">
        <v>6.0</v>
      </c>
      <c r="Q33" s="93">
        <v>5.0</v>
      </c>
      <c r="R33" s="101">
        <f t="shared" si="17"/>
        <v>1580370805</v>
      </c>
      <c r="S33" s="107"/>
      <c r="T33" s="107"/>
      <c r="U33" s="107"/>
      <c r="V33" s="107"/>
    </row>
    <row r="34" ht="22.5" customHeight="1">
      <c r="A34" s="67" t="s">
        <v>137</v>
      </c>
      <c r="C34" s="20"/>
      <c r="E34" s="20"/>
      <c r="G34" s="20"/>
      <c r="J34" s="110" t="s">
        <v>125</v>
      </c>
      <c r="K34" s="105">
        <f>L25</f>
        <v>0.1536</v>
      </c>
      <c r="L34" s="89">
        <v>7.0</v>
      </c>
      <c r="M34" s="100">
        <f t="shared" si="16"/>
        <v>1675193053</v>
      </c>
      <c r="N34" s="90">
        <f>M34/(1+K34)^L33</f>
        <v>710777021.3</v>
      </c>
      <c r="O34" s="92"/>
      <c r="P34" s="9"/>
      <c r="Q34" s="93">
        <v>6.0</v>
      </c>
      <c r="R34" s="101">
        <f>M34+M35</f>
        <v>17011467482</v>
      </c>
      <c r="S34" s="107"/>
      <c r="T34" s="107"/>
      <c r="U34" s="107"/>
      <c r="V34" s="107"/>
    </row>
    <row r="35" ht="22.5" customHeight="1">
      <c r="A35" s="9" t="s">
        <v>140</v>
      </c>
      <c r="B35" s="27">
        <v>-138018.0</v>
      </c>
      <c r="C35" s="20">
        <f t="shared" ref="C35:C42" si="22">IFERROR(SUM((D35/B35)-1),0)</f>
        <v>0.122201452</v>
      </c>
      <c r="D35" s="27">
        <v>-154884.0</v>
      </c>
      <c r="E35" s="20">
        <f t="shared" ref="E35:E42" si="23">IFERROR(SUM((F35/D35)-1),0)</f>
        <v>-0.1664794298</v>
      </c>
      <c r="F35" s="27">
        <v>-129099.0</v>
      </c>
      <c r="G35" s="20">
        <f t="shared" ref="G35:G42" si="24">IFERROR(SUM((H35/F35)-1),0)</f>
        <v>1.200226183</v>
      </c>
      <c r="H35" s="27">
        <f t="shared" ref="H35:H36" si="25">IFERROR(B87- SUM(B35,D35,F35),"")</f>
        <v>-284047</v>
      </c>
      <c r="J35" s="97" t="s">
        <v>128</v>
      </c>
      <c r="K35" s="98">
        <f>K36/K29</f>
        <v>7.255943037</v>
      </c>
      <c r="L35" s="99" t="s">
        <v>131</v>
      </c>
      <c r="M35" s="100">
        <f>IFERROR( M34 * (1 + K32) / (K34  -K32  ), 0 )
</f>
        <v>15336274429</v>
      </c>
      <c r="N35" s="100">
        <f>M35/(1+K34)^L34</f>
        <v>5640701782</v>
      </c>
      <c r="O35" s="92"/>
      <c r="Q35" s="93" t="s">
        <v>132</v>
      </c>
      <c r="R35" s="114">
        <f>IFERROR(IRR(R28:R34),0)</f>
        <v>0.1328113849</v>
      </c>
      <c r="S35" s="107"/>
      <c r="T35" s="107"/>
      <c r="U35" s="107"/>
      <c r="V35" s="107"/>
    </row>
    <row r="36" ht="22.5" customHeight="1">
      <c r="A36" s="9" t="s">
        <v>145</v>
      </c>
      <c r="B36" s="27">
        <v>-287230.0</v>
      </c>
      <c r="C36" s="20">
        <f t="shared" si="22"/>
        <v>0.01935730947</v>
      </c>
      <c r="D36" s="27">
        <v>-292790.0</v>
      </c>
      <c r="E36" s="20">
        <f t="shared" si="23"/>
        <v>-0.02344342361</v>
      </c>
      <c r="F36" s="27">
        <v>-285926.0</v>
      </c>
      <c r="G36" s="20">
        <f t="shared" si="24"/>
        <v>0.8135496597</v>
      </c>
      <c r="H36" s="27">
        <f t="shared" si="25"/>
        <v>-518541</v>
      </c>
      <c r="J36" s="87" t="s">
        <v>136</v>
      </c>
      <c r="K36" s="88">
        <f>N36</f>
        <v>10965253677</v>
      </c>
      <c r="L36" s="116"/>
      <c r="M36" s="90"/>
      <c r="N36" s="90">
        <f>SUM(N28:N35)</f>
        <v>10965253677</v>
      </c>
      <c r="O36" s="92"/>
      <c r="Q36" s="107"/>
      <c r="R36" s="107"/>
      <c r="S36" s="107"/>
      <c r="T36" s="107"/>
      <c r="U36" s="107"/>
      <c r="V36" s="107"/>
    </row>
    <row r="37">
      <c r="A37" s="9" t="s">
        <v>151</v>
      </c>
      <c r="B37" s="20">
        <f>ABS(B36)/B31</f>
        <v>0.1475733602</v>
      </c>
      <c r="C37" s="20">
        <f t="shared" si="22"/>
        <v>0.04358927009</v>
      </c>
      <c r="D37" s="20">
        <f>ABS(D36)/D31</f>
        <v>0.1540059753</v>
      </c>
      <c r="E37" s="20">
        <f t="shared" si="23"/>
        <v>0.029054508</v>
      </c>
      <c r="F37" s="20">
        <f>ABS(F36)/F31</f>
        <v>0.1584805431</v>
      </c>
      <c r="G37" s="20">
        <f t="shared" si="24"/>
        <v>1.105447409</v>
      </c>
      <c r="H37" s="20">
        <f>ABS(H36)/H31</f>
        <v>0.333672449</v>
      </c>
      <c r="P37" s="9"/>
      <c r="Q37" s="107"/>
      <c r="R37" s="107"/>
      <c r="S37" s="107"/>
      <c r="T37" s="107"/>
      <c r="U37" s="107"/>
      <c r="V37" s="107"/>
    </row>
    <row r="38">
      <c r="A38" s="9" t="s">
        <v>154</v>
      </c>
      <c r="B38" s="27">
        <v>746.0</v>
      </c>
      <c r="C38" s="20">
        <f t="shared" si="22"/>
        <v>3.465147453</v>
      </c>
      <c r="D38" s="27">
        <v>3331.0</v>
      </c>
      <c r="E38" s="20">
        <f t="shared" si="23"/>
        <v>-0.6475532873</v>
      </c>
      <c r="F38" s="27">
        <v>1174.0</v>
      </c>
      <c r="G38" s="20">
        <f t="shared" si="24"/>
        <v>1759.287905</v>
      </c>
      <c r="H38" s="27">
        <f t="shared" ref="H38:H40" si="26">IFERROR(B90- SUM(B38,D38,F38),"")</f>
        <v>2066578</v>
      </c>
      <c r="Q38" s="107"/>
      <c r="R38" s="107"/>
      <c r="S38" s="107"/>
      <c r="T38" s="107"/>
      <c r="U38" s="107"/>
      <c r="V38" s="107"/>
    </row>
    <row r="39">
      <c r="A39" s="9" t="s">
        <v>158</v>
      </c>
      <c r="B39" s="27">
        <v>-61349.0</v>
      </c>
      <c r="C39" s="20">
        <f t="shared" si="22"/>
        <v>3.266426511</v>
      </c>
      <c r="D39" s="27">
        <v>-261741.0</v>
      </c>
      <c r="E39" s="20">
        <f t="shared" si="23"/>
        <v>-0.2224718328</v>
      </c>
      <c r="F39" s="27">
        <v>-203511.0</v>
      </c>
      <c r="G39" s="20">
        <f t="shared" si="24"/>
        <v>4.715897421</v>
      </c>
      <c r="H39" s="27">
        <f t="shared" si="26"/>
        <v>-1163248</v>
      </c>
      <c r="P39" s="9"/>
      <c r="Q39" s="107"/>
      <c r="R39" s="107"/>
      <c r="S39" s="107"/>
      <c r="T39" s="107"/>
      <c r="U39" s="107"/>
      <c r="V39" s="107"/>
    </row>
    <row r="40">
      <c r="A40" s="9" t="s">
        <v>161</v>
      </c>
      <c r="B40" s="27">
        <v>0.0</v>
      </c>
      <c r="C40" s="20">
        <f t="shared" si="22"/>
        <v>0</v>
      </c>
      <c r="D40" s="27">
        <v>0.0</v>
      </c>
      <c r="E40" s="20">
        <f t="shared" si="23"/>
        <v>0</v>
      </c>
      <c r="F40" s="27">
        <v>0.0</v>
      </c>
      <c r="G40" s="20">
        <f t="shared" si="24"/>
        <v>0</v>
      </c>
      <c r="H40" s="27">
        <f t="shared" si="26"/>
        <v>-8883</v>
      </c>
      <c r="P40" s="67"/>
    </row>
    <row r="41">
      <c r="A41" s="72" t="s">
        <v>164</v>
      </c>
      <c r="B41" s="120">
        <f>SUM(B35,B36,B39,B38,B40)</f>
        <v>-485851</v>
      </c>
      <c r="C41" s="111">
        <f t="shared" si="22"/>
        <v>0.4532932936</v>
      </c>
      <c r="D41" s="120">
        <f>SUM(D35,D36,D39,D38,D40)</f>
        <v>-706084</v>
      </c>
      <c r="E41" s="111">
        <f t="shared" si="23"/>
        <v>-0.125653605</v>
      </c>
      <c r="F41" s="120">
        <f>SUM(F35,F36,F39,F38,F40)</f>
        <v>-617362</v>
      </c>
      <c r="G41" s="111">
        <f t="shared" si="24"/>
        <v>-1.148792767</v>
      </c>
      <c r="H41" s="120">
        <f>SUM(H35,H36,H39,H38,H40)</f>
        <v>91859</v>
      </c>
      <c r="Q41" s="22"/>
      <c r="R41" s="22"/>
    </row>
    <row r="42">
      <c r="A42" s="72" t="s">
        <v>143</v>
      </c>
      <c r="B42" s="120">
        <f>SUM(B33,B41)</f>
        <v>671042</v>
      </c>
      <c r="C42" s="111">
        <f t="shared" si="22"/>
        <v>-0.4554618042</v>
      </c>
      <c r="D42" s="120">
        <f>SUM(D33,D41)</f>
        <v>365408</v>
      </c>
      <c r="E42" s="111">
        <f t="shared" si="23"/>
        <v>0.09647845696</v>
      </c>
      <c r="F42" s="120">
        <f>SUM(F33,F41)</f>
        <v>400662</v>
      </c>
      <c r="G42" s="111">
        <f t="shared" si="24"/>
        <v>1.247265775</v>
      </c>
      <c r="H42" s="120">
        <f>SUM(H33,H41)</f>
        <v>900394</v>
      </c>
      <c r="Q42" s="107"/>
      <c r="R42" s="107"/>
      <c r="T42" s="107"/>
      <c r="U42" s="107"/>
    </row>
    <row r="43">
      <c r="C43" s="20"/>
      <c r="E43" s="20"/>
      <c r="G43" s="20"/>
      <c r="J43" s="22"/>
      <c r="K43" s="19"/>
      <c r="L43" s="22"/>
      <c r="M43" s="19"/>
      <c r="Q43" s="107"/>
      <c r="R43" s="107"/>
      <c r="T43" s="107"/>
      <c r="U43" s="107"/>
    </row>
    <row r="44">
      <c r="A44" s="9" t="s">
        <v>127</v>
      </c>
      <c r="B44" s="27">
        <v>311274.0</v>
      </c>
      <c r="C44" s="20">
        <f t="shared" ref="C44:C46" si="27">IFERROR(SUM((D44/B44)-1),0)</f>
        <v>-0.1251469766</v>
      </c>
      <c r="D44" s="27">
        <v>272319.0</v>
      </c>
      <c r="E44" s="20">
        <f t="shared" ref="E44:E46" si="28">IFERROR(SUM((F44/D44)-1),0)</f>
        <v>0.3934025903</v>
      </c>
      <c r="F44" s="27">
        <v>379450.0</v>
      </c>
      <c r="G44" s="20">
        <f t="shared" ref="G44:G46" si="29">IFERROR(SUM((H44/F44)-1),0)</f>
        <v>4.486907366</v>
      </c>
      <c r="H44" s="27">
        <f t="shared" ref="H44:H45" si="30">IFERROR(B96- SUM(B44,D44,F44),"")</f>
        <v>2082007</v>
      </c>
      <c r="J44" s="27"/>
      <c r="K44" s="20"/>
      <c r="L44" s="27" t="s">
        <v>176</v>
      </c>
      <c r="Q44" s="107"/>
      <c r="R44" s="107"/>
      <c r="T44" s="107"/>
      <c r="U44" s="107"/>
    </row>
    <row r="45">
      <c r="A45" s="9" t="s">
        <v>135</v>
      </c>
      <c r="B45" s="27">
        <v>-383737.0</v>
      </c>
      <c r="C45" s="20">
        <f t="shared" si="27"/>
        <v>1.401850747</v>
      </c>
      <c r="D45" s="27">
        <v>-921679.0</v>
      </c>
      <c r="E45" s="20">
        <f t="shared" si="28"/>
        <v>-0.6412937693</v>
      </c>
      <c r="F45" s="27">
        <v>-330612.0</v>
      </c>
      <c r="G45" s="20">
        <f t="shared" si="29"/>
        <v>3.36727342</v>
      </c>
      <c r="H45" s="27">
        <f t="shared" si="30"/>
        <v>-1443873</v>
      </c>
      <c r="J45" s="27" t="s">
        <v>179</v>
      </c>
      <c r="K45" s="29">
        <f>SUM(B52,F52)/2</f>
        <v>299541</v>
      </c>
      <c r="L45" s="27" t="s">
        <v>182</v>
      </c>
      <c r="Q45" s="107"/>
      <c r="R45" s="107"/>
      <c r="T45" s="107"/>
      <c r="U45" s="107"/>
    </row>
    <row r="46">
      <c r="A46" s="72" t="s">
        <v>138</v>
      </c>
      <c r="B46" s="109">
        <f>B44+B45</f>
        <v>-72463</v>
      </c>
      <c r="C46" s="111">
        <f t="shared" si="27"/>
        <v>7.961262989</v>
      </c>
      <c r="D46" s="109">
        <f>D44+D45</f>
        <v>-649360</v>
      </c>
      <c r="E46" s="111">
        <f t="shared" si="28"/>
        <v>-1.075209437</v>
      </c>
      <c r="F46" s="109">
        <f>F44+F45</f>
        <v>48838</v>
      </c>
      <c r="G46" s="111">
        <f t="shared" si="29"/>
        <v>12.06634178</v>
      </c>
      <c r="H46" s="109">
        <f>H44+H45</f>
        <v>638134</v>
      </c>
      <c r="J46" s="134" t="s">
        <v>187</v>
      </c>
      <c r="L46" s="135">
        <f>((H52+D52)-K45)*1000</f>
        <v>1180945000</v>
      </c>
      <c r="Q46" s="107"/>
      <c r="R46" s="107"/>
      <c r="T46" s="107"/>
      <c r="U46" s="107"/>
    </row>
    <row r="47">
      <c r="C47" s="20"/>
      <c r="E47" s="20"/>
      <c r="G47" s="20"/>
      <c r="J47" s="9" t="s">
        <v>190</v>
      </c>
      <c r="K47" s="9"/>
      <c r="Q47" s="107"/>
      <c r="R47" s="107"/>
      <c r="T47" s="107"/>
      <c r="U47" s="107"/>
    </row>
    <row r="48">
      <c r="A48" s="65" t="s">
        <v>133</v>
      </c>
      <c r="B48" s="136">
        <v>-172400.0</v>
      </c>
      <c r="C48" s="73">
        <f t="shared" ref="C48:C52" si="31">IFERROR(SUM((D48/B48)-1),0)</f>
        <v>0.01450116009</v>
      </c>
      <c r="D48" s="136">
        <v>-174900.0</v>
      </c>
      <c r="E48" s="73">
        <f t="shared" ref="E48:E52" si="32">IFERROR(SUM((F48/D48)-1),0)</f>
        <v>-0.1143510577</v>
      </c>
      <c r="F48" s="136">
        <v>-154900.0</v>
      </c>
      <c r="G48" s="73">
        <f t="shared" ref="G48:G52" si="33">IFERROR(SUM((H48/F48)-1),0)</f>
        <v>-0.1991542931</v>
      </c>
      <c r="H48" s="136">
        <f>IFERROR(B100- SUM(B48,D48,F48),"")</f>
        <v>-124051</v>
      </c>
      <c r="Q48" s="107"/>
      <c r="R48" s="107"/>
    </row>
    <row r="49">
      <c r="A49" s="72" t="s">
        <v>146</v>
      </c>
      <c r="B49" s="120">
        <f>B52-B51-B46-B48</f>
        <v>843442</v>
      </c>
      <c r="C49" s="111">
        <f t="shared" si="31"/>
        <v>-0.3594011206</v>
      </c>
      <c r="D49" s="120">
        <f>D52-D51-D46-D48</f>
        <v>540308</v>
      </c>
      <c r="E49" s="111">
        <f t="shared" si="32"/>
        <v>0.02823204543</v>
      </c>
      <c r="F49" s="120">
        <f>F52-F51-F46-F48</f>
        <v>555562</v>
      </c>
      <c r="G49" s="111">
        <f t="shared" si="33"/>
        <v>0.8439796098</v>
      </c>
      <c r="H49" s="120">
        <f>H52-H51-H46-H48</f>
        <v>1024445</v>
      </c>
      <c r="Q49" s="107"/>
      <c r="R49" s="107"/>
    </row>
    <row r="50">
      <c r="A50" s="9" t="s">
        <v>150</v>
      </c>
      <c r="B50" s="23">
        <f>B42+B46</f>
        <v>598579</v>
      </c>
      <c r="C50" s="20">
        <f t="shared" si="31"/>
        <v>-1.474376816</v>
      </c>
      <c r="D50" s="23">
        <f>D42+D46</f>
        <v>-283952</v>
      </c>
      <c r="E50" s="20">
        <f t="shared" si="32"/>
        <v>-2.583014031</v>
      </c>
      <c r="F50" s="23">
        <f>F42+F46</f>
        <v>449500</v>
      </c>
      <c r="G50" s="20">
        <f t="shared" si="33"/>
        <v>2.422754171</v>
      </c>
      <c r="H50" s="23">
        <f>H42+H46</f>
        <v>1538528</v>
      </c>
      <c r="Q50" s="107"/>
      <c r="R50" s="107"/>
    </row>
    <row r="51">
      <c r="A51" s="9" t="s">
        <v>152</v>
      </c>
      <c r="B51" s="27">
        <v>-245898.0</v>
      </c>
      <c r="C51" s="20">
        <f t="shared" si="31"/>
        <v>-0.1004196862</v>
      </c>
      <c r="D51" s="27">
        <v>-221205.0</v>
      </c>
      <c r="E51" s="20">
        <f t="shared" si="32"/>
        <v>-0.08185167605</v>
      </c>
      <c r="F51" s="27">
        <v>-203099.0</v>
      </c>
      <c r="G51" s="20">
        <f t="shared" si="33"/>
        <v>-3.201463326</v>
      </c>
      <c r="H51" s="27">
        <f>IFERROR(B103- SUM(B51,D51,F51),"")</f>
        <v>447115</v>
      </c>
    </row>
    <row r="52">
      <c r="A52" s="72" t="s">
        <v>156</v>
      </c>
      <c r="B52" s="109">
        <f>B50+B51</f>
        <v>352681</v>
      </c>
      <c r="C52" s="111">
        <f t="shared" si="31"/>
        <v>-2.432334036</v>
      </c>
      <c r="D52" s="109">
        <f>D50+D51</f>
        <v>-505157</v>
      </c>
      <c r="E52" s="111">
        <f t="shared" si="32"/>
        <v>-1.487771129</v>
      </c>
      <c r="F52" s="109">
        <f>F50+F51</f>
        <v>246401</v>
      </c>
      <c r="G52" s="111">
        <f t="shared" si="33"/>
        <v>7.058583366</v>
      </c>
      <c r="H52" s="109">
        <f>H50+H51</f>
        <v>1985643</v>
      </c>
    </row>
    <row r="53">
      <c r="A53" s="80"/>
      <c r="B53" s="80"/>
      <c r="C53" s="80"/>
      <c r="D53" s="80"/>
      <c r="E53" s="80"/>
      <c r="F53" s="80"/>
      <c r="G53" s="80"/>
      <c r="H53" s="80"/>
    </row>
    <row r="54">
      <c r="A54" s="10" t="s">
        <v>160</v>
      </c>
    </row>
    <row r="55">
      <c r="A55" s="67" t="s">
        <v>162</v>
      </c>
      <c r="B55" s="9" t="s">
        <v>12</v>
      </c>
      <c r="C55" s="9" t="s">
        <v>13</v>
      </c>
      <c r="D55" s="9" t="s">
        <v>14</v>
      </c>
      <c r="E55" s="9" t="s">
        <v>15</v>
      </c>
      <c r="F55" s="9" t="s">
        <v>16</v>
      </c>
      <c r="G55" s="9" t="s">
        <v>17</v>
      </c>
      <c r="H55" s="9" t="s">
        <v>18</v>
      </c>
    </row>
    <row r="56">
      <c r="A56" s="9" t="s">
        <v>163</v>
      </c>
      <c r="B56" s="27">
        <f>B52</f>
        <v>352681</v>
      </c>
      <c r="C56" s="20">
        <f t="shared" ref="C56:C59" si="34">IFERROR(SUM((D56/B56)-1),0)</f>
        <v>2.714308398</v>
      </c>
      <c r="D56" s="27">
        <v>1309966.0</v>
      </c>
      <c r="E56" s="20">
        <f t="shared" ref="E56:E59" si="35">IFERROR(SUM((F56/D56)-1),0)</f>
        <v>0.3116691578</v>
      </c>
      <c r="F56" s="27">
        <v>1718242.0</v>
      </c>
      <c r="G56" s="20">
        <f t="shared" ref="G56:G59" si="36">IFERROR(SUM((H56/F56)-1),0)</f>
        <v>0.2102881899</v>
      </c>
      <c r="H56" s="27">
        <v>2079568.0</v>
      </c>
    </row>
    <row r="57">
      <c r="A57" s="126" t="s">
        <v>165</v>
      </c>
      <c r="B57" s="127">
        <v>752199.0</v>
      </c>
      <c r="C57" s="128">
        <f t="shared" si="34"/>
        <v>-0.01665915536</v>
      </c>
      <c r="D57" s="127">
        <v>739668.0</v>
      </c>
      <c r="E57" s="128">
        <f t="shared" si="35"/>
        <v>3.009085157</v>
      </c>
      <c r="F57" s="127">
        <v>2965392.0</v>
      </c>
      <c r="G57" s="128">
        <f t="shared" si="36"/>
        <v>0.2651619078</v>
      </c>
      <c r="H57" s="127">
        <v>3751701.0</v>
      </c>
    </row>
    <row r="58">
      <c r="A58" s="9" t="s">
        <v>173</v>
      </c>
      <c r="B58" s="27">
        <v>-99727.0</v>
      </c>
      <c r="C58" s="20">
        <f t="shared" si="34"/>
        <v>-6.718591755</v>
      </c>
      <c r="D58" s="27">
        <v>570298.0</v>
      </c>
      <c r="E58" s="20">
        <f t="shared" si="35"/>
        <v>5.033061662</v>
      </c>
      <c r="F58" s="27">
        <v>3440643.0</v>
      </c>
      <c r="G58" s="20">
        <f t="shared" si="36"/>
        <v>-0.03835329617</v>
      </c>
      <c r="H58" s="27">
        <v>3308683.0</v>
      </c>
    </row>
    <row r="59">
      <c r="A59" s="129" t="s">
        <v>169</v>
      </c>
      <c r="B59" s="130">
        <f>SUM(B57,B58)</f>
        <v>652472</v>
      </c>
      <c r="C59" s="111">
        <f t="shared" si="34"/>
        <v>1.007696882</v>
      </c>
      <c r="D59" s="130">
        <f>SUM(D57,D58)</f>
        <v>1309966</v>
      </c>
      <c r="E59" s="111">
        <f t="shared" si="35"/>
        <v>3.890229975</v>
      </c>
      <c r="F59" s="130">
        <f>SUM(F57,F58)</f>
        <v>6406035</v>
      </c>
      <c r="G59" s="111">
        <f t="shared" si="36"/>
        <v>0.102145711</v>
      </c>
      <c r="H59" s="130">
        <f>SUM(H57,H58)</f>
        <v>7060384</v>
      </c>
    </row>
    <row r="61">
      <c r="A61" s="9" t="s">
        <v>172</v>
      </c>
      <c r="B61" s="23"/>
      <c r="C61" s="20"/>
      <c r="D61" s="23"/>
      <c r="E61" s="20"/>
      <c r="F61" s="23"/>
      <c r="G61" s="20"/>
      <c r="H61" s="23"/>
    </row>
    <row r="62">
      <c r="A62" s="9" t="s">
        <v>213</v>
      </c>
      <c r="B62" s="27">
        <v>-579197.0</v>
      </c>
      <c r="C62" s="20">
        <f t="shared" ref="C62:C64" si="37">IFERROR(SUM((D62/B62)-1),0)</f>
        <v>0.958696264</v>
      </c>
      <c r="D62" s="27">
        <v>-1134471.0</v>
      </c>
      <c r="E62" s="20">
        <f t="shared" ref="E62:E64" si="38">IFERROR(SUM((F62/D62)-1),0)</f>
        <v>0.623699504</v>
      </c>
      <c r="F62" s="27">
        <v>-1842040.0</v>
      </c>
      <c r="G62" s="20">
        <f t="shared" ref="G62:G64" si="39">IFERROR(SUM((H62/F62)-1),0)</f>
        <v>0.4198486461</v>
      </c>
      <c r="H62" s="27">
        <v>-2615418.0</v>
      </c>
      <c r="J62" s="67"/>
      <c r="L62" s="20"/>
      <c r="N62" s="20"/>
      <c r="P62" s="20"/>
    </row>
    <row r="63">
      <c r="A63" s="9" t="s">
        <v>172</v>
      </c>
      <c r="B63" s="27">
        <f t="shared" ref="B63:B64" si="40">B62</f>
        <v>-579197</v>
      </c>
      <c r="C63" s="20">
        <f t="shared" si="37"/>
        <v>0.958696264</v>
      </c>
      <c r="D63" s="27">
        <f t="shared" ref="D63:D64" si="41">D62</f>
        <v>-1134471</v>
      </c>
      <c r="E63" s="20">
        <f t="shared" si="38"/>
        <v>0.623699504</v>
      </c>
      <c r="F63" s="27">
        <f t="shared" ref="F63:F64" si="42">F62</f>
        <v>-1842040</v>
      </c>
      <c r="G63" s="20">
        <f t="shared" si="39"/>
        <v>0.4198486461</v>
      </c>
      <c r="H63" s="27">
        <f t="shared" ref="H63:H64" si="43">H62</f>
        <v>-2615418</v>
      </c>
      <c r="J63" s="9"/>
      <c r="K63" s="9"/>
      <c r="N63" s="20"/>
      <c r="O63" s="20"/>
      <c r="P63" s="20"/>
      <c r="Q63" s="20"/>
    </row>
    <row r="64">
      <c r="A64" s="129" t="s">
        <v>192</v>
      </c>
      <c r="B64" s="130">
        <f t="shared" si="40"/>
        <v>-579197</v>
      </c>
      <c r="C64" s="111">
        <f t="shared" si="37"/>
        <v>0.958696264</v>
      </c>
      <c r="D64" s="130">
        <f t="shared" si="41"/>
        <v>-1134471</v>
      </c>
      <c r="E64" s="111">
        <f t="shared" si="38"/>
        <v>0.623699504</v>
      </c>
      <c r="F64" s="130">
        <f t="shared" si="42"/>
        <v>-1842040</v>
      </c>
      <c r="G64" s="111">
        <f t="shared" si="39"/>
        <v>0.4198486461</v>
      </c>
      <c r="H64" s="130">
        <f t="shared" si="43"/>
        <v>-2615418</v>
      </c>
      <c r="J64" s="22"/>
      <c r="K64" s="50"/>
      <c r="L64" s="19"/>
      <c r="N64" s="20"/>
      <c r="O64" s="23"/>
      <c r="P64" s="20"/>
      <c r="Q64" s="23"/>
    </row>
    <row r="65">
      <c r="J65" s="22"/>
      <c r="K65" s="19"/>
      <c r="L65" s="19"/>
      <c r="N65" s="20"/>
      <c r="P65" s="20"/>
    </row>
    <row r="66">
      <c r="A66" s="9" t="s">
        <v>194</v>
      </c>
      <c r="B66" s="27"/>
      <c r="C66" s="20"/>
      <c r="D66" s="23"/>
      <c r="E66" s="20"/>
      <c r="F66" s="27"/>
      <c r="G66" s="20"/>
      <c r="H66" s="27"/>
      <c r="J66" s="79"/>
      <c r="K66" s="50"/>
      <c r="L66" s="19"/>
      <c r="N66" s="20"/>
      <c r="O66" s="23"/>
      <c r="P66" s="20"/>
      <c r="Q66" s="23"/>
    </row>
    <row r="67">
      <c r="A67" s="9" t="s">
        <v>196</v>
      </c>
      <c r="B67" s="27">
        <v>241079.0</v>
      </c>
      <c r="C67" s="20">
        <f t="shared" ref="C67:C76" si="44">IFERROR(SUM((D67/B67)-1),0)</f>
        <v>0.5920590346</v>
      </c>
      <c r="D67" s="27">
        <v>383812.0</v>
      </c>
      <c r="E67" s="20">
        <f t="shared" ref="E67:E76" si="45">IFERROR(SUM((F67/D67)-1),0)</f>
        <v>1.038782008</v>
      </c>
      <c r="F67" s="27">
        <v>782509.0</v>
      </c>
      <c r="G67" s="20">
        <f t="shared" ref="G67:G76" si="46">IFERROR(SUM((H67/F67)-1),0)</f>
        <v>0.1553630693</v>
      </c>
      <c r="H67" s="27">
        <v>904082.0</v>
      </c>
      <c r="J67" s="22"/>
      <c r="K67" s="19"/>
      <c r="L67" s="19"/>
    </row>
    <row r="68">
      <c r="A68" s="9" t="s">
        <v>199</v>
      </c>
      <c r="B68" s="32">
        <v>-305213.0</v>
      </c>
      <c r="C68" s="20">
        <f t="shared" si="44"/>
        <v>0.7973120411</v>
      </c>
      <c r="D68" s="32">
        <v>-548563.0</v>
      </c>
      <c r="E68" s="20">
        <f t="shared" si="45"/>
        <v>-0.4649857901</v>
      </c>
      <c r="F68" s="32">
        <v>-293489.0</v>
      </c>
      <c r="G68" s="20">
        <f t="shared" si="46"/>
        <v>0.3133984579</v>
      </c>
      <c r="H68" s="32">
        <v>-385468.0</v>
      </c>
      <c r="J68" s="79"/>
      <c r="K68" s="50"/>
      <c r="L68" s="143"/>
    </row>
    <row r="69">
      <c r="A69" s="9" t="s">
        <v>200</v>
      </c>
      <c r="B69" s="32">
        <v>-201508.0</v>
      </c>
      <c r="C69" s="20">
        <f t="shared" si="44"/>
        <v>0.5679724874</v>
      </c>
      <c r="D69" s="32">
        <v>-315959.0</v>
      </c>
      <c r="E69" s="20">
        <f t="shared" si="45"/>
        <v>0.3144268718</v>
      </c>
      <c r="F69" s="32">
        <v>-415305.0</v>
      </c>
      <c r="G69" s="20">
        <f t="shared" si="46"/>
        <v>0.2633895571</v>
      </c>
      <c r="H69" s="32">
        <v>-524692.0</v>
      </c>
      <c r="J69" s="22"/>
      <c r="K69" s="19"/>
      <c r="L69" s="142"/>
    </row>
    <row r="70">
      <c r="A70" s="72" t="s">
        <v>202</v>
      </c>
      <c r="B70" s="109">
        <f>SUM(B68:B69)</f>
        <v>-506721</v>
      </c>
      <c r="C70" s="111">
        <f t="shared" si="44"/>
        <v>0.7061104632</v>
      </c>
      <c r="D70" s="109">
        <f>SUM(D68:D69)</f>
        <v>-864522</v>
      </c>
      <c r="E70" s="111">
        <f t="shared" si="45"/>
        <v>-0.180131911</v>
      </c>
      <c r="F70" s="109">
        <f>SUM(F68:F69)</f>
        <v>-708794</v>
      </c>
      <c r="G70" s="111">
        <f t="shared" si="46"/>
        <v>0.2840966487</v>
      </c>
      <c r="H70" s="109">
        <f>SUM(H68:H69)</f>
        <v>-910160</v>
      </c>
      <c r="J70" s="79"/>
      <c r="K70" s="118"/>
      <c r="L70" s="20"/>
      <c r="M70" s="51"/>
    </row>
    <row r="71">
      <c r="A71" s="9" t="s">
        <v>205</v>
      </c>
      <c r="B71" s="27">
        <v>-37312.0</v>
      </c>
      <c r="C71" s="20">
        <f t="shared" si="44"/>
        <v>1.068047813</v>
      </c>
      <c r="D71" s="27">
        <v>-77163.0</v>
      </c>
      <c r="E71" s="20">
        <f t="shared" si="45"/>
        <v>0.397353654</v>
      </c>
      <c r="F71" s="27">
        <v>-107824.0</v>
      </c>
      <c r="G71" s="20">
        <f t="shared" si="46"/>
        <v>0.3486886037</v>
      </c>
      <c r="H71" s="27">
        <v>-145421.0</v>
      </c>
      <c r="J71" s="22"/>
      <c r="K71" s="50"/>
      <c r="L71" s="23"/>
    </row>
    <row r="72">
      <c r="A72" s="9" t="s">
        <v>204</v>
      </c>
      <c r="B72" s="32">
        <v>-8903.0</v>
      </c>
      <c r="C72" s="20">
        <f t="shared" si="44"/>
        <v>0.8300572841</v>
      </c>
      <c r="D72" s="32">
        <v>-16293.0</v>
      </c>
      <c r="E72" s="20">
        <f t="shared" si="45"/>
        <v>0.5069048057</v>
      </c>
      <c r="F72" s="32">
        <v>-24552.0</v>
      </c>
      <c r="G72" s="20">
        <f t="shared" si="46"/>
        <v>0.636485826</v>
      </c>
      <c r="H72" s="32">
        <v>-40179.0</v>
      </c>
      <c r="J72" s="22"/>
      <c r="K72" s="19"/>
      <c r="L72" s="20"/>
      <c r="N72" s="20"/>
      <c r="O72" s="23"/>
      <c r="P72" s="20"/>
      <c r="Q72" s="23"/>
    </row>
    <row r="73">
      <c r="A73" s="9" t="s">
        <v>223</v>
      </c>
      <c r="B73" s="32">
        <v>0.0</v>
      </c>
      <c r="C73" s="20">
        <f t="shared" si="44"/>
        <v>0</v>
      </c>
      <c r="D73" s="32">
        <v>0.0</v>
      </c>
      <c r="E73" s="20">
        <f t="shared" si="45"/>
        <v>0</v>
      </c>
      <c r="F73" s="32">
        <v>-5002.0</v>
      </c>
      <c r="G73" s="20">
        <f t="shared" si="46"/>
        <v>0</v>
      </c>
      <c r="H73" s="32">
        <v>-5002.0</v>
      </c>
      <c r="J73" s="51"/>
      <c r="K73" s="50"/>
      <c r="L73" s="20"/>
      <c r="N73" s="20"/>
      <c r="O73" s="23"/>
      <c r="P73" s="20"/>
      <c r="Q73" s="23"/>
    </row>
    <row r="74">
      <c r="A74" s="9" t="s">
        <v>225</v>
      </c>
      <c r="B74" s="32">
        <v>-10067.0</v>
      </c>
      <c r="C74" s="20">
        <f t="shared" si="44"/>
        <v>1.264925002</v>
      </c>
      <c r="D74" s="32">
        <v>-22801.0</v>
      </c>
      <c r="E74" s="20">
        <f t="shared" si="45"/>
        <v>-0.6340072804</v>
      </c>
      <c r="F74" s="32">
        <v>-8345.0</v>
      </c>
      <c r="G74" s="20">
        <f t="shared" si="46"/>
        <v>2.375554224</v>
      </c>
      <c r="H74" s="32">
        <v>-28169.0</v>
      </c>
      <c r="J74" s="51"/>
      <c r="K74" s="19"/>
      <c r="L74" s="20"/>
      <c r="N74" s="20"/>
      <c r="O74" s="23"/>
      <c r="P74" s="20"/>
      <c r="Q74" s="23"/>
    </row>
    <row r="75">
      <c r="A75" s="9" t="s">
        <v>209</v>
      </c>
      <c r="B75" s="27">
        <v>0.0</v>
      </c>
      <c r="C75" s="20">
        <f t="shared" si="44"/>
        <v>0</v>
      </c>
      <c r="D75" s="27">
        <v>-524206.0</v>
      </c>
      <c r="E75" s="20">
        <f t="shared" si="45"/>
        <v>-0.212647318</v>
      </c>
      <c r="F75" s="27">
        <v>-412735.0</v>
      </c>
      <c r="G75" s="20">
        <f t="shared" si="46"/>
        <v>0.00001938289702</v>
      </c>
      <c r="H75" s="27">
        <v>-412743.0</v>
      </c>
      <c r="J75" s="51"/>
      <c r="K75" s="50"/>
      <c r="L75" s="23"/>
      <c r="M75" s="9"/>
    </row>
    <row r="76">
      <c r="A76" s="129" t="s">
        <v>208</v>
      </c>
      <c r="B76" s="140">
        <f>SUM(B67,B75,B70,B71,B72,B73,B74)</f>
        <v>-321924</v>
      </c>
      <c r="C76" s="111">
        <f t="shared" si="44"/>
        <v>2.482725737</v>
      </c>
      <c r="D76" s="140">
        <f>SUM(D67,D75,D70,D71,D72,D73,D74)</f>
        <v>-1121173</v>
      </c>
      <c r="E76" s="111">
        <f t="shared" si="45"/>
        <v>-0.567646563</v>
      </c>
      <c r="F76" s="140">
        <f>SUM(F67,F75,F70,F71,F72,F73,F74)</f>
        <v>-484743</v>
      </c>
      <c r="G76" s="111">
        <f t="shared" si="46"/>
        <v>0.3153196642</v>
      </c>
      <c r="H76" s="140">
        <f>SUM(H67,H75,H70,H71,H72,H73,H74)</f>
        <v>-637592</v>
      </c>
      <c r="J76" s="51"/>
      <c r="K76" s="19"/>
      <c r="L76" s="143"/>
      <c r="M76" s="9"/>
      <c r="N76" s="20"/>
      <c r="O76" s="20"/>
      <c r="P76" s="20"/>
      <c r="Q76" s="20"/>
    </row>
    <row r="77">
      <c r="B77" s="23"/>
      <c r="C77" s="20"/>
      <c r="D77" s="23"/>
      <c r="E77" s="20"/>
      <c r="F77" s="23"/>
      <c r="G77" s="20"/>
      <c r="H77" s="23"/>
      <c r="J77" s="22"/>
      <c r="K77" s="50"/>
      <c r="L77" s="143"/>
      <c r="M77" s="9"/>
      <c r="N77" s="20"/>
      <c r="O77" s="20"/>
      <c r="P77" s="20"/>
      <c r="Q77" s="20"/>
    </row>
    <row r="78">
      <c r="A78" s="72" t="s">
        <v>210</v>
      </c>
      <c r="B78" s="120">
        <f>SUM(B59,B64,B76)</f>
        <v>-248649</v>
      </c>
      <c r="C78" s="111">
        <f t="shared" ref="C78:C80" si="47">IFERROR(SUM((D78/B78)-1),0)</f>
        <v>2.803264843</v>
      </c>
      <c r="D78" s="120">
        <f>SUM(D59,D64,D76)</f>
        <v>-945678</v>
      </c>
      <c r="E78" s="111">
        <f t="shared" ref="E78:E80" si="48">IFERROR(SUM((F78/D78)-1),0)</f>
        <v>-5.313573965</v>
      </c>
      <c r="F78" s="120">
        <f>SUM(F59,F64,F76)</f>
        <v>4079252</v>
      </c>
      <c r="G78" s="111">
        <f t="shared" ref="G78:G80" si="49">IFERROR(SUM((H78/F78)-1),0)</f>
        <v>-0.06664898369</v>
      </c>
      <c r="H78" s="120">
        <f>SUM(H59,H64,H76)</f>
        <v>3807374</v>
      </c>
      <c r="J78" s="22"/>
      <c r="K78" s="19"/>
      <c r="L78" s="143"/>
      <c r="M78" s="9"/>
      <c r="N78" s="20"/>
      <c r="O78" s="20"/>
      <c r="P78" s="20"/>
      <c r="Q78" s="20"/>
    </row>
    <row r="79">
      <c r="A79" s="9" t="s">
        <v>212</v>
      </c>
      <c r="B79" s="32">
        <v>5608131.0</v>
      </c>
      <c r="C79" s="20">
        <f t="shared" si="47"/>
        <v>0</v>
      </c>
      <c r="D79" s="32">
        <v>5608131.0</v>
      </c>
      <c r="E79" s="20">
        <f t="shared" si="48"/>
        <v>-0.6789024721</v>
      </c>
      <c r="F79" s="32">
        <v>1800757.0</v>
      </c>
      <c r="G79" s="20">
        <f t="shared" si="49"/>
        <v>0</v>
      </c>
      <c r="H79" s="32">
        <v>1800757.0</v>
      </c>
      <c r="J79" s="79"/>
      <c r="K79" s="50"/>
      <c r="L79" s="23"/>
      <c r="N79" s="20"/>
      <c r="P79" s="20"/>
    </row>
    <row r="80">
      <c r="A80" s="43" t="s">
        <v>214</v>
      </c>
      <c r="B80" s="42">
        <f>SUM(B78:B79)</f>
        <v>5359482</v>
      </c>
      <c r="C80" s="48">
        <f t="shared" si="47"/>
        <v>-0.1300552927</v>
      </c>
      <c r="D80" s="42">
        <f>SUM(D78:D79)</f>
        <v>4662453</v>
      </c>
      <c r="E80" s="48">
        <f t="shared" si="48"/>
        <v>0.2611406485</v>
      </c>
      <c r="F80" s="42">
        <f>SUM(F78:F79)</f>
        <v>5880009</v>
      </c>
      <c r="G80" s="48">
        <f t="shared" si="49"/>
        <v>-0.04623768433</v>
      </c>
      <c r="H80" s="42">
        <f>SUM(H78:H79)</f>
        <v>5608131</v>
      </c>
      <c r="J80" s="22"/>
      <c r="K80" s="19"/>
      <c r="N80" s="20"/>
      <c r="P80" s="20"/>
    </row>
    <row r="81">
      <c r="A81" s="80"/>
      <c r="B81" s="80"/>
      <c r="C81" s="80"/>
      <c r="D81" s="80"/>
      <c r="E81" s="80"/>
      <c r="F81" s="80"/>
      <c r="G81" s="80"/>
      <c r="H81" s="80"/>
      <c r="J81" s="51"/>
      <c r="K81" s="50"/>
      <c r="N81" s="20"/>
      <c r="O81" s="23"/>
      <c r="P81" s="20"/>
      <c r="Q81" s="23"/>
    </row>
    <row r="82">
      <c r="A82" s="81" t="s">
        <v>230</v>
      </c>
      <c r="B82" s="32"/>
      <c r="C82" s="20"/>
      <c r="D82" s="32"/>
      <c r="E82" s="20"/>
      <c r="H82" s="32"/>
      <c r="J82" s="51"/>
      <c r="K82" s="19"/>
      <c r="N82" s="20"/>
      <c r="O82" s="23"/>
      <c r="P82" s="20"/>
      <c r="Q82" s="23"/>
    </row>
    <row r="83">
      <c r="A83" s="72" t="s">
        <v>123</v>
      </c>
      <c r="B83" s="27">
        <v>7205727.0</v>
      </c>
      <c r="J83" s="79"/>
      <c r="N83" s="20"/>
      <c r="P83" s="20"/>
    </row>
    <row r="84">
      <c r="A84" s="9" t="s">
        <v>126</v>
      </c>
      <c r="B84" s="32">
        <v>-3150783.0</v>
      </c>
      <c r="C84" s="20"/>
      <c r="D84" s="27"/>
      <c r="E84" s="20"/>
      <c r="H84" s="27"/>
      <c r="J84" s="51"/>
      <c r="K84" s="50"/>
    </row>
    <row r="85">
      <c r="A85" s="72" t="s">
        <v>130</v>
      </c>
      <c r="B85" s="27">
        <f>B83+B84</f>
        <v>4054944</v>
      </c>
      <c r="C85" s="20"/>
      <c r="D85" s="27"/>
      <c r="H85" s="27"/>
      <c r="J85" s="51"/>
      <c r="K85" s="19"/>
    </row>
    <row r="86">
      <c r="A86" s="67" t="s">
        <v>137</v>
      </c>
      <c r="C86" s="20"/>
      <c r="D86" s="32"/>
      <c r="E86" s="20"/>
      <c r="F86" s="23"/>
      <c r="G86" s="67"/>
      <c r="H86" s="32"/>
    </row>
    <row r="87">
      <c r="A87" s="9" t="s">
        <v>140</v>
      </c>
      <c r="B87" s="27">
        <v>-706048.0</v>
      </c>
      <c r="C87" s="20"/>
      <c r="D87" s="32"/>
      <c r="E87" s="20"/>
      <c r="F87" s="23"/>
      <c r="G87" s="67"/>
      <c r="H87" s="32"/>
    </row>
    <row r="88">
      <c r="A88" s="9" t="s">
        <v>145</v>
      </c>
      <c r="B88" s="27">
        <v>-1384487.0</v>
      </c>
      <c r="C88" s="20"/>
      <c r="D88" s="32"/>
      <c r="E88" s="20"/>
      <c r="F88" s="23"/>
      <c r="G88" s="9"/>
      <c r="H88" s="32"/>
    </row>
    <row r="89">
      <c r="A89" s="9" t="s">
        <v>151</v>
      </c>
      <c r="B89" s="20">
        <f>ABS(B88)/B83</f>
        <v>0.1921370321</v>
      </c>
      <c r="C89" s="20"/>
      <c r="D89" s="32"/>
      <c r="E89" s="20"/>
      <c r="F89" s="23"/>
      <c r="H89" s="32"/>
    </row>
    <row r="90">
      <c r="A90" s="9" t="s">
        <v>154</v>
      </c>
      <c r="B90" s="27">
        <v>2071829.0</v>
      </c>
      <c r="E90" s="20"/>
      <c r="F90" s="23"/>
    </row>
    <row r="91">
      <c r="A91" s="9" t="s">
        <v>158</v>
      </c>
      <c r="B91" s="27">
        <v>-1689849.0</v>
      </c>
      <c r="C91" s="20"/>
      <c r="D91" s="23"/>
      <c r="E91" s="20"/>
      <c r="F91" s="23"/>
      <c r="H91" s="20"/>
      <c r="I91" s="20"/>
    </row>
    <row r="92">
      <c r="A92" s="9" t="s">
        <v>161</v>
      </c>
      <c r="B92" s="27">
        <v>-8883.0</v>
      </c>
      <c r="C92" s="20"/>
      <c r="D92" s="23"/>
      <c r="E92" s="20"/>
      <c r="F92" s="23"/>
      <c r="H92" s="23"/>
      <c r="I92" s="20"/>
      <c r="J92" s="23"/>
    </row>
    <row r="93">
      <c r="A93" s="9" t="s">
        <v>164</v>
      </c>
      <c r="B93" s="23">
        <f>SUM(B87,B88,B91,B90,B92)</f>
        <v>-1717438</v>
      </c>
      <c r="C93" s="20"/>
      <c r="D93" s="23"/>
      <c r="F93" s="23"/>
      <c r="H93" s="23"/>
      <c r="I93" s="20"/>
      <c r="J93" s="23"/>
    </row>
    <row r="94">
      <c r="A94" s="72" t="s">
        <v>143</v>
      </c>
      <c r="B94" s="23">
        <f>SUM(B85,B93)</f>
        <v>2337506</v>
      </c>
      <c r="D94" s="23"/>
      <c r="E94" s="20"/>
      <c r="F94" s="27"/>
      <c r="H94" s="23"/>
      <c r="I94" s="20"/>
      <c r="J94" s="23"/>
    </row>
    <row r="95">
      <c r="C95" s="20"/>
      <c r="D95" s="27"/>
      <c r="E95" s="20"/>
      <c r="F95" s="27"/>
      <c r="H95" s="27"/>
      <c r="I95" s="20"/>
      <c r="J95" s="23"/>
    </row>
    <row r="96">
      <c r="A96" s="9" t="s">
        <v>127</v>
      </c>
      <c r="B96" s="27">
        <v>3045050.0</v>
      </c>
      <c r="C96" s="20"/>
      <c r="D96" s="27"/>
      <c r="E96" s="20"/>
      <c r="F96" s="23"/>
      <c r="H96" s="27"/>
      <c r="I96" s="20"/>
      <c r="J96" s="20"/>
    </row>
    <row r="97">
      <c r="A97" s="9" t="s">
        <v>135</v>
      </c>
      <c r="B97" s="27">
        <v>-3079901.0</v>
      </c>
      <c r="C97" s="20"/>
      <c r="D97" s="27"/>
      <c r="E97" s="20"/>
      <c r="H97" s="27"/>
      <c r="I97" s="20"/>
      <c r="J97" s="20"/>
    </row>
    <row r="98">
      <c r="A98" s="9" t="s">
        <v>138</v>
      </c>
      <c r="B98" s="27">
        <f>B96+B97</f>
        <v>-34851</v>
      </c>
      <c r="I98" s="20"/>
      <c r="J98" s="23"/>
    </row>
    <row r="99">
      <c r="G99" s="67"/>
      <c r="I99" s="20"/>
      <c r="J99" s="23"/>
    </row>
    <row r="100">
      <c r="A100" s="65" t="s">
        <v>133</v>
      </c>
      <c r="B100" s="27">
        <v>-626251.0</v>
      </c>
      <c r="E100" s="20"/>
      <c r="F100" s="32"/>
      <c r="I100" s="20"/>
      <c r="J100" s="23"/>
    </row>
    <row r="101">
      <c r="A101" s="72" t="s">
        <v>146</v>
      </c>
      <c r="B101" s="23">
        <f>B104-B103-B98-B100</f>
        <v>2963757</v>
      </c>
      <c r="C101" s="20"/>
      <c r="D101" s="32"/>
      <c r="E101" s="20"/>
      <c r="H101" s="32"/>
      <c r="I101" s="20"/>
      <c r="J101" s="20"/>
    </row>
    <row r="102">
      <c r="A102" s="9" t="s">
        <v>150</v>
      </c>
      <c r="B102" s="23">
        <f>B94+B98</f>
        <v>2302655</v>
      </c>
      <c r="C102" s="20"/>
      <c r="D102" s="27"/>
      <c r="E102" s="20"/>
      <c r="G102" s="9"/>
      <c r="H102" s="27"/>
    </row>
    <row r="103">
      <c r="A103" s="9" t="s">
        <v>152</v>
      </c>
      <c r="B103" s="27">
        <v>-223087.0</v>
      </c>
      <c r="C103" s="20"/>
      <c r="D103" s="32"/>
      <c r="E103" s="20"/>
      <c r="H103" s="32"/>
    </row>
    <row r="104">
      <c r="A104" s="72" t="s">
        <v>156</v>
      </c>
      <c r="B104" s="27">
        <f>B102+B103</f>
        <v>2079568</v>
      </c>
      <c r="C104" s="20"/>
      <c r="D104" s="27"/>
      <c r="E104" s="20"/>
      <c r="G104" s="9"/>
      <c r="H104" s="27"/>
      <c r="I104" s="20"/>
    </row>
    <row r="105">
      <c r="A105" s="22"/>
      <c r="B105" s="21"/>
      <c r="C105" s="22"/>
      <c r="D105" s="21"/>
      <c r="E105" s="22"/>
      <c r="F105" s="21"/>
      <c r="G105" s="22"/>
      <c r="H105" s="21"/>
      <c r="I105" s="20"/>
      <c r="J105" s="20"/>
    </row>
    <row r="106">
      <c r="A106" s="22"/>
      <c r="B106" s="28"/>
      <c r="C106" s="19"/>
      <c r="D106" s="28"/>
      <c r="E106" s="19"/>
      <c r="F106" s="28"/>
      <c r="G106" s="19"/>
      <c r="H106" s="28"/>
      <c r="I106" s="20"/>
      <c r="J106" s="20"/>
    </row>
    <row r="107">
      <c r="A107" s="51"/>
      <c r="B107" s="33"/>
      <c r="C107" s="19"/>
      <c r="D107" s="27"/>
      <c r="E107" s="19"/>
      <c r="F107" s="33"/>
      <c r="G107" s="19"/>
      <c r="H107" s="36"/>
      <c r="I107" s="20"/>
      <c r="J107" s="20"/>
    </row>
    <row r="108">
      <c r="A108" s="51"/>
      <c r="B108" s="33"/>
      <c r="C108" s="19"/>
      <c r="D108" s="27"/>
      <c r="E108" s="19"/>
      <c r="F108" s="33"/>
      <c r="G108" s="19"/>
      <c r="H108" s="36"/>
      <c r="I108" s="20"/>
      <c r="J108" s="27"/>
    </row>
    <row r="109">
      <c r="A109" s="51"/>
      <c r="B109" s="28"/>
      <c r="C109" s="19"/>
      <c r="D109" s="36"/>
      <c r="E109" s="19"/>
      <c r="F109" s="46"/>
      <c r="G109" s="19"/>
      <c r="H109" s="36"/>
      <c r="I109" s="20"/>
      <c r="J109" s="20"/>
    </row>
    <row r="110">
      <c r="A110" s="51"/>
      <c r="B110" s="52"/>
      <c r="I110" s="20"/>
      <c r="J110" s="23"/>
    </row>
    <row r="111">
      <c r="A111" s="51"/>
      <c r="B111" s="52"/>
    </row>
    <row r="112">
      <c r="A112" s="21"/>
      <c r="B112" s="47"/>
      <c r="C112" s="22"/>
      <c r="D112" s="47"/>
    </row>
    <row r="113">
      <c r="A113" s="22"/>
      <c r="B113" s="28"/>
      <c r="C113" s="19"/>
      <c r="D113" s="28"/>
      <c r="I113" s="20"/>
      <c r="J113" s="20"/>
    </row>
    <row r="114">
      <c r="A114" s="51"/>
      <c r="B114" s="53"/>
      <c r="C114" s="19"/>
      <c r="D114" s="53"/>
      <c r="I114" s="20"/>
      <c r="J114" s="20"/>
    </row>
    <row r="115">
      <c r="A115" s="22"/>
      <c r="B115" s="28"/>
      <c r="C115" s="19"/>
      <c r="D115" s="169"/>
      <c r="I115" s="20"/>
      <c r="J115" s="20"/>
    </row>
    <row r="116">
      <c r="A116" s="22"/>
      <c r="B116" s="47"/>
      <c r="F116" s="22"/>
      <c r="I116" s="20"/>
      <c r="J116" s="20"/>
    </row>
    <row r="117">
      <c r="A117" s="22"/>
      <c r="B117" s="22"/>
      <c r="F117" s="22"/>
      <c r="G117" s="28"/>
    </row>
    <row r="118">
      <c r="A118" s="22"/>
      <c r="B118" s="28"/>
      <c r="F118" s="22"/>
      <c r="G118" s="28"/>
    </row>
    <row r="119">
      <c r="A119" s="22"/>
      <c r="B119" s="147"/>
      <c r="C119" s="148"/>
      <c r="D119" s="149"/>
      <c r="F119" s="22"/>
      <c r="G119" s="28"/>
      <c r="I119" s="20"/>
      <c r="J119" s="23"/>
    </row>
    <row r="120">
      <c r="A120" s="22"/>
      <c r="B120" s="28"/>
      <c r="F120" s="22"/>
      <c r="G120" s="28"/>
      <c r="I120" s="20"/>
      <c r="J120" s="23"/>
    </row>
    <row r="121">
      <c r="F121" s="22"/>
      <c r="G121" s="28"/>
    </row>
    <row r="122">
      <c r="A122" s="22"/>
      <c r="B122" s="19"/>
      <c r="F122" s="22"/>
      <c r="G122" s="28"/>
    </row>
    <row r="123">
      <c r="A123" s="22"/>
      <c r="B123" s="19"/>
      <c r="F123" s="22"/>
      <c r="G123" s="28"/>
      <c r="J123" s="23"/>
    </row>
    <row r="124">
      <c r="A124" s="79"/>
      <c r="B124" s="28"/>
      <c r="E124" s="20"/>
      <c r="G124" s="67"/>
      <c r="I124" s="20"/>
      <c r="J124" s="23"/>
    </row>
    <row r="125">
      <c r="A125" s="22"/>
      <c r="B125" s="28"/>
      <c r="C125" s="20"/>
      <c r="D125" s="79"/>
      <c r="E125" s="9"/>
      <c r="F125" s="22"/>
      <c r="G125" s="22"/>
      <c r="H125" s="27"/>
      <c r="I125" s="20"/>
      <c r="J125" s="23"/>
    </row>
    <row r="126">
      <c r="A126" s="22"/>
      <c r="B126" s="28"/>
      <c r="C126" s="20"/>
      <c r="D126" s="79"/>
      <c r="E126" s="29"/>
      <c r="F126" s="19"/>
      <c r="G126" s="28"/>
      <c r="H126" s="27"/>
      <c r="I126" s="20"/>
      <c r="J126" s="23"/>
    </row>
    <row r="127">
      <c r="A127" s="22"/>
      <c r="B127" s="28"/>
      <c r="C127" s="20"/>
      <c r="D127" s="22"/>
      <c r="E127" s="50"/>
      <c r="F127" s="19"/>
      <c r="G127" s="28"/>
      <c r="H127" s="20"/>
    </row>
    <row r="128">
      <c r="A128" s="22"/>
      <c r="B128" s="19"/>
      <c r="C128" s="20"/>
      <c r="D128" s="22"/>
      <c r="E128" s="50"/>
      <c r="F128" s="19"/>
      <c r="G128" s="28"/>
      <c r="H128" s="27"/>
    </row>
    <row r="129">
      <c r="A129" s="22"/>
      <c r="B129" s="19"/>
      <c r="C129" s="20"/>
      <c r="D129" s="22"/>
      <c r="E129" s="154"/>
      <c r="F129" s="19"/>
      <c r="G129" s="28"/>
      <c r="H129" s="27"/>
    </row>
    <row r="130">
      <c r="A130" s="22"/>
      <c r="B130" s="19"/>
      <c r="C130" s="20"/>
      <c r="D130" s="21"/>
      <c r="E130" s="154"/>
      <c r="F130" s="19"/>
      <c r="G130" s="154"/>
    </row>
    <row r="131">
      <c r="A131" s="22"/>
      <c r="B131" s="19"/>
      <c r="E131" s="20"/>
    </row>
    <row r="132">
      <c r="B132" s="27"/>
      <c r="D132" s="27"/>
      <c r="E132" s="20"/>
      <c r="H132" s="21"/>
      <c r="I132" s="22"/>
      <c r="J132" s="22"/>
      <c r="K132" s="22"/>
      <c r="L132" s="22"/>
      <c r="M132" s="22"/>
    </row>
    <row r="133">
      <c r="A133" s="22"/>
      <c r="B133" s="22"/>
      <c r="C133" s="22"/>
      <c r="D133" s="22"/>
      <c r="E133" s="22"/>
      <c r="H133" s="21"/>
      <c r="I133" s="22"/>
      <c r="J133" s="22"/>
      <c r="K133" s="22"/>
      <c r="L133" s="22"/>
      <c r="M133" s="22"/>
    </row>
    <row r="134">
      <c r="A134" s="107"/>
      <c r="B134" s="107"/>
      <c r="C134" s="107"/>
      <c r="D134" s="107"/>
      <c r="E134" s="107"/>
      <c r="F134" s="107"/>
      <c r="H134" s="107"/>
      <c r="I134" s="107"/>
      <c r="J134" s="107"/>
      <c r="K134" s="107"/>
      <c r="L134" s="107"/>
      <c r="M134" s="107"/>
    </row>
    <row r="135">
      <c r="A135" s="107"/>
      <c r="B135" s="107"/>
      <c r="C135" s="107"/>
      <c r="D135" s="107"/>
      <c r="E135" s="107"/>
      <c r="F135" s="107"/>
      <c r="H135" s="107"/>
      <c r="I135" s="107"/>
      <c r="J135" s="107"/>
      <c r="K135" s="107"/>
      <c r="L135" s="107"/>
      <c r="M135" s="107"/>
    </row>
    <row r="136">
      <c r="A136" s="107"/>
      <c r="B136" s="107"/>
      <c r="C136" s="107"/>
      <c r="D136" s="107"/>
      <c r="E136" s="107"/>
      <c r="F136" s="107"/>
      <c r="H136" s="107"/>
      <c r="I136" s="107"/>
      <c r="J136" s="107"/>
      <c r="K136" s="107"/>
      <c r="L136" s="107"/>
      <c r="M136" s="107"/>
    </row>
    <row r="137">
      <c r="A137" s="107"/>
      <c r="B137" s="107"/>
      <c r="C137" s="107"/>
      <c r="D137" s="107"/>
      <c r="E137" s="107"/>
      <c r="F137" s="107"/>
      <c r="H137" s="107"/>
      <c r="I137" s="107"/>
      <c r="J137" s="107"/>
      <c r="K137" s="107"/>
      <c r="L137" s="107"/>
      <c r="M137" s="107"/>
    </row>
    <row r="138">
      <c r="A138" s="107"/>
      <c r="B138" s="107"/>
      <c r="C138" s="107"/>
      <c r="D138" s="107"/>
      <c r="E138" s="107"/>
      <c r="F138" s="107"/>
      <c r="H138" s="107"/>
      <c r="I138" s="107"/>
      <c r="J138" s="107"/>
      <c r="K138" s="107"/>
      <c r="L138" s="107"/>
      <c r="M138" s="107"/>
    </row>
    <row r="139">
      <c r="A139" s="107"/>
      <c r="B139" s="107"/>
      <c r="C139" s="107"/>
      <c r="D139" s="107"/>
      <c r="E139" s="107"/>
      <c r="F139" s="107"/>
      <c r="H139" s="107"/>
      <c r="I139" s="107"/>
      <c r="J139" s="107"/>
      <c r="K139" s="107"/>
      <c r="L139" s="107"/>
      <c r="M139" s="107"/>
    </row>
    <row r="140">
      <c r="A140" s="107"/>
      <c r="B140" s="107"/>
      <c r="C140" s="107"/>
      <c r="D140" s="107"/>
      <c r="E140" s="107"/>
      <c r="F140" s="107"/>
      <c r="G140" s="9"/>
      <c r="H140" s="107"/>
      <c r="I140" s="107"/>
      <c r="J140" s="107"/>
      <c r="K140" s="107"/>
      <c r="L140" s="107"/>
      <c r="M140" s="107"/>
    </row>
    <row r="141">
      <c r="A141" s="107"/>
      <c r="B141" s="107"/>
      <c r="C141" s="107"/>
      <c r="D141" s="107"/>
      <c r="E141" s="107"/>
      <c r="F141" s="107"/>
      <c r="H141" s="55"/>
      <c r="I141" s="22"/>
      <c r="J141" s="22"/>
      <c r="K141" s="22"/>
      <c r="L141" s="22"/>
      <c r="M141" s="22"/>
    </row>
    <row r="142">
      <c r="A142" s="107"/>
      <c r="B142" s="107"/>
      <c r="C142" s="107"/>
      <c r="D142" s="107"/>
      <c r="E142" s="107"/>
      <c r="F142" s="107"/>
      <c r="H142" s="27"/>
    </row>
    <row r="143">
      <c r="A143" s="107"/>
      <c r="B143" s="107"/>
      <c r="C143" s="107"/>
      <c r="D143" s="107"/>
      <c r="E143" s="107"/>
      <c r="F143" s="107"/>
    </row>
    <row r="144">
      <c r="A144" s="9"/>
      <c r="G144" s="9"/>
    </row>
    <row r="145">
      <c r="G145" s="67"/>
    </row>
    <row r="147">
      <c r="G147" s="150"/>
    </row>
    <row r="149">
      <c r="B149" s="27"/>
      <c r="C149" s="20"/>
      <c r="D149" s="27"/>
    </row>
    <row r="150">
      <c r="A150" s="9"/>
      <c r="B150" s="27"/>
      <c r="C150" s="20"/>
      <c r="D150" s="27"/>
      <c r="G150" s="9"/>
    </row>
    <row r="151">
      <c r="B151" s="27"/>
      <c r="C151" s="20"/>
      <c r="D151" s="27"/>
    </row>
    <row r="152">
      <c r="B152" s="27"/>
      <c r="C152" s="20"/>
      <c r="D152" s="27"/>
      <c r="H152" s="27"/>
    </row>
    <row r="153">
      <c r="B153" s="27"/>
      <c r="C153" s="20"/>
      <c r="D153" s="27"/>
      <c r="H153" s="27"/>
    </row>
    <row r="154">
      <c r="B154" s="27"/>
      <c r="C154" s="20"/>
      <c r="D154" s="27"/>
      <c r="H154" s="27"/>
    </row>
    <row r="155">
      <c r="C155" s="20"/>
      <c r="D155" s="32"/>
    </row>
    <row r="156">
      <c r="A156" s="67"/>
      <c r="B156" s="158"/>
      <c r="C156" s="160"/>
      <c r="D156" s="158"/>
      <c r="G156" s="67"/>
      <c r="H156" s="158"/>
    </row>
    <row r="157">
      <c r="B157" s="23"/>
      <c r="D157" s="23"/>
      <c r="H157" s="23"/>
    </row>
    <row r="158">
      <c r="B158" s="27"/>
      <c r="C158" s="20"/>
      <c r="D158" s="27"/>
      <c r="H158" s="27"/>
    </row>
    <row r="159">
      <c r="B159" s="27"/>
      <c r="C159" s="20"/>
      <c r="D159" s="27"/>
      <c r="H159" s="27"/>
    </row>
    <row r="160">
      <c r="B160" s="27"/>
      <c r="C160" s="20"/>
      <c r="D160" s="27"/>
      <c r="H160" s="27"/>
    </row>
    <row r="161">
      <c r="B161" s="27"/>
      <c r="C161" s="20"/>
      <c r="D161" s="27"/>
      <c r="H161" s="27"/>
    </row>
    <row r="162">
      <c r="A162" s="67"/>
      <c r="B162" s="158"/>
      <c r="C162" s="160"/>
      <c r="D162" s="158"/>
      <c r="G162" s="67"/>
      <c r="H162" s="158"/>
    </row>
    <row r="163">
      <c r="B163" s="23"/>
      <c r="D163" s="23"/>
      <c r="H163" s="23"/>
    </row>
    <row r="164">
      <c r="B164" s="27"/>
      <c r="D164" s="23"/>
      <c r="H164" s="27"/>
    </row>
    <row r="165">
      <c r="B165" s="27"/>
      <c r="C165" s="20"/>
      <c r="D165" s="27"/>
      <c r="H165" s="27"/>
    </row>
    <row r="166">
      <c r="B166" s="27"/>
      <c r="C166" s="20"/>
      <c r="D166" s="27"/>
      <c r="H166" s="27"/>
    </row>
    <row r="167">
      <c r="B167" s="27"/>
      <c r="C167" s="20"/>
      <c r="D167" s="27"/>
      <c r="H167" s="27"/>
    </row>
    <row r="168">
      <c r="B168" s="27"/>
      <c r="C168" s="20"/>
      <c r="D168" s="27"/>
      <c r="H168" s="27"/>
    </row>
    <row r="169">
      <c r="A169" s="67"/>
      <c r="B169" s="146"/>
      <c r="C169" s="160"/>
      <c r="D169" s="146"/>
      <c r="G169" s="67"/>
      <c r="H169" s="146"/>
    </row>
    <row r="170">
      <c r="B170" s="23"/>
      <c r="D170" s="23"/>
      <c r="H170" s="23"/>
    </row>
    <row r="171">
      <c r="A171" s="9"/>
      <c r="C171" s="20"/>
      <c r="G171" s="9"/>
    </row>
    <row r="172">
      <c r="B172" s="32"/>
      <c r="C172" s="20"/>
      <c r="D172" s="32"/>
      <c r="H172" s="32"/>
    </row>
    <row r="173">
      <c r="A173" s="9"/>
      <c r="B173" s="9"/>
      <c r="C173" s="20"/>
      <c r="D173" s="9"/>
      <c r="G173" s="9"/>
      <c r="H173" s="9"/>
    </row>
    <row r="177">
      <c r="G177" s="9"/>
    </row>
    <row r="178">
      <c r="C178" s="20"/>
      <c r="D178" s="23"/>
      <c r="G178" s="9"/>
      <c r="I178" s="20"/>
    </row>
    <row r="179">
      <c r="C179" s="20"/>
      <c r="D179" s="27"/>
      <c r="E179" s="20"/>
      <c r="F179" s="23"/>
      <c r="H179" s="23"/>
      <c r="I179" s="20"/>
      <c r="J179" s="23"/>
    </row>
    <row r="180">
      <c r="C180" s="20"/>
      <c r="D180" s="27"/>
      <c r="E180" s="20"/>
      <c r="F180" s="27"/>
      <c r="H180" s="23"/>
      <c r="I180" s="20"/>
      <c r="J180" s="23"/>
    </row>
    <row r="181">
      <c r="C181" s="20"/>
      <c r="D181" s="27"/>
      <c r="E181" s="20"/>
      <c r="F181" s="27"/>
      <c r="H181" s="23"/>
      <c r="I181" s="20"/>
      <c r="J181" s="23"/>
    </row>
    <row r="182">
      <c r="C182" s="20"/>
      <c r="D182" s="27"/>
      <c r="E182" s="20"/>
      <c r="F182" s="27"/>
      <c r="H182" s="23"/>
      <c r="I182" s="20"/>
      <c r="J182" s="23"/>
    </row>
    <row r="183">
      <c r="C183" s="20"/>
      <c r="D183" s="32"/>
      <c r="E183" s="20"/>
      <c r="F183" s="27"/>
      <c r="H183" s="20"/>
      <c r="I183" s="20"/>
      <c r="J183" s="20"/>
    </row>
    <row r="184">
      <c r="C184" s="20"/>
      <c r="D184" s="32"/>
      <c r="E184" s="20"/>
      <c r="F184" s="27"/>
      <c r="H184" s="20"/>
      <c r="I184" s="20"/>
      <c r="J184" s="20"/>
    </row>
    <row r="185">
      <c r="C185" s="20"/>
      <c r="D185" s="27"/>
      <c r="E185" s="20"/>
      <c r="F185" s="23"/>
      <c r="H185" s="23"/>
      <c r="I185" s="20"/>
      <c r="J185" s="23"/>
    </row>
    <row r="186">
      <c r="E186" s="20"/>
      <c r="F186" s="23"/>
      <c r="H186" s="23"/>
      <c r="I186" s="20"/>
      <c r="J186" s="23"/>
    </row>
    <row r="187">
      <c r="C187" s="20"/>
      <c r="D187" s="23"/>
      <c r="E187" s="20"/>
      <c r="F187" s="27"/>
      <c r="H187" s="23"/>
      <c r="I187" s="20"/>
      <c r="J187" s="23"/>
    </row>
    <row r="188">
      <c r="C188" s="20"/>
      <c r="D188" s="27"/>
      <c r="E188" s="20"/>
      <c r="F188" s="27"/>
      <c r="H188" s="20"/>
      <c r="I188" s="20"/>
      <c r="J188" s="20"/>
    </row>
    <row r="189">
      <c r="C189" s="20"/>
      <c r="D189" s="27"/>
      <c r="E189" s="20"/>
      <c r="F189" s="27"/>
      <c r="G189" s="67"/>
    </row>
    <row r="190">
      <c r="C190" s="20"/>
      <c r="D190" s="27"/>
      <c r="E190" s="20"/>
      <c r="F190" s="27"/>
      <c r="G190" s="67"/>
    </row>
    <row r="191">
      <c r="C191" s="20"/>
      <c r="D191" s="27"/>
      <c r="F191" s="23"/>
      <c r="G191" s="9"/>
      <c r="I191" s="20"/>
    </row>
    <row r="192">
      <c r="C192" s="20"/>
      <c r="D192" s="32"/>
      <c r="E192" s="20"/>
      <c r="F192" s="23"/>
      <c r="G192" s="9"/>
      <c r="H192" s="20"/>
      <c r="I192" s="20"/>
      <c r="J192" s="20"/>
    </row>
    <row r="193">
      <c r="C193" s="20"/>
      <c r="D193" s="32"/>
      <c r="E193" s="20"/>
      <c r="F193" s="23"/>
      <c r="G193" s="9"/>
      <c r="H193" s="20"/>
      <c r="I193" s="20"/>
      <c r="J193" s="20"/>
    </row>
    <row r="194">
      <c r="C194" s="20"/>
      <c r="D194" s="32"/>
      <c r="E194" s="20"/>
      <c r="F194" s="23"/>
      <c r="G194" s="9"/>
      <c r="H194" s="20"/>
      <c r="I194" s="20"/>
      <c r="J194" s="20"/>
    </row>
    <row r="195">
      <c r="C195" s="20"/>
      <c r="D195" s="32"/>
      <c r="E195" s="20"/>
      <c r="F195" s="23"/>
      <c r="G195" s="9"/>
      <c r="H195" s="27"/>
      <c r="I195" s="20"/>
      <c r="J195" s="27"/>
    </row>
    <row r="196">
      <c r="E196" s="20"/>
      <c r="F196" s="23"/>
      <c r="G196" s="9"/>
      <c r="H196" s="20"/>
      <c r="I196" s="20"/>
      <c r="J196" s="20"/>
    </row>
    <row r="197">
      <c r="C197" s="20"/>
      <c r="D197" s="23"/>
      <c r="E197" s="20"/>
      <c r="F197" s="23"/>
      <c r="H197" s="23"/>
      <c r="I197" s="20"/>
      <c r="J197" s="23"/>
    </row>
    <row r="198">
      <c r="C198" s="20"/>
      <c r="D198" s="23"/>
      <c r="E198" s="20"/>
      <c r="F198" s="23"/>
    </row>
    <row r="199">
      <c r="C199" s="20"/>
      <c r="D199" s="23"/>
      <c r="F199" s="23"/>
      <c r="G199" s="67"/>
    </row>
    <row r="200">
      <c r="D200" s="23"/>
      <c r="E200" s="20"/>
      <c r="F200" s="27"/>
      <c r="G200" s="9"/>
      <c r="H200" s="20"/>
      <c r="I200" s="20"/>
      <c r="J200" s="20"/>
    </row>
    <row r="201">
      <c r="C201" s="20"/>
      <c r="D201" s="27"/>
      <c r="E201" s="20"/>
      <c r="F201" s="27"/>
      <c r="G201" s="9"/>
      <c r="H201" s="20"/>
      <c r="I201" s="20"/>
      <c r="J201" s="20"/>
    </row>
    <row r="202">
      <c r="C202" s="20"/>
      <c r="D202" s="27"/>
      <c r="E202" s="20"/>
      <c r="F202" s="23"/>
      <c r="G202" s="9"/>
      <c r="H202" s="20"/>
      <c r="I202" s="20"/>
      <c r="J202" s="20"/>
    </row>
    <row r="203">
      <c r="C203" s="20"/>
      <c r="D203" s="27"/>
      <c r="E203" s="20"/>
      <c r="G203" s="9"/>
      <c r="H203" s="20"/>
      <c r="I203" s="20"/>
      <c r="J203" s="20"/>
    </row>
    <row r="205">
      <c r="G205" s="67"/>
    </row>
    <row r="206">
      <c r="E206" s="20"/>
      <c r="F206" s="32"/>
      <c r="H206" s="23"/>
      <c r="I206" s="20"/>
      <c r="J206" s="23"/>
    </row>
    <row r="207">
      <c r="C207" s="20"/>
      <c r="D207" s="32"/>
      <c r="E207" s="20"/>
      <c r="H207" s="23"/>
      <c r="I207" s="20"/>
      <c r="J207" s="23"/>
    </row>
    <row r="208">
      <c r="C208" s="20"/>
      <c r="D208" s="27"/>
      <c r="E208" s="20"/>
    </row>
    <row r="209">
      <c r="C209" s="20"/>
      <c r="D209" s="32"/>
      <c r="E209" s="20"/>
      <c r="G209" s="9"/>
    </row>
    <row r="210">
      <c r="C210" s="20"/>
      <c r="D210" s="27"/>
      <c r="E210" s="20"/>
      <c r="H210" s="23"/>
      <c r="I210" s="20"/>
      <c r="J210" s="23"/>
    </row>
    <row r="211">
      <c r="E211" s="20"/>
      <c r="H211" s="23"/>
      <c r="I211" s="20"/>
      <c r="J211" s="23"/>
    </row>
    <row r="212">
      <c r="C212" s="20"/>
      <c r="D212" s="27"/>
      <c r="E212" s="20"/>
      <c r="F212" s="20"/>
      <c r="H212" s="23"/>
      <c r="I212" s="20"/>
      <c r="J212" s="23"/>
    </row>
    <row r="213">
      <c r="C213" s="20"/>
      <c r="D213" s="27"/>
      <c r="H213" s="23"/>
      <c r="I213" s="20"/>
      <c r="J213" s="23"/>
    </row>
    <row r="214">
      <c r="C214" s="20"/>
      <c r="D214" s="20"/>
      <c r="E214" s="20"/>
      <c r="F214" s="32"/>
    </row>
    <row r="215">
      <c r="C215" s="20"/>
      <c r="D215" s="27"/>
      <c r="E215" s="20"/>
      <c r="F215" s="27"/>
    </row>
    <row r="216">
      <c r="C216" s="20"/>
      <c r="D216" s="27"/>
      <c r="E216" s="20"/>
      <c r="F216" s="32"/>
    </row>
    <row r="217">
      <c r="C217" s="20"/>
      <c r="D217" s="23"/>
      <c r="E217" s="20"/>
      <c r="F217" s="27"/>
    </row>
    <row r="218">
      <c r="E218" s="20"/>
      <c r="F218" s="32"/>
    </row>
    <row r="219">
      <c r="D219" s="27"/>
      <c r="E219" s="20"/>
      <c r="F219" s="32"/>
    </row>
    <row r="220">
      <c r="C220" s="20"/>
      <c r="E220" s="20"/>
    </row>
    <row r="221">
      <c r="E221" s="20"/>
    </row>
    <row r="222">
      <c r="C222" s="20"/>
      <c r="D222" s="27"/>
      <c r="E222" s="20"/>
    </row>
    <row r="223">
      <c r="C223" s="20"/>
      <c r="D223" s="27"/>
      <c r="E223" s="20"/>
      <c r="F223" s="32"/>
    </row>
    <row r="224">
      <c r="C224" s="20"/>
      <c r="D224" s="27"/>
      <c r="E224" s="20"/>
    </row>
    <row r="226">
      <c r="C226" s="20"/>
    </row>
    <row r="227">
      <c r="C227" s="20"/>
      <c r="E227" s="20"/>
      <c r="F227" s="20"/>
    </row>
    <row r="228">
      <c r="C228" s="20"/>
      <c r="D228" s="27"/>
      <c r="E228" s="20"/>
      <c r="F228" s="20"/>
    </row>
    <row r="229">
      <c r="C229" s="20"/>
      <c r="E229" s="20"/>
      <c r="F229" s="20"/>
    </row>
    <row r="233">
      <c r="C233" s="20"/>
      <c r="D233" s="27"/>
    </row>
    <row r="234">
      <c r="C234" s="20"/>
      <c r="D234" s="27"/>
    </row>
    <row r="235">
      <c r="C235" s="20"/>
      <c r="D235" s="27"/>
    </row>
    <row r="236">
      <c r="C236" s="20"/>
      <c r="D236" s="27"/>
    </row>
    <row r="237">
      <c r="C237" s="20"/>
      <c r="D237" s="27"/>
    </row>
    <row r="238">
      <c r="C238" s="20"/>
      <c r="D238" s="27"/>
    </row>
    <row r="239">
      <c r="C239" s="20"/>
      <c r="D239" s="27"/>
    </row>
    <row r="240">
      <c r="C240" s="20"/>
      <c r="D240" s="27"/>
    </row>
    <row r="241">
      <c r="C241" s="20"/>
      <c r="D241" s="27"/>
    </row>
    <row r="242">
      <c r="C242" s="20"/>
      <c r="D242" s="32"/>
    </row>
    <row r="243">
      <c r="C243" s="160"/>
      <c r="D243" s="158"/>
    </row>
    <row r="244">
      <c r="D244" s="23"/>
    </row>
    <row r="245">
      <c r="C245" s="20"/>
      <c r="D245" s="27"/>
    </row>
    <row r="246">
      <c r="C246" s="20"/>
      <c r="D246" s="27"/>
    </row>
    <row r="247">
      <c r="C247" s="20"/>
      <c r="D247" s="27"/>
    </row>
    <row r="248">
      <c r="C248" s="20"/>
      <c r="D248" s="27"/>
    </row>
    <row r="249">
      <c r="C249" s="160"/>
      <c r="D249" s="158"/>
    </row>
    <row r="250">
      <c r="D250" s="23"/>
    </row>
    <row r="251">
      <c r="D251" s="23"/>
    </row>
    <row r="252">
      <c r="C252" s="20"/>
      <c r="D252" s="27"/>
    </row>
    <row r="253">
      <c r="C253" s="20"/>
      <c r="D253" s="27"/>
    </row>
    <row r="254">
      <c r="C254" s="20"/>
      <c r="D254" s="27"/>
    </row>
    <row r="255">
      <c r="C255" s="20"/>
      <c r="D255" s="27"/>
    </row>
    <row r="256">
      <c r="C256" s="160"/>
      <c r="D256" s="146"/>
    </row>
    <row r="257">
      <c r="D257" s="23"/>
    </row>
    <row r="258">
      <c r="C258" s="20"/>
    </row>
    <row r="259">
      <c r="C259" s="20"/>
      <c r="D259" s="32"/>
    </row>
    <row r="260">
      <c r="C260" s="20"/>
      <c r="D260" s="9"/>
    </row>
    <row r="264">
      <c r="A264" s="9"/>
    </row>
    <row r="265">
      <c r="G265" s="9"/>
    </row>
    <row r="266">
      <c r="B266" s="23"/>
      <c r="C266" s="20"/>
      <c r="D266" s="23"/>
      <c r="G266" s="9"/>
      <c r="I266" s="20"/>
    </row>
    <row r="267">
      <c r="B267" s="27"/>
      <c r="C267" s="20"/>
      <c r="D267" s="27"/>
      <c r="E267" s="20"/>
      <c r="F267" s="23"/>
      <c r="H267" s="23"/>
      <c r="I267" s="20"/>
      <c r="J267" s="23"/>
    </row>
    <row r="268">
      <c r="B268" s="27"/>
      <c r="C268" s="20"/>
      <c r="D268" s="27"/>
      <c r="E268" s="20"/>
      <c r="F268" s="27"/>
      <c r="H268" s="23"/>
      <c r="I268" s="20"/>
      <c r="J268" s="23"/>
    </row>
    <row r="269">
      <c r="B269" s="27"/>
      <c r="C269" s="20"/>
      <c r="D269" s="27"/>
      <c r="E269" s="20"/>
      <c r="F269" s="27"/>
      <c r="H269" s="23"/>
      <c r="I269" s="20"/>
      <c r="J269" s="23"/>
    </row>
    <row r="270">
      <c r="B270" s="27"/>
      <c r="C270" s="20"/>
      <c r="D270" s="27"/>
      <c r="E270" s="20"/>
      <c r="F270" s="27"/>
      <c r="H270" s="23"/>
      <c r="I270" s="20"/>
      <c r="J270" s="23"/>
    </row>
    <row r="271">
      <c r="A271" s="9"/>
      <c r="B271" s="32"/>
      <c r="C271" s="20"/>
      <c r="D271" s="32"/>
      <c r="E271" s="20"/>
      <c r="F271" s="27"/>
      <c r="H271" s="20"/>
      <c r="I271" s="20"/>
      <c r="J271" s="20"/>
    </row>
    <row r="272">
      <c r="B272" s="32"/>
      <c r="C272" s="20"/>
      <c r="D272" s="32"/>
      <c r="E272" s="20"/>
      <c r="F272" s="27"/>
      <c r="H272" s="20"/>
      <c r="I272" s="20"/>
      <c r="J272" s="20"/>
    </row>
    <row r="273">
      <c r="B273" s="27"/>
      <c r="C273" s="20"/>
      <c r="D273" s="27"/>
      <c r="E273" s="20"/>
      <c r="F273" s="23"/>
      <c r="H273" s="23"/>
      <c r="I273" s="20"/>
      <c r="J273" s="23"/>
    </row>
    <row r="274">
      <c r="E274" s="20"/>
      <c r="F274" s="23"/>
      <c r="H274" s="23"/>
      <c r="I274" s="20"/>
      <c r="J274" s="23"/>
    </row>
    <row r="275">
      <c r="B275" s="23"/>
      <c r="C275" s="20"/>
      <c r="D275" s="23"/>
      <c r="E275" s="20"/>
      <c r="F275" s="27"/>
      <c r="H275" s="23"/>
      <c r="I275" s="20"/>
      <c r="J275" s="23"/>
    </row>
    <row r="276">
      <c r="B276" s="27"/>
      <c r="C276" s="20"/>
      <c r="D276" s="27"/>
      <c r="E276" s="20"/>
      <c r="F276" s="27"/>
      <c r="H276" s="20"/>
      <c r="I276" s="20"/>
      <c r="J276" s="20"/>
    </row>
    <row r="277">
      <c r="B277" s="27"/>
      <c r="C277" s="20"/>
      <c r="D277" s="27"/>
      <c r="E277" s="20"/>
      <c r="F277" s="27"/>
      <c r="G277" s="67"/>
    </row>
    <row r="278">
      <c r="B278" s="27"/>
      <c r="C278" s="20"/>
      <c r="D278" s="27"/>
      <c r="E278" s="20"/>
      <c r="F278" s="27"/>
      <c r="G278" s="67"/>
    </row>
    <row r="279">
      <c r="B279" s="27"/>
      <c r="C279" s="20"/>
      <c r="D279" s="27"/>
      <c r="F279" s="23"/>
      <c r="G279" s="9"/>
      <c r="I279" s="20"/>
    </row>
    <row r="280">
      <c r="A280" s="67"/>
      <c r="B280" s="32"/>
      <c r="C280" s="20"/>
      <c r="D280" s="32"/>
      <c r="E280" s="20"/>
      <c r="F280" s="23"/>
      <c r="G280" s="9"/>
      <c r="H280" s="20"/>
      <c r="I280" s="20"/>
      <c r="J280" s="20"/>
    </row>
    <row r="281">
      <c r="A281" s="67"/>
      <c r="B281" s="32"/>
      <c r="C281" s="20"/>
      <c r="D281" s="32"/>
      <c r="E281" s="20"/>
      <c r="F281" s="23"/>
      <c r="G281" s="9"/>
      <c r="H281" s="20"/>
      <c r="I281" s="20"/>
      <c r="J281" s="20"/>
    </row>
    <row r="282">
      <c r="A282" s="9"/>
      <c r="B282" s="32"/>
      <c r="C282" s="20"/>
      <c r="D282" s="32"/>
      <c r="E282" s="20"/>
      <c r="F282" s="23"/>
      <c r="G282" s="9"/>
      <c r="H282" s="20"/>
      <c r="I282" s="20"/>
      <c r="J282" s="20"/>
    </row>
    <row r="283">
      <c r="B283" s="32"/>
      <c r="C283" s="20"/>
      <c r="D283" s="32"/>
      <c r="E283" s="20"/>
      <c r="F283" s="23"/>
      <c r="G283" s="9"/>
      <c r="H283" s="27"/>
      <c r="I283" s="20"/>
      <c r="J283" s="27"/>
    </row>
    <row r="284">
      <c r="E284" s="20"/>
      <c r="F284" s="23"/>
      <c r="G284" s="9"/>
      <c r="H284" s="20"/>
      <c r="I284" s="20"/>
      <c r="J284" s="20"/>
    </row>
    <row r="285">
      <c r="B285" s="20"/>
      <c r="C285" s="20"/>
      <c r="D285" s="23"/>
      <c r="E285" s="20"/>
      <c r="F285" s="23"/>
      <c r="H285" s="23"/>
      <c r="I285" s="20"/>
      <c r="J285" s="23"/>
    </row>
    <row r="286">
      <c r="B286" s="23"/>
      <c r="C286" s="20"/>
      <c r="D286" s="23"/>
      <c r="E286" s="20"/>
      <c r="F286" s="23"/>
    </row>
    <row r="287">
      <c r="B287" s="23"/>
      <c r="C287" s="20"/>
      <c r="D287" s="23"/>
      <c r="F287" s="23"/>
      <c r="G287" s="67"/>
    </row>
    <row r="288">
      <c r="B288" s="23"/>
      <c r="D288" s="23"/>
      <c r="E288" s="20"/>
      <c r="F288" s="27"/>
      <c r="G288" s="9"/>
      <c r="H288" s="20"/>
      <c r="I288" s="20"/>
      <c r="J288" s="20"/>
    </row>
    <row r="289">
      <c r="B289" s="27"/>
      <c r="C289" s="20"/>
      <c r="D289" s="27"/>
      <c r="E289" s="20"/>
      <c r="F289" s="27"/>
      <c r="G289" s="9"/>
      <c r="H289" s="20"/>
      <c r="I289" s="20"/>
      <c r="J289" s="20"/>
    </row>
    <row r="290">
      <c r="B290" s="27"/>
      <c r="C290" s="20"/>
      <c r="D290" s="27"/>
      <c r="E290" s="20"/>
      <c r="F290" s="23"/>
      <c r="G290" s="9"/>
      <c r="H290" s="20"/>
      <c r="I290" s="20"/>
      <c r="J290" s="20"/>
    </row>
    <row r="291">
      <c r="B291" s="27"/>
      <c r="C291" s="20"/>
      <c r="D291" s="27"/>
      <c r="E291" s="20"/>
      <c r="G291" s="9"/>
      <c r="H291" s="20"/>
      <c r="I291" s="20"/>
      <c r="J291" s="20"/>
    </row>
    <row r="293">
      <c r="A293" s="67"/>
      <c r="G293" s="67"/>
    </row>
    <row r="294">
      <c r="E294" s="20"/>
      <c r="F294" s="32"/>
      <c r="H294" s="23"/>
      <c r="I294" s="20"/>
      <c r="J294" s="23"/>
    </row>
    <row r="295">
      <c r="B295" s="32"/>
      <c r="C295" s="20"/>
      <c r="D295" s="32"/>
      <c r="E295" s="20"/>
      <c r="H295" s="23"/>
      <c r="I295" s="20"/>
      <c r="J295" s="23"/>
    </row>
    <row r="296">
      <c r="A296" s="9"/>
      <c r="B296" s="27"/>
      <c r="C296" s="20"/>
      <c r="D296" s="27"/>
      <c r="E296" s="20"/>
    </row>
    <row r="297">
      <c r="B297" s="32"/>
      <c r="C297" s="20"/>
      <c r="D297" s="32"/>
      <c r="E297" s="20"/>
      <c r="G297" s="9"/>
    </row>
    <row r="298">
      <c r="A298" s="9"/>
      <c r="B298" s="27"/>
      <c r="C298" s="20"/>
      <c r="D298" s="27"/>
      <c r="E298" s="20"/>
      <c r="H298" s="23"/>
      <c r="I298" s="20"/>
      <c r="J298" s="23"/>
    </row>
    <row r="299">
      <c r="A299" s="67"/>
      <c r="E299" s="20"/>
      <c r="H299" s="23"/>
      <c r="I299" s="20"/>
      <c r="J299" s="23"/>
    </row>
    <row r="300">
      <c r="B300" s="27"/>
      <c r="C300" s="20"/>
      <c r="D300" s="27"/>
      <c r="E300" s="20"/>
      <c r="F300" s="20"/>
      <c r="H300" s="23"/>
      <c r="I300" s="20"/>
      <c r="J300" s="23"/>
    </row>
    <row r="301">
      <c r="B301" s="27"/>
      <c r="C301" s="20"/>
      <c r="D301" s="27"/>
      <c r="H301" s="23"/>
      <c r="I301" s="20"/>
      <c r="J301" s="23"/>
    </row>
    <row r="302">
      <c r="B302" s="20"/>
      <c r="C302" s="20"/>
      <c r="D302" s="20"/>
      <c r="E302" s="20"/>
      <c r="F302" s="32"/>
    </row>
    <row r="303">
      <c r="B303" s="27"/>
      <c r="C303" s="20"/>
      <c r="D303" s="27"/>
      <c r="E303" s="20"/>
      <c r="F303" s="27"/>
    </row>
    <row r="304">
      <c r="B304" s="27"/>
      <c r="C304" s="20"/>
      <c r="D304" s="27"/>
      <c r="E304" s="20"/>
      <c r="F304" s="32"/>
    </row>
    <row r="305">
      <c r="B305" s="23"/>
      <c r="C305" s="20"/>
      <c r="D305" s="23"/>
      <c r="E305" s="20"/>
      <c r="F305" s="27"/>
    </row>
    <row r="306">
      <c r="E306" s="20"/>
      <c r="F306" s="32"/>
    </row>
    <row r="307">
      <c r="B307" s="27"/>
      <c r="D307" s="27"/>
      <c r="E307" s="20"/>
      <c r="F307" s="32"/>
    </row>
    <row r="308">
      <c r="A308" s="9"/>
      <c r="C308" s="20"/>
      <c r="E308" s="20"/>
    </row>
    <row r="309">
      <c r="E309" s="20"/>
    </row>
    <row r="310">
      <c r="B310" s="27"/>
      <c r="C310" s="20"/>
      <c r="D310" s="27"/>
      <c r="E310" s="20"/>
    </row>
    <row r="311">
      <c r="B311" s="27"/>
      <c r="C311" s="20"/>
      <c r="D311" s="27"/>
      <c r="E311" s="20"/>
      <c r="F311" s="32"/>
    </row>
    <row r="312">
      <c r="B312" s="27"/>
      <c r="C312" s="20"/>
      <c r="D312" s="27"/>
      <c r="E312" s="20"/>
    </row>
    <row r="314">
      <c r="A314" s="9"/>
      <c r="C314" s="20"/>
    </row>
    <row r="315">
      <c r="C315" s="20"/>
      <c r="E315" s="20"/>
      <c r="F315" s="20"/>
    </row>
    <row r="316">
      <c r="B316" s="27"/>
      <c r="C316" s="20"/>
      <c r="D316" s="27"/>
      <c r="E316" s="20"/>
      <c r="F316" s="20"/>
    </row>
    <row r="317">
      <c r="A317" s="9"/>
      <c r="C317" s="20"/>
      <c r="E317" s="20"/>
      <c r="F317" s="20"/>
    </row>
    <row r="319">
      <c r="A319" s="9"/>
    </row>
    <row r="320">
      <c r="A320" s="67"/>
    </row>
    <row r="321">
      <c r="B321" s="27"/>
      <c r="C321" s="20"/>
      <c r="D321" s="27"/>
    </row>
    <row r="322">
      <c r="A322" s="150"/>
      <c r="B322" s="27"/>
      <c r="C322" s="20"/>
      <c r="D322" s="27"/>
    </row>
    <row r="323">
      <c r="B323" s="27"/>
      <c r="C323" s="20"/>
      <c r="D323" s="27"/>
    </row>
    <row r="324">
      <c r="B324" s="27"/>
      <c r="C324" s="20"/>
      <c r="D324" s="27"/>
    </row>
    <row r="325">
      <c r="A325" s="9"/>
      <c r="B325" s="27"/>
      <c r="C325" s="20"/>
      <c r="D325" s="27"/>
    </row>
    <row r="326">
      <c r="B326" s="27"/>
      <c r="C326" s="20"/>
      <c r="D326" s="27"/>
    </row>
    <row r="327">
      <c r="B327" s="27"/>
      <c r="C327" s="20"/>
      <c r="D327" s="27"/>
    </row>
    <row r="328">
      <c r="B328" s="27"/>
      <c r="C328" s="20"/>
      <c r="D328" s="27"/>
    </row>
    <row r="329">
      <c r="B329" s="27"/>
      <c r="C329" s="20"/>
      <c r="D329" s="27"/>
    </row>
    <row r="330">
      <c r="C330" s="20"/>
      <c r="D330" s="32"/>
    </row>
    <row r="331">
      <c r="A331" s="67"/>
      <c r="B331" s="158"/>
      <c r="C331" s="160"/>
      <c r="D331" s="158"/>
    </row>
    <row r="332">
      <c r="B332" s="23"/>
      <c r="D332" s="23"/>
    </row>
    <row r="333">
      <c r="B333" s="27"/>
      <c r="C333" s="20"/>
      <c r="D333" s="27"/>
    </row>
    <row r="334">
      <c r="B334" s="27"/>
      <c r="C334" s="20"/>
      <c r="D334" s="27"/>
    </row>
    <row r="335">
      <c r="B335" s="27"/>
      <c r="C335" s="20"/>
      <c r="D335" s="27"/>
    </row>
    <row r="336">
      <c r="B336" s="27"/>
      <c r="C336" s="20"/>
      <c r="D336" s="27"/>
    </row>
    <row r="337">
      <c r="A337" s="67"/>
      <c r="B337" s="158"/>
      <c r="C337" s="160"/>
      <c r="D337" s="158"/>
    </row>
    <row r="338">
      <c r="B338" s="23"/>
      <c r="D338" s="23"/>
    </row>
    <row r="339">
      <c r="B339" s="27"/>
      <c r="D339" s="23"/>
    </row>
    <row r="340">
      <c r="B340" s="27"/>
      <c r="C340" s="20"/>
      <c r="D340" s="27"/>
    </row>
    <row r="341">
      <c r="B341" s="27"/>
      <c r="C341" s="20"/>
      <c r="D341" s="27"/>
    </row>
    <row r="342">
      <c r="B342" s="27"/>
      <c r="C342" s="20"/>
      <c r="D342" s="27"/>
    </row>
    <row r="343">
      <c r="B343" s="27"/>
      <c r="C343" s="20"/>
      <c r="D343" s="27"/>
    </row>
    <row r="344">
      <c r="A344" s="67"/>
      <c r="B344" s="146"/>
      <c r="C344" s="160"/>
      <c r="D344" s="146"/>
    </row>
    <row r="345">
      <c r="B345" s="23"/>
      <c r="D345" s="23"/>
    </row>
    <row r="346">
      <c r="A346" s="9"/>
      <c r="C346" s="20"/>
    </row>
    <row r="347">
      <c r="B347" s="32"/>
      <c r="C347" s="20"/>
      <c r="D347" s="32"/>
    </row>
    <row r="348">
      <c r="B348" s="9"/>
      <c r="C348" s="20"/>
      <c r="D348" s="9"/>
    </row>
  </sheetData>
  <mergeCells count="2">
    <mergeCell ref="Q14:R14"/>
    <mergeCell ref="F116:G116"/>
  </mergeCells>
  <dataValidations>
    <dataValidation type="list" allowBlank="1" showErrorMessage="1" sqref="B1 D1 F1 H1">
      <formula1>"Feito,Não,Atual"</formula1>
    </dataValidation>
    <dataValidation type="custom" allowBlank="1" showDropDown="1" sqref="K28:K36 M28:N36">
      <formula1>AND(ISNUMBER(K28),(NOT(OR(NOT(ISERROR(DATEVALUE(K28))), AND(ISNUMBER(K28), LEFT(CELL("format", K28))="D")))))</formula1>
    </dataValidation>
  </dataValidations>
  <drawing r:id="rId2"/>
  <legacyDrawing r:id="rId3"/>
  <tableParts count="3">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2" width="18.0"/>
    <col customWidth="1" min="3" max="3" width="15.38"/>
    <col customWidth="1" min="4" max="4" width="15.63"/>
    <col customWidth="1" min="5" max="5" width="11.63"/>
    <col customWidth="1" min="6" max="6" width="20.88"/>
    <col customWidth="1" min="7" max="7" width="17.5"/>
    <col customWidth="1" min="8" max="8" width="15.63"/>
    <col customWidth="1" min="9" max="9" width="24.38"/>
    <col customWidth="1" min="10" max="10" width="27.25"/>
    <col customWidth="1" min="11" max="11" width="27.0"/>
    <col customWidth="1" min="12" max="12" width="17.25"/>
    <col customWidth="1" min="13" max="13" width="29.88"/>
    <col customWidth="1" min="14" max="14" width="22.0"/>
    <col customWidth="1" min="15" max="15" width="28.25"/>
    <col customWidth="1" min="16" max="16" width="18.5"/>
    <col customWidth="1" min="17" max="17" width="22.75"/>
    <col customWidth="1" min="18" max="18" width="19.38"/>
    <col customWidth="1" min="20" max="20" width="22.25"/>
    <col customWidth="1" min="21" max="21" width="19.25"/>
  </cols>
  <sheetData>
    <row r="1">
      <c r="A1" s="1"/>
      <c r="B1" s="2" t="s">
        <v>1</v>
      </c>
      <c r="C1" s="3">
        <v>46058.0</v>
      </c>
      <c r="D1" s="2" t="s">
        <v>2</v>
      </c>
      <c r="E1" s="4">
        <v>46225.0</v>
      </c>
      <c r="F1" s="2" t="s">
        <v>3</v>
      </c>
      <c r="G1" s="3">
        <v>46058.0</v>
      </c>
      <c r="H1" s="2" t="s">
        <v>3</v>
      </c>
      <c r="I1" s="3">
        <v>46058.0</v>
      </c>
      <c r="J1" s="6" t="s">
        <v>4</v>
      </c>
      <c r="K1" s="8">
        <f t="array" ref="K1">IFERROR(INDEX(Indicador_Ações[], MATCH($J$2, Indicador_Ações[Stock], 0), MATCH(Indicador_Ações[[#HEADERS],[ult_balanco_processado]], Indicador_Ações[#HEADERS], 0)),"")</f>
        <v>46203</v>
      </c>
      <c r="L1" s="9"/>
      <c r="M1" s="9"/>
      <c r="N1" s="9"/>
    </row>
    <row r="2">
      <c r="A2" s="10" t="s">
        <v>5</v>
      </c>
      <c r="B2" s="9"/>
      <c r="D2" s="9"/>
      <c r="J2" s="11" t="s">
        <v>231</v>
      </c>
      <c r="K2" s="170">
        <f>IFERROR(__xludf.DUMMYFUNCTION("(GOOGLEFINANCE(""BVMF:"" &amp; J2))"),51.79)</f>
        <v>51.79</v>
      </c>
      <c r="L2" s="13">
        <f t="array" ref="L2">IFERROR(INDEX(Indicador_Ações[], MATCH($J$2, Indicador_Ações[Stock], 0), MATCH(Indicador_Ações[[#HEADERS],[qtd_acao]], Indicador_Ações[#HEADERS], 0)),"")</f>
        <v>4197320000</v>
      </c>
      <c r="M2" s="15" t="s">
        <v>10</v>
      </c>
      <c r="O2" s="9"/>
      <c r="P2" s="9"/>
    </row>
    <row r="3">
      <c r="A3" s="9" t="s">
        <v>11</v>
      </c>
      <c r="B3" s="9" t="s">
        <v>12</v>
      </c>
      <c r="C3" s="9" t="s">
        <v>13</v>
      </c>
      <c r="D3" s="9" t="s">
        <v>14</v>
      </c>
      <c r="E3" s="9" t="s">
        <v>15</v>
      </c>
      <c r="F3" s="9" t="s">
        <v>16</v>
      </c>
      <c r="G3" s="9" t="s">
        <v>17</v>
      </c>
      <c r="H3" s="9" t="s">
        <v>18</v>
      </c>
      <c r="J3" s="17" t="s">
        <v>19</v>
      </c>
      <c r="K3" s="171">
        <v>1000.0</v>
      </c>
      <c r="L3" s="19">
        <f>IFERROR(K22/K14,0)</f>
        <v>0.1558439779</v>
      </c>
      <c r="M3" s="51" t="s">
        <v>22</v>
      </c>
      <c r="N3" s="22" t="s">
        <v>21</v>
      </c>
      <c r="O3" s="22"/>
      <c r="P3" s="21"/>
      <c r="Q3" s="22"/>
      <c r="R3" s="21"/>
      <c r="S3" s="22"/>
      <c r="T3" s="21"/>
      <c r="U3" s="22"/>
      <c r="V3" s="21"/>
    </row>
    <row r="4">
      <c r="A4" s="9" t="s">
        <v>24</v>
      </c>
      <c r="B4" s="23">
        <f>B5+B6</f>
        <v>43377646</v>
      </c>
      <c r="C4" s="20">
        <f t="shared" ref="C4:C6" si="1">IFERROR(SUM((D4/B4)-1),0)</f>
        <v>0.07581750748</v>
      </c>
      <c r="D4" s="23">
        <f>D5+D6</f>
        <v>46666431</v>
      </c>
      <c r="E4" s="20">
        <f t="shared" ref="E4:E6" si="2">IFERROR(SUM((F4/D4)-1),0)</f>
        <v>-0.1108281883</v>
      </c>
      <c r="F4" s="23">
        <f>F5+F6</f>
        <v>41494475</v>
      </c>
      <c r="G4" s="20">
        <f t="shared" ref="G4:G6" si="3">IFERROR(SUM((H4/F4)-1),0)</f>
        <v>0.02772790835</v>
      </c>
      <c r="H4" s="23">
        <f>H5+H6</f>
        <v>42645030</v>
      </c>
      <c r="J4" s="25" t="s">
        <v>25</v>
      </c>
      <c r="K4" s="26">
        <f t="array" ref="K4">IFERROR(INDEX(Indicador_Ações[], MATCH($J$2, Indicador_Ações[Stock], 0), MATCH(Indicador_Ações[[#HEADERS],[ativo]], Indicador_Ações[#HEADERS], 0)),"")</f>
        <v>46666400000</v>
      </c>
      <c r="L4" s="19">
        <f>IFERROR(K19/K14,0)</f>
        <v>0.3409310943</v>
      </c>
      <c r="M4" s="22" t="s">
        <v>26</v>
      </c>
      <c r="N4" s="22" t="s">
        <v>27</v>
      </c>
      <c r="O4" s="28">
        <v>91430.0</v>
      </c>
      <c r="P4" s="28"/>
      <c r="Q4" s="19"/>
      <c r="R4" s="28"/>
      <c r="S4" s="19"/>
      <c r="T4" s="28"/>
      <c r="U4" s="19"/>
      <c r="V4" s="28"/>
    </row>
    <row r="5">
      <c r="A5" s="9" t="s">
        <v>28</v>
      </c>
      <c r="B5" s="27">
        <v>2.7341315E7</v>
      </c>
      <c r="C5" s="20">
        <f t="shared" si="1"/>
        <v>0.09925682068</v>
      </c>
      <c r="D5" s="27">
        <v>3.0055127E7</v>
      </c>
      <c r="E5" s="20">
        <f t="shared" si="2"/>
        <v>-0.1090990565</v>
      </c>
      <c r="F5" s="27">
        <v>2.6776141E7</v>
      </c>
      <c r="G5" s="20">
        <f t="shared" si="3"/>
        <v>0.005030747336</v>
      </c>
      <c r="H5" s="27">
        <v>2.6910845E7</v>
      </c>
      <c r="J5" s="22" t="s">
        <v>29</v>
      </c>
      <c r="K5" s="29">
        <f>K2*L2</f>
        <v>217379202800</v>
      </c>
      <c r="L5" s="19">
        <f>IFERROR(K16/K14,0)</f>
        <v>0.2093194153</v>
      </c>
      <c r="M5" s="22" t="s">
        <v>30</v>
      </c>
      <c r="N5" s="22" t="s">
        <v>32</v>
      </c>
      <c r="O5" s="172">
        <v>0.0</v>
      </c>
      <c r="P5" s="173"/>
      <c r="Q5" s="19"/>
      <c r="R5" s="53"/>
      <c r="S5" s="19"/>
      <c r="T5" s="174"/>
      <c r="U5" s="118"/>
      <c r="V5" s="175"/>
    </row>
    <row r="6">
      <c r="A6" s="9" t="s">
        <v>33</v>
      </c>
      <c r="B6" s="27">
        <v>1.6036331E7</v>
      </c>
      <c r="C6" s="20">
        <f t="shared" si="1"/>
        <v>0.03585439837</v>
      </c>
      <c r="D6" s="27">
        <v>1.6611304E7</v>
      </c>
      <c r="E6" s="20">
        <f t="shared" si="2"/>
        <v>-0.1139567369</v>
      </c>
      <c r="F6" s="27">
        <v>1.4718334E7</v>
      </c>
      <c r="G6" s="20">
        <f t="shared" si="3"/>
        <v>0.06901942842</v>
      </c>
      <c r="H6" s="27">
        <v>1.5734185E7</v>
      </c>
      <c r="J6" s="25" t="s">
        <v>34</v>
      </c>
      <c r="K6" s="26">
        <f>SUM(K5,K10)</f>
        <v>213644412800</v>
      </c>
      <c r="L6" s="19">
        <f>IFERROR(K17/K14,0)</f>
        <v>0.2242709481</v>
      </c>
      <c r="M6" s="51" t="s">
        <v>37</v>
      </c>
      <c r="N6" s="22" t="s">
        <v>39</v>
      </c>
      <c r="O6" s="28">
        <f>SUM(O4:O5)</f>
        <v>91430</v>
      </c>
      <c r="P6" s="176"/>
      <c r="Q6" s="118"/>
      <c r="R6" s="176"/>
      <c r="S6" s="19"/>
      <c r="T6" s="174"/>
      <c r="U6" s="118"/>
      <c r="V6" s="175"/>
    </row>
    <row r="7">
      <c r="B7" s="27"/>
      <c r="C7" s="20"/>
      <c r="D7" s="27"/>
      <c r="E7" s="20"/>
      <c r="F7" s="27"/>
      <c r="G7" s="20"/>
      <c r="H7" s="27"/>
      <c r="J7" s="22" t="s">
        <v>36</v>
      </c>
      <c r="K7" s="29">
        <f t="array" ref="K7">IFERROR(INDEX(Indicador_Ações[], MATCH($J$2, Indicador_Ações[Stock], 0), MATCH(Indicador_Ações[[#HEADERS],[disponibilidades]], Indicador_Ações[#HEADERS], 0)),"")</f>
        <v>8801140000</v>
      </c>
      <c r="L7" s="28">
        <f>K22/L2</f>
        <v>1.490010292</v>
      </c>
      <c r="M7" s="51" t="s">
        <v>41</v>
      </c>
      <c r="N7" s="9" t="s">
        <v>44</v>
      </c>
      <c r="O7" s="44">
        <f>ABS(SUM(B52,D52,F52,H52)/SUM(B51,D51,F51,H51))</f>
        <v>0.1683570667</v>
      </c>
      <c r="P7" s="28"/>
      <c r="Q7" s="19"/>
      <c r="R7" s="28"/>
      <c r="S7" s="118"/>
      <c r="T7" s="177"/>
      <c r="U7" s="118"/>
      <c r="V7" s="175"/>
    </row>
    <row r="8">
      <c r="A8" s="9" t="s">
        <v>42</v>
      </c>
      <c r="B8" s="27">
        <v>1.0027505E7</v>
      </c>
      <c r="C8" s="20">
        <f t="shared" ref="C8:C11" si="4">IFERROR(SUM((D8/B8)-1),0)</f>
        <v>0.06787411225</v>
      </c>
      <c r="D8" s="27">
        <v>1.0708113E7</v>
      </c>
      <c r="E8" s="20">
        <f t="shared" ref="E8:E11" si="5">IFERROR(SUM((F8/D8)-1),0)</f>
        <v>-0.06691655196</v>
      </c>
      <c r="F8" s="27">
        <v>9991563.0</v>
      </c>
      <c r="G8" s="20">
        <f t="shared" ref="G8:G11" si="6">IFERROR(SUM((H8/F8)-1),0)</f>
        <v>-0.008057798364</v>
      </c>
      <c r="H8" s="27">
        <v>9911053.0</v>
      </c>
      <c r="J8" s="25" t="s">
        <v>43</v>
      </c>
      <c r="K8" s="45">
        <f t="array" ref="K8">IFERROR(INDEX(Indicador_Ações[], MATCH($J$2, Indicador_Ações[Stock], 0), MATCH(Indicador_Ações[[#HEADERS],[patrimonio_liquido]], Indicador_Ações[#HEADERS], 0)),"")</f>
        <v>18861400000</v>
      </c>
      <c r="L8" s="50">
        <f t="array" ref="L8">IFERROR(INDEX(O6*K3,0)/L2,"")</f>
        <v>0.02178294721</v>
      </c>
      <c r="M8" s="22" t="s">
        <v>46</v>
      </c>
      <c r="N8" s="9" t="s">
        <v>50</v>
      </c>
      <c r="O8" s="21">
        <f>K16*(1-O7)</f>
        <v>6985825589</v>
      </c>
      <c r="P8" s="53"/>
      <c r="Q8" s="19"/>
      <c r="R8" s="53"/>
      <c r="S8" s="22"/>
      <c r="T8" s="22"/>
      <c r="U8" s="22"/>
      <c r="V8" s="22"/>
    </row>
    <row r="9">
      <c r="A9" s="43" t="s">
        <v>47</v>
      </c>
      <c r="B9" s="42">
        <v>6360547.0</v>
      </c>
      <c r="C9" s="48">
        <f t="shared" si="4"/>
        <v>0.218488913</v>
      </c>
      <c r="D9" s="42">
        <v>7750256.0</v>
      </c>
      <c r="E9" s="48">
        <f t="shared" si="5"/>
        <v>-0.1720806384</v>
      </c>
      <c r="F9" s="42">
        <v>6416587.0</v>
      </c>
      <c r="G9" s="48">
        <f t="shared" si="6"/>
        <v>-0.01871540119</v>
      </c>
      <c r="H9" s="42">
        <v>6296498.0</v>
      </c>
      <c r="J9" s="22" t="s">
        <v>48</v>
      </c>
      <c r="K9" s="50">
        <f t="array" ref="K9">IFERROR(INDEX(Indicador_Ações[], MATCH($J$2, Indicador_Ações[Stock], 0), MATCH(Indicador_Ações[[#HEADERS],[divida_bruta]], Indicador_Ações[#HEADERS], 0)),"")</f>
        <v>5066350000</v>
      </c>
      <c r="L9" s="19">
        <f>IFERROR(L8/L7,0)</f>
        <v>0.01461932668</v>
      </c>
      <c r="M9" s="51" t="s">
        <v>55</v>
      </c>
      <c r="N9" s="20"/>
      <c r="T9" s="22"/>
      <c r="U9" s="22"/>
      <c r="V9" s="22"/>
    </row>
    <row r="10">
      <c r="A10" s="9" t="s">
        <v>51</v>
      </c>
      <c r="B10" s="27">
        <v>1025221.0</v>
      </c>
      <c r="C10" s="20">
        <f t="shared" si="4"/>
        <v>0.0250336269</v>
      </c>
      <c r="D10" s="27">
        <v>1050886.0</v>
      </c>
      <c r="E10" s="20">
        <f t="shared" si="5"/>
        <v>-0.1257624519</v>
      </c>
      <c r="F10" s="27">
        <v>918724.0</v>
      </c>
      <c r="G10" s="20">
        <f t="shared" si="6"/>
        <v>0.07036171908</v>
      </c>
      <c r="H10" s="27">
        <v>983367.0</v>
      </c>
      <c r="J10" s="25" t="s">
        <v>52</v>
      </c>
      <c r="K10" s="45">
        <f>K9-K7</f>
        <v>-3734790000</v>
      </c>
      <c r="L10" s="28">
        <f>IFERROR(K14/K4,0)</f>
        <v>0.8599377711</v>
      </c>
      <c r="M10" s="22" t="s">
        <v>53</v>
      </c>
      <c r="N10" s="20"/>
      <c r="Q10" s="180"/>
      <c r="R10" s="180"/>
      <c r="S10" s="22"/>
      <c r="T10" s="22"/>
      <c r="U10" s="22"/>
      <c r="V10" s="22"/>
    </row>
    <row r="11">
      <c r="A11" s="9" t="s">
        <v>54</v>
      </c>
      <c r="B11" s="27">
        <f>SUM(B9,B10)</f>
        <v>7385768</v>
      </c>
      <c r="C11" s="20">
        <f t="shared" si="4"/>
        <v>0.1916353181</v>
      </c>
      <c r="D11" s="27">
        <f>SUM(D9,D10)</f>
        <v>8801142</v>
      </c>
      <c r="E11" s="20">
        <f t="shared" si="5"/>
        <v>-0.1665500909</v>
      </c>
      <c r="F11" s="27">
        <f>SUM(F9,F10)</f>
        <v>7335311</v>
      </c>
      <c r="G11" s="20">
        <f t="shared" si="6"/>
        <v>-0.007558779716</v>
      </c>
      <c r="H11" s="27">
        <f>SUM(H9,H10)</f>
        <v>7279865</v>
      </c>
      <c r="J11" s="22" t="s">
        <v>56</v>
      </c>
      <c r="K11" s="29">
        <f>SUM(K8,K9)</f>
        <v>23927750000</v>
      </c>
      <c r="L11" s="19">
        <f>IFERROR(K22/K8,0)</f>
        <v>0.3315793101</v>
      </c>
      <c r="M11" s="22" t="s">
        <v>57</v>
      </c>
      <c r="N11" s="20"/>
      <c r="Q11" s="180"/>
      <c r="R11" s="28"/>
      <c r="S11" s="22"/>
      <c r="T11" s="22"/>
      <c r="U11" s="22"/>
      <c r="V11" s="22"/>
    </row>
    <row r="12">
      <c r="A12" s="56"/>
      <c r="B12" s="57"/>
      <c r="C12" s="58"/>
      <c r="D12" s="57"/>
      <c r="E12" s="58"/>
      <c r="F12" s="57"/>
      <c r="G12" s="58"/>
      <c r="H12" s="57"/>
      <c r="J12" s="25" t="s">
        <v>58</v>
      </c>
      <c r="K12" s="59">
        <f>K9/K11</f>
        <v>0.2117353282</v>
      </c>
      <c r="L12" s="19">
        <f>O8/K11</f>
        <v>0.2919549723</v>
      </c>
      <c r="M12" s="22" t="s">
        <v>59</v>
      </c>
      <c r="N12" s="20"/>
      <c r="Q12" s="180"/>
      <c r="R12" s="28"/>
      <c r="S12" s="22"/>
      <c r="T12" s="22"/>
      <c r="U12" s="22"/>
      <c r="V12" s="22"/>
    </row>
    <row r="13">
      <c r="A13" s="9" t="s">
        <v>60</v>
      </c>
      <c r="B13" s="23">
        <f>SUM(B14+B15)</f>
        <v>24294017</v>
      </c>
      <c r="C13" s="20">
        <f t="shared" ref="C13:C17" si="7">IFERROR(SUM((D13/B13)-1),0)</f>
        <v>0.08977601358</v>
      </c>
      <c r="D13" s="23">
        <f>SUM(D14+D15)</f>
        <v>26475037</v>
      </c>
      <c r="E13" s="20">
        <f t="shared" ref="E13:E17" si="8">IFERROR(SUM((F13/D13)-1),0)</f>
        <v>-0.3171716436</v>
      </c>
      <c r="F13" s="23">
        <f>SUM(F14+F15)</f>
        <v>18077906</v>
      </c>
      <c r="G13" s="20">
        <f t="shared" ref="G13:G17" si="9">IFERROR(SUM((H13/F13)-1),0)</f>
        <v>0.332657997</v>
      </c>
      <c r="H13" s="23">
        <f>SUM(H14+H15)</f>
        <v>24091666</v>
      </c>
      <c r="J13" s="17" t="s">
        <v>61</v>
      </c>
      <c r="K13" s="17"/>
      <c r="L13" s="19">
        <f>IFERROR(K22/K4,0)</f>
        <v>0.1340161229</v>
      </c>
      <c r="M13" s="22" t="s">
        <v>62</v>
      </c>
      <c r="N13" s="20"/>
      <c r="Q13" s="21"/>
      <c r="R13" s="28"/>
      <c r="S13" s="22"/>
      <c r="T13" s="22"/>
      <c r="U13" s="22"/>
      <c r="V13" s="22"/>
    </row>
    <row r="14">
      <c r="A14" s="9" t="s">
        <v>63</v>
      </c>
      <c r="B14" s="27">
        <v>1.7662876E7</v>
      </c>
      <c r="C14" s="20">
        <f t="shared" si="7"/>
        <v>0.07149356651</v>
      </c>
      <c r="D14" s="27">
        <v>1.8925658E7</v>
      </c>
      <c r="E14" s="20">
        <f t="shared" si="8"/>
        <v>-0.2045297976</v>
      </c>
      <c r="F14" s="27">
        <v>1.5054797E7</v>
      </c>
      <c r="G14" s="20">
        <f t="shared" si="9"/>
        <v>0.1548744895</v>
      </c>
      <c r="H14" s="27">
        <v>1.7386401E7</v>
      </c>
      <c r="J14" s="24" t="s">
        <v>67</v>
      </c>
      <c r="K14" s="45">
        <f t="array" ref="K14">IFERROR(INDEX(Indicador_Ações[], MATCH($J$2, Indicador_Ações[Stock], 0), MATCH(Indicador_Ações[[#HEADERS],[receita_liquida_12m]], Indicador_Ações[#HEADERS], 0)),"")</f>
        <v>40130200000</v>
      </c>
      <c r="L14" s="28">
        <f>K6/K17</f>
        <v>23.73816786</v>
      </c>
      <c r="M14" s="22" t="s">
        <v>65</v>
      </c>
      <c r="N14" s="20"/>
      <c r="Q14" s="22"/>
      <c r="R14" s="28"/>
      <c r="S14" s="22"/>
      <c r="T14" s="22"/>
      <c r="U14" s="22"/>
      <c r="V14" s="22"/>
    </row>
    <row r="15">
      <c r="A15" s="9" t="s">
        <v>66</v>
      </c>
      <c r="B15" s="27">
        <v>6631141.0</v>
      </c>
      <c r="C15" s="20">
        <f t="shared" si="7"/>
        <v>0.1384736051</v>
      </c>
      <c r="D15" s="27">
        <v>7549379.0</v>
      </c>
      <c r="E15" s="20">
        <f t="shared" si="8"/>
        <v>-0.5995552747</v>
      </c>
      <c r="F15" s="27">
        <v>3023109.0</v>
      </c>
      <c r="G15" s="20">
        <f t="shared" si="9"/>
        <v>1.218003056</v>
      </c>
      <c r="H15" s="27">
        <v>6705265.0</v>
      </c>
      <c r="J15" s="62" t="s">
        <v>71</v>
      </c>
      <c r="K15" s="63">
        <f t="array" ref="K15">IFERROR(INDEX(Indicador_Ações[], MATCH($J$2, Indicador_Ações[Stock], 0), MATCH(Indicador_Ações[[#HEADERS],[cagr_receita_5a]], Indicador_Ações[#HEADERS], 0)),"")</f>
        <v>11.2</v>
      </c>
      <c r="L15" s="19">
        <f>K17/K6</f>
        <v>0.04212625026</v>
      </c>
      <c r="M15" s="22" t="s">
        <v>69</v>
      </c>
      <c r="N15" s="20"/>
      <c r="Q15" s="22"/>
      <c r="R15" s="28"/>
      <c r="S15" s="22"/>
      <c r="T15" s="22"/>
      <c r="U15" s="22"/>
      <c r="V15" s="22"/>
    </row>
    <row r="16">
      <c r="A16" s="9" t="s">
        <v>70</v>
      </c>
      <c r="B16" s="27">
        <v>3099649.0</v>
      </c>
      <c r="C16" s="20">
        <f t="shared" si="7"/>
        <v>0.02045683237</v>
      </c>
      <c r="D16" s="27">
        <v>3163058.0</v>
      </c>
      <c r="E16" s="20">
        <f t="shared" si="8"/>
        <v>-0.09524169332</v>
      </c>
      <c r="F16" s="27">
        <v>2861803.0</v>
      </c>
      <c r="G16" s="20">
        <f t="shared" si="9"/>
        <v>0.2402370114</v>
      </c>
      <c r="H16" s="27">
        <v>3549314.0</v>
      </c>
      <c r="J16" s="9" t="s">
        <v>76</v>
      </c>
      <c r="K16" s="29">
        <f t="array" ref="K16">IFERROR(INDEX(Indicador_Ações[], MATCH($J$2, Indicador_Ações[Stock], 0), MATCH(Indicador_Ações[[#HEADERS],[ebit_12m]], Indicador_Ações[#HEADERS], 0)),"")</f>
        <v>8400030000</v>
      </c>
      <c r="L16" s="182">
        <f>IFERROR(K10/K17,0)</f>
        <v>-0.4149749146</v>
      </c>
      <c r="M16" s="71" t="s">
        <v>81</v>
      </c>
      <c r="N16" s="20"/>
      <c r="Q16" s="22"/>
      <c r="R16" s="28"/>
      <c r="S16" s="22"/>
      <c r="T16" s="22"/>
      <c r="U16" s="22"/>
      <c r="V16" s="55"/>
    </row>
    <row r="17">
      <c r="A17" s="9" t="s">
        <v>73</v>
      </c>
      <c r="B17" s="27">
        <v>992832.0</v>
      </c>
      <c r="C17" s="20">
        <f t="shared" si="7"/>
        <v>0.9170292658</v>
      </c>
      <c r="D17" s="27">
        <v>1903288.0</v>
      </c>
      <c r="E17" s="20">
        <f t="shared" si="8"/>
        <v>-0.4803455914</v>
      </c>
      <c r="F17" s="27">
        <v>989052.0</v>
      </c>
      <c r="G17" s="20">
        <f t="shared" si="9"/>
        <v>0.05303664519</v>
      </c>
      <c r="H17" s="27">
        <v>1041508.0</v>
      </c>
      <c r="J17" s="22" t="s">
        <v>84</v>
      </c>
      <c r="K17" s="50">
        <f>IFERROR(SUM(B50,D50,F50,H50),"")*K3</f>
        <v>9000038000</v>
      </c>
      <c r="L17" s="184">
        <f>IFERROR(SUM(B5,D5,F5,H5)/SUM(B14,D14,F14,H14),0)</f>
        <v>1.609211347</v>
      </c>
      <c r="M17" s="71" t="s">
        <v>85</v>
      </c>
      <c r="O17" s="79"/>
      <c r="P17" s="19"/>
      <c r="Q17" s="22"/>
      <c r="R17" s="28"/>
      <c r="S17" s="22"/>
      <c r="T17" s="22"/>
      <c r="U17" s="22"/>
      <c r="V17" s="21"/>
    </row>
    <row r="18">
      <c r="A18" s="67"/>
      <c r="B18" s="32"/>
      <c r="C18" s="20"/>
      <c r="D18" s="32"/>
      <c r="E18" s="20"/>
      <c r="F18" s="32"/>
      <c r="G18" s="20"/>
      <c r="H18" s="32"/>
      <c r="J18" s="22" t="s">
        <v>80</v>
      </c>
      <c r="K18" s="50">
        <f>SUM(B32,D32,F32,H32)*K3</f>
        <v>-27122477000</v>
      </c>
      <c r="L18" s="68">
        <f>SUM(B43,D43,F43,H43)/ABS(SUM(B46,D46,F46,H46))</f>
        <v>3.680326662</v>
      </c>
      <c r="M18" s="69" t="s">
        <v>78</v>
      </c>
      <c r="O18" s="22"/>
      <c r="P18" s="28"/>
      <c r="Q18" s="118"/>
      <c r="R18" s="22"/>
      <c r="S18" s="22"/>
      <c r="T18" s="22"/>
      <c r="U18" s="22"/>
      <c r="V18" s="22"/>
    </row>
    <row r="19">
      <c r="A19" s="70" t="s">
        <v>79</v>
      </c>
      <c r="B19" s="32"/>
      <c r="C19" s="20"/>
      <c r="D19" s="32"/>
      <c r="E19" s="20"/>
      <c r="F19" s="32"/>
      <c r="G19" s="20"/>
      <c r="H19" s="32"/>
      <c r="J19" s="25" t="s">
        <v>86</v>
      </c>
      <c r="K19" s="45">
        <f>IFERROR(SUM(B33,D33,F33,H33),"")*K3</f>
        <v>13681633000</v>
      </c>
      <c r="L19" s="184">
        <f>IFERROR(K4/K8,0)</f>
        <v>2.47417477</v>
      </c>
      <c r="M19" s="71" t="s">
        <v>82</v>
      </c>
      <c r="O19" s="79"/>
      <c r="P19" s="23"/>
      <c r="Q19" s="118"/>
      <c r="T19" s="22"/>
      <c r="U19" s="22"/>
      <c r="V19" s="21"/>
    </row>
    <row r="20">
      <c r="A20" s="72" t="s">
        <v>48</v>
      </c>
      <c r="B20" s="32">
        <f>SUM(B17,B16)</f>
        <v>4092481</v>
      </c>
      <c r="C20" s="20">
        <f t="shared" ref="C20:C21" si="10">IFERROR(SUM((D20/B20)-1),0)</f>
        <v>0.2379644524</v>
      </c>
      <c r="D20" s="32">
        <f>SUM(D17,D16)</f>
        <v>5066346</v>
      </c>
      <c r="E20" s="20">
        <f t="shared" ref="E20:E21" si="11">IFERROR(SUM((F20/D20)-1),0)</f>
        <v>-0.2399147236</v>
      </c>
      <c r="F20" s="32">
        <f>SUM(F17,F16)</f>
        <v>3850855</v>
      </c>
      <c r="G20" s="20">
        <f t="shared" ref="G20:G21" si="12">IFERROR(SUM((H20/F20)-1),0)</f>
        <v>0.1921565471</v>
      </c>
      <c r="H20" s="32">
        <f>SUM(H17,H16)</f>
        <v>4590822</v>
      </c>
      <c r="J20" s="22" t="s">
        <v>93</v>
      </c>
      <c r="K20" s="50">
        <f>IFERROR(SUM(B41,D41,F41,H41),"")*K3</f>
        <v>-5682892000</v>
      </c>
      <c r="L20" s="185">
        <f>K10/K8</f>
        <v>-0.1980123427</v>
      </c>
      <c r="M20" s="71" t="s">
        <v>87</v>
      </c>
      <c r="N20" s="124"/>
      <c r="O20" s="22"/>
      <c r="P20" s="28"/>
      <c r="Q20" s="118"/>
      <c r="T20" s="22"/>
      <c r="U20" s="22"/>
      <c r="V20" s="21"/>
    </row>
    <row r="21">
      <c r="A21" s="9" t="s">
        <v>52</v>
      </c>
      <c r="B21" s="32">
        <f>SUM(B20-B11)</f>
        <v>-3293287</v>
      </c>
      <c r="C21" s="20">
        <f t="shared" si="10"/>
        <v>0.1340633234</v>
      </c>
      <c r="D21" s="32">
        <f>SUM(D20-D11)</f>
        <v>-3734796</v>
      </c>
      <c r="E21" s="20">
        <f t="shared" si="11"/>
        <v>-0.0670290961</v>
      </c>
      <c r="F21" s="32">
        <f>SUM(F20-F11)</f>
        <v>-3484456</v>
      </c>
      <c r="G21" s="20">
        <f t="shared" si="12"/>
        <v>-0.2282746575</v>
      </c>
      <c r="H21" s="32">
        <f>SUM(H20-H11)</f>
        <v>-2689043</v>
      </c>
      <c r="J21" s="187" t="s">
        <v>90</v>
      </c>
      <c r="K21" s="188">
        <f>'Indicadores_Ações'!$B$4</f>
        <v>0.04443024618</v>
      </c>
      <c r="M21" s="22" t="s">
        <v>89</v>
      </c>
      <c r="N21" s="176"/>
      <c r="O21" s="22"/>
      <c r="P21" s="50"/>
      <c r="Q21" s="22"/>
      <c r="T21" s="22"/>
      <c r="U21" s="22"/>
      <c r="V21" s="21"/>
    </row>
    <row r="22">
      <c r="C22" s="20"/>
      <c r="E22" s="20"/>
      <c r="G22" s="20"/>
      <c r="J22" s="9" t="s">
        <v>96</v>
      </c>
      <c r="K22" s="29">
        <f t="array" ref="K22">IFERROR(INDEX(Indicador_Ações[], MATCH($J$2, Indicador_Ações[Stock], 0), MATCH(Indicador_Ações[[#HEADERS],[lucro_liquido_12m]], Indicador_Ações[#HEADERS], 0)),"")</f>
        <v>6254050000</v>
      </c>
      <c r="L22" s="28">
        <f>'Indicadores_Ações'!$B$3</f>
        <v>0.139</v>
      </c>
      <c r="M22" s="22" t="s">
        <v>91</v>
      </c>
      <c r="N22" s="192"/>
      <c r="O22" s="22"/>
      <c r="P22" s="19"/>
      <c r="Q22" s="22"/>
      <c r="T22" s="22"/>
      <c r="U22" s="22"/>
      <c r="V22" s="21"/>
    </row>
    <row r="23">
      <c r="A23" s="9" t="s">
        <v>92</v>
      </c>
      <c r="B23" s="23">
        <f>B4-B13</f>
        <v>19083629</v>
      </c>
      <c r="C23" s="20">
        <f>IFERROR(SUM((D23/B23)-1),0)</f>
        <v>0.0580479216</v>
      </c>
      <c r="D23" s="23">
        <f>D4-D13</f>
        <v>20191394</v>
      </c>
      <c r="E23" s="20">
        <f>IFERROR(SUM((F23/D23)-1),0)</f>
        <v>0.1597301801</v>
      </c>
      <c r="F23" s="23">
        <f>F4-F13</f>
        <v>23416569</v>
      </c>
      <c r="G23" s="20">
        <f>IFERROR(SUM((H23/F23)-1),0)</f>
        <v>-0.2076822185</v>
      </c>
      <c r="H23" s="23">
        <f>H4-H13</f>
        <v>18553364</v>
      </c>
      <c r="J23" s="83" t="s">
        <v>109</v>
      </c>
      <c r="K23" s="29">
        <f>SUM(B53,D53,F53,H53)*K3</f>
        <v>6775958000</v>
      </c>
      <c r="L23" s="145">
        <f>K24</f>
        <v>0.69</v>
      </c>
      <c r="M23" s="22" t="s">
        <v>95</v>
      </c>
      <c r="O23" s="21"/>
      <c r="P23" s="19"/>
      <c r="Q23" s="21"/>
      <c r="R23" s="118"/>
      <c r="S23" s="21"/>
      <c r="T23" s="22"/>
      <c r="U23" s="22"/>
      <c r="V23" s="55"/>
    </row>
    <row r="24">
      <c r="J24" s="24" t="s">
        <v>100</v>
      </c>
      <c r="K24" s="86">
        <f t="array" ref="K24">IFERROR(INDEX(Indicador_Ações[], MATCH($J$2, Indicador_Ações[Stock], 0), MATCH(Indicador_Ações[[#HEADERS],[beta_ibov_3a]], Indicador_Ações[#HEADERS], 0)),"")</f>
        <v>0.69</v>
      </c>
      <c r="L24" s="28">
        <f>L22+0.01</f>
        <v>0.149</v>
      </c>
      <c r="M24" s="79" t="s">
        <v>98</v>
      </c>
      <c r="O24" s="21"/>
      <c r="P24" s="19"/>
      <c r="Q24" s="118"/>
      <c r="R24" s="22"/>
      <c r="S24" s="22"/>
      <c r="T24" s="22"/>
      <c r="U24" s="22"/>
      <c r="V24" s="55"/>
    </row>
    <row r="25">
      <c r="A25" s="9" t="s">
        <v>99</v>
      </c>
      <c r="B25" s="27">
        <v>-162371.0</v>
      </c>
      <c r="C25" s="20">
        <f t="shared" ref="C25:C27" si="13">IFERROR(SUM((D25/B25)-1),0)</f>
        <v>-0.007716895258</v>
      </c>
      <c r="D25" s="27">
        <v>-161118.0</v>
      </c>
      <c r="E25" s="20">
        <f t="shared" ref="E25:E27" si="14">IFERROR(SUM((F25/D25)-1),0)</f>
        <v>0.04316711975</v>
      </c>
      <c r="F25" s="27">
        <v>-168073.0</v>
      </c>
      <c r="G25" s="20">
        <f t="shared" ref="G25:G27" si="15">IFERROR(SUM((H25/F25)-1),0)</f>
        <v>0.02675623092</v>
      </c>
      <c r="H25" s="27">
        <v>-172570.0</v>
      </c>
      <c r="J25" s="22"/>
      <c r="K25" s="22"/>
      <c r="L25" s="78">
        <f>L22+L23*(L24-L22)</f>
        <v>0.1459</v>
      </c>
      <c r="M25" s="200" t="s">
        <v>101</v>
      </c>
      <c r="O25" s="201"/>
      <c r="P25" s="19"/>
      <c r="Q25" s="118"/>
      <c r="R25" s="22"/>
      <c r="S25" s="22"/>
      <c r="T25" s="22"/>
      <c r="U25" s="22"/>
      <c r="V25" s="21"/>
    </row>
    <row r="26">
      <c r="A26" s="9" t="s">
        <v>102</v>
      </c>
      <c r="B26" s="27">
        <v>2575748.0</v>
      </c>
      <c r="C26" s="20">
        <f t="shared" si="13"/>
        <v>0</v>
      </c>
      <c r="D26" s="27">
        <v>2575748.0</v>
      </c>
      <c r="E26" s="20">
        <f t="shared" si="14"/>
        <v>1.017413582</v>
      </c>
      <c r="F26" s="27">
        <v>5196349.0</v>
      </c>
      <c r="G26" s="20">
        <f t="shared" si="15"/>
        <v>-0.5043158187</v>
      </c>
      <c r="H26" s="27">
        <v>2575748.0</v>
      </c>
      <c r="J26" s="21"/>
      <c r="K26" s="21"/>
      <c r="L26" s="118"/>
      <c r="M26" s="21"/>
      <c r="N26" s="118"/>
      <c r="O26" s="21"/>
      <c r="Q26" s="22"/>
      <c r="R26" s="22"/>
      <c r="T26" s="22"/>
      <c r="U26" s="22"/>
      <c r="V26" s="22"/>
    </row>
    <row r="27" ht="22.5" customHeight="1">
      <c r="A27" s="9" t="s">
        <v>113</v>
      </c>
      <c r="B27" s="27">
        <v>1041678.0</v>
      </c>
      <c r="C27" s="20">
        <f t="shared" si="13"/>
        <v>1.079633054</v>
      </c>
      <c r="D27" s="27">
        <v>2166308.0</v>
      </c>
      <c r="E27" s="20">
        <f t="shared" si="14"/>
        <v>0.3319057124</v>
      </c>
      <c r="F27" s="27">
        <v>2885318.0</v>
      </c>
      <c r="G27" s="20">
        <f t="shared" si="15"/>
        <v>-1</v>
      </c>
      <c r="H27" s="27">
        <v>0.0</v>
      </c>
      <c r="J27" s="82" t="s">
        <v>104</v>
      </c>
      <c r="K27" s="85" t="s">
        <v>105</v>
      </c>
      <c r="L27" s="204" t="s">
        <v>11</v>
      </c>
      <c r="M27" s="85" t="s">
        <v>106</v>
      </c>
      <c r="N27" s="82" t="s">
        <v>107</v>
      </c>
      <c r="O27" s="85" t="s">
        <v>108</v>
      </c>
      <c r="Q27" s="85" t="s">
        <v>11</v>
      </c>
      <c r="R27" s="82" t="s">
        <v>110</v>
      </c>
      <c r="T27" s="22"/>
      <c r="U27" s="22"/>
      <c r="V27" s="21"/>
    </row>
    <row r="28" ht="22.5" customHeight="1">
      <c r="A28" s="80"/>
      <c r="B28" s="80"/>
      <c r="C28" s="80"/>
      <c r="D28" s="80"/>
      <c r="E28" s="80"/>
      <c r="F28" s="80"/>
      <c r="G28" s="80"/>
      <c r="H28" s="80"/>
      <c r="J28" s="205" t="s">
        <v>112</v>
      </c>
      <c r="K28" s="206">
        <f>K2</f>
        <v>51.79</v>
      </c>
      <c r="L28" s="207">
        <v>1.0</v>
      </c>
      <c r="M28" s="208">
        <f>K33</f>
        <v>6775958000</v>
      </c>
      <c r="N28" s="209"/>
      <c r="O28" s="92">
        <v>25.0</v>
      </c>
      <c r="Q28" s="93">
        <v>0.0</v>
      </c>
      <c r="R28" s="95">
        <f>-K6</f>
        <v>-213644412800</v>
      </c>
      <c r="T28" s="118"/>
      <c r="U28" s="22"/>
      <c r="V28" s="21"/>
    </row>
    <row r="29" ht="22.5" customHeight="1">
      <c r="A29" s="81" t="s">
        <v>103</v>
      </c>
      <c r="J29" s="210" t="s">
        <v>10</v>
      </c>
      <c r="K29" s="211">
        <f>L2</f>
        <v>4197320000</v>
      </c>
      <c r="L29" s="212">
        <v>2.0</v>
      </c>
      <c r="M29" s="213">
        <f t="shared" ref="M29:M34" si="16">M28*(1+O28/100)</f>
        <v>8469947500</v>
      </c>
      <c r="N29" s="213">
        <f>M29/(1+K34)^L28</f>
        <v>7391524130</v>
      </c>
      <c r="O29" s="92">
        <v>25.0</v>
      </c>
      <c r="Q29" s="93">
        <v>1.0</v>
      </c>
      <c r="R29" s="101">
        <f t="shared" ref="R29:R33" si="17">M29</f>
        <v>8469947500</v>
      </c>
      <c r="T29" s="21"/>
      <c r="U29" s="22"/>
      <c r="V29" s="21"/>
    </row>
    <row r="30" ht="22.5" customHeight="1">
      <c r="A30" s="9" t="s">
        <v>111</v>
      </c>
      <c r="B30" s="9" t="s">
        <v>12</v>
      </c>
      <c r="C30" s="9" t="s">
        <v>13</v>
      </c>
      <c r="D30" s="9" t="s">
        <v>14</v>
      </c>
      <c r="E30" s="9" t="s">
        <v>15</v>
      </c>
      <c r="F30" s="9" t="s">
        <v>16</v>
      </c>
      <c r="G30" s="9" t="s">
        <v>17</v>
      </c>
      <c r="H30" s="9" t="s">
        <v>18</v>
      </c>
      <c r="J30" s="205" t="s">
        <v>116</v>
      </c>
      <c r="K30" s="206">
        <f>K5</f>
        <v>217379202800</v>
      </c>
      <c r="L30" s="207">
        <v>3.0</v>
      </c>
      <c r="M30" s="208">
        <f t="shared" si="16"/>
        <v>10587434375</v>
      </c>
      <c r="N30" s="208">
        <f>M30/(1+K34)^L29</f>
        <v>8063011748</v>
      </c>
      <c r="O30" s="92">
        <v>25.0</v>
      </c>
      <c r="Q30" s="93">
        <v>2.0</v>
      </c>
      <c r="R30" s="101">
        <f t="shared" si="17"/>
        <v>10587434375</v>
      </c>
      <c r="T30" s="22"/>
      <c r="U30" s="22"/>
      <c r="V30" s="22"/>
    </row>
    <row r="31" ht="22.5" customHeight="1">
      <c r="A31" s="72" t="s">
        <v>123</v>
      </c>
      <c r="B31" s="27">
        <v>9468313.0</v>
      </c>
      <c r="C31" s="20">
        <f t="shared" ref="C31:C33" si="18">IFERROR(SUM((D31/B31)-1),0)</f>
        <v>0.07131597783</v>
      </c>
      <c r="D31" s="27">
        <v>1.0143555E7</v>
      </c>
      <c r="E31" s="20">
        <f t="shared" ref="E31:E33" si="19">IFERROR(SUM((F31/D31)-1),0)</f>
        <v>0.0126155968</v>
      </c>
      <c r="F31" s="27">
        <v>1.0271522E7</v>
      </c>
      <c r="G31" s="20">
        <f t="shared" ref="G31:G33" si="20">IFERROR(SUM((H31/F31)-1),0)</f>
        <v>0.06320368101</v>
      </c>
      <c r="H31" s="27">
        <f t="shared" ref="H31:H32" si="21">IFERROR(B87- SUM(B31,D31,F31),"")</f>
        <v>10920720</v>
      </c>
      <c r="J31" s="210" t="s">
        <v>118</v>
      </c>
      <c r="K31" s="211">
        <f>SUM(O28:O36)/6</f>
        <v>25</v>
      </c>
      <c r="L31" s="212">
        <v>4.0</v>
      </c>
      <c r="M31" s="213">
        <f t="shared" si="16"/>
        <v>13234292969</v>
      </c>
      <c r="N31" s="213">
        <f>M31/(1+K34)^L30</f>
        <v>8795501078</v>
      </c>
      <c r="O31" s="92">
        <v>25.0</v>
      </c>
      <c r="P31" s="19"/>
      <c r="Q31" s="93">
        <v>3.0</v>
      </c>
      <c r="R31" s="101">
        <f t="shared" si="17"/>
        <v>13234292969</v>
      </c>
      <c r="S31" s="118"/>
      <c r="T31" s="22"/>
      <c r="U31" s="22"/>
      <c r="V31" s="22"/>
    </row>
    <row r="32" ht="22.5" customHeight="1">
      <c r="A32" s="9" t="s">
        <v>126</v>
      </c>
      <c r="B32" s="32">
        <v>-6472497.0</v>
      </c>
      <c r="C32" s="20">
        <f t="shared" si="18"/>
        <v>0.04611558723</v>
      </c>
      <c r="D32" s="32">
        <v>-6770980.0</v>
      </c>
      <c r="E32" s="20">
        <f t="shared" si="19"/>
        <v>0.007678947508</v>
      </c>
      <c r="F32" s="32">
        <v>-6822974.0</v>
      </c>
      <c r="G32" s="20">
        <f t="shared" si="20"/>
        <v>0.03415695267</v>
      </c>
      <c r="H32" s="27">
        <f t="shared" si="21"/>
        <v>-7056026</v>
      </c>
      <c r="J32" s="205" t="s">
        <v>120</v>
      </c>
      <c r="K32" s="105">
        <v>0.06</v>
      </c>
      <c r="L32" s="207">
        <v>5.0</v>
      </c>
      <c r="M32" s="208">
        <f t="shared" si="16"/>
        <v>16542866211</v>
      </c>
      <c r="N32" s="208">
        <f>M32/(1+K34)^L31</f>
        <v>9594533857</v>
      </c>
      <c r="O32" s="92">
        <v>25.0</v>
      </c>
      <c r="P32" s="19"/>
      <c r="Q32" s="93">
        <v>4.0</v>
      </c>
      <c r="R32" s="101">
        <f t="shared" si="17"/>
        <v>16542866211</v>
      </c>
      <c r="S32" s="118"/>
      <c r="T32" s="22"/>
      <c r="U32" s="22"/>
      <c r="V32" s="22"/>
    </row>
    <row r="33" ht="22.5" customHeight="1">
      <c r="A33" s="72" t="s">
        <v>130</v>
      </c>
      <c r="B33" s="27">
        <f>B31+B32</f>
        <v>2995816</v>
      </c>
      <c r="C33" s="20">
        <f t="shared" si="18"/>
        <v>0.125761729</v>
      </c>
      <c r="D33" s="27">
        <f>D31+D32</f>
        <v>3372575</v>
      </c>
      <c r="E33" s="20">
        <f t="shared" si="19"/>
        <v>0.02252670437</v>
      </c>
      <c r="F33" s="27">
        <f>F31+F32</f>
        <v>3448548</v>
      </c>
      <c r="G33" s="20">
        <f t="shared" si="20"/>
        <v>0.1206728165</v>
      </c>
      <c r="H33" s="27">
        <f>H31+H32</f>
        <v>3864694</v>
      </c>
      <c r="J33" s="108" t="s">
        <v>129</v>
      </c>
      <c r="K33" s="211">
        <f>K23</f>
        <v>6775958000</v>
      </c>
      <c r="L33" s="212">
        <v>6.0</v>
      </c>
      <c r="M33" s="213">
        <f t="shared" si="16"/>
        <v>20678582764</v>
      </c>
      <c r="N33" s="213">
        <f>M33/(1+K34)^L32</f>
        <v>10466155268</v>
      </c>
      <c r="O33" s="92">
        <v>25.0</v>
      </c>
      <c r="Q33" s="93">
        <v>5.0</v>
      </c>
      <c r="R33" s="101">
        <f t="shared" si="17"/>
        <v>20678582764</v>
      </c>
      <c r="S33" s="107"/>
      <c r="T33" s="107"/>
      <c r="U33" s="107"/>
      <c r="V33" s="107"/>
    </row>
    <row r="34" ht="22.5" customHeight="1">
      <c r="A34" s="67" t="s">
        <v>137</v>
      </c>
      <c r="C34" s="20"/>
      <c r="E34" s="20"/>
      <c r="G34" s="20"/>
      <c r="J34" s="110" t="s">
        <v>125</v>
      </c>
      <c r="K34" s="206">
        <f>L25</f>
        <v>0.1459</v>
      </c>
      <c r="L34" s="207">
        <v>7.0</v>
      </c>
      <c r="M34" s="208">
        <f t="shared" si="16"/>
        <v>25848228455</v>
      </c>
      <c r="N34" s="208">
        <f>M34/(1+K34)^L33</f>
        <v>11416959669</v>
      </c>
      <c r="O34" s="218"/>
      <c r="Q34" s="93">
        <v>6.0</v>
      </c>
      <c r="R34" s="101">
        <f>M34+M35</f>
        <v>344813562120</v>
      </c>
      <c r="S34" s="107"/>
      <c r="T34" s="107"/>
      <c r="U34" s="107"/>
      <c r="V34" s="107"/>
    </row>
    <row r="35" ht="22.5" customHeight="1">
      <c r="A35" s="9" t="s">
        <v>140</v>
      </c>
      <c r="B35" s="27">
        <v>-801527.0</v>
      </c>
      <c r="C35" s="20">
        <f t="shared" ref="C35:C41" si="22">IFERROR(SUM((D35/B35)-1),0)</f>
        <v>0.05396075241</v>
      </c>
      <c r="D35" s="27">
        <v>-844778.0</v>
      </c>
      <c r="E35" s="20">
        <f t="shared" ref="E35:E41" si="23">IFERROR(SUM((F35/D35)-1),0)</f>
        <v>-0.03134432952</v>
      </c>
      <c r="F35" s="27">
        <v>-818299.0</v>
      </c>
      <c r="G35" s="20">
        <f t="shared" ref="G35:G41" si="24">IFERROR(SUM((H35/F35)-1),0)</f>
        <v>0.08618854477</v>
      </c>
      <c r="H35" s="27">
        <f t="shared" ref="H35:H36" si="25">IFERROR(B91- SUM(B35,D35,F35),"")</f>
        <v>-888827</v>
      </c>
      <c r="J35" s="210" t="s">
        <v>128</v>
      </c>
      <c r="K35" s="211">
        <f>K36/K29</f>
        <v>42.56865446</v>
      </c>
      <c r="L35" s="212" t="s">
        <v>131</v>
      </c>
      <c r="M35" s="213">
        <f>IFERROR( M34 * (1 + K32) / (K34  -K32  ), 0 )
</f>
        <v>318965333665</v>
      </c>
      <c r="N35" s="213">
        <f>M35/(1+K34)^L34</f>
        <v>122946578985</v>
      </c>
      <c r="O35" s="220"/>
      <c r="P35" s="22"/>
      <c r="Q35" s="93" t="s">
        <v>132</v>
      </c>
      <c r="R35" s="114">
        <f>IFERROR(IRR(R28:R34),0)</f>
        <v>0.1283307133</v>
      </c>
      <c r="S35" s="107"/>
      <c r="T35" s="107"/>
      <c r="U35" s="107"/>
      <c r="V35" s="107"/>
    </row>
    <row r="36" ht="22.5" customHeight="1">
      <c r="A36" s="9" t="s">
        <v>145</v>
      </c>
      <c r="B36" s="27">
        <v>-387507.0</v>
      </c>
      <c r="C36" s="20">
        <f t="shared" si="22"/>
        <v>0.08391332286</v>
      </c>
      <c r="D36" s="27">
        <v>-420024.0</v>
      </c>
      <c r="E36" s="20">
        <f t="shared" si="23"/>
        <v>-0.112698322</v>
      </c>
      <c r="F36" s="27">
        <v>-372688.0</v>
      </c>
      <c r="G36" s="20">
        <f t="shared" si="24"/>
        <v>-0.1047122526</v>
      </c>
      <c r="H36" s="27">
        <f t="shared" si="25"/>
        <v>-333663</v>
      </c>
      <c r="J36" s="221" t="s">
        <v>136</v>
      </c>
      <c r="K36" s="222">
        <f>N36</f>
        <v>178674264734</v>
      </c>
      <c r="L36" s="223"/>
      <c r="M36" s="224"/>
      <c r="N36" s="225">
        <f>SUM(N28:N35)</f>
        <v>178674264734</v>
      </c>
      <c r="O36" s="226"/>
      <c r="P36" s="28"/>
      <c r="Q36" s="107"/>
      <c r="R36" s="107"/>
      <c r="S36" s="107"/>
      <c r="T36" s="107"/>
      <c r="U36" s="107"/>
      <c r="V36" s="107"/>
    </row>
    <row r="37">
      <c r="A37" s="9" t="s">
        <v>151</v>
      </c>
      <c r="B37" s="20">
        <f>ABS(B36)/B31</f>
        <v>0.04092672053</v>
      </c>
      <c r="C37" s="20">
        <f t="shared" si="22"/>
        <v>0.01175875772</v>
      </c>
      <c r="D37" s="20">
        <f>ABS(D36)/D31</f>
        <v>0.04140796792</v>
      </c>
      <c r="E37" s="20">
        <f t="shared" si="23"/>
        <v>-0.1237527046</v>
      </c>
      <c r="F37" s="20">
        <f>ABS(F36)/F31</f>
        <v>0.0362836199</v>
      </c>
      <c r="G37" s="20">
        <f t="shared" si="24"/>
        <v>-0.157933928</v>
      </c>
      <c r="H37" s="20">
        <f>ABS(H36)/H31</f>
        <v>0.03055320528</v>
      </c>
      <c r="P37" s="28"/>
      <c r="Q37" s="107"/>
      <c r="R37" s="107"/>
      <c r="S37" s="107"/>
      <c r="T37" s="107"/>
      <c r="U37" s="107"/>
      <c r="V37" s="107"/>
    </row>
    <row r="38">
      <c r="A38" s="9" t="s">
        <v>141</v>
      </c>
      <c r="B38" s="27">
        <v>-80.0</v>
      </c>
      <c r="C38" s="20">
        <f t="shared" si="22"/>
        <v>27.8</v>
      </c>
      <c r="D38" s="27">
        <v>-2304.0</v>
      </c>
      <c r="E38" s="20">
        <f t="shared" si="23"/>
        <v>0.5668402778</v>
      </c>
      <c r="F38" s="27">
        <v>-3610.0</v>
      </c>
      <c r="G38" s="20">
        <f t="shared" si="24"/>
        <v>0.5573407202</v>
      </c>
      <c r="H38" s="27">
        <f t="shared" ref="H38:H40" si="26">IFERROR(B94- SUM(B38,D38,F38),"")</f>
        <v>-5622</v>
      </c>
      <c r="P38" s="28"/>
      <c r="Q38" s="107"/>
      <c r="R38" s="107"/>
      <c r="S38" s="107"/>
      <c r="T38" s="107"/>
      <c r="U38" s="107"/>
      <c r="V38" s="107"/>
    </row>
    <row r="39">
      <c r="A39" s="9" t="s">
        <v>154</v>
      </c>
      <c r="B39" s="27">
        <v>204210.0</v>
      </c>
      <c r="C39" s="20">
        <f t="shared" si="22"/>
        <v>-0.316737672</v>
      </c>
      <c r="D39" s="27">
        <v>139529.0</v>
      </c>
      <c r="E39" s="20">
        <f t="shared" si="23"/>
        <v>-0.6915408266</v>
      </c>
      <c r="F39" s="27">
        <v>43039.0</v>
      </c>
      <c r="G39" s="20">
        <f t="shared" si="24"/>
        <v>-4.810520691</v>
      </c>
      <c r="H39" s="27">
        <f t="shared" si="26"/>
        <v>-164001</v>
      </c>
      <c r="P39" s="28"/>
      <c r="Q39" s="107"/>
      <c r="R39" s="107"/>
      <c r="S39" s="107"/>
      <c r="T39" s="107"/>
      <c r="U39" s="107"/>
      <c r="V39" s="107"/>
    </row>
    <row r="40">
      <c r="A40" s="9" t="s">
        <v>158</v>
      </c>
      <c r="B40" s="27">
        <v>-162160.0</v>
      </c>
      <c r="C40" s="20">
        <f t="shared" si="22"/>
        <v>0.7782128762</v>
      </c>
      <c r="D40" s="27">
        <v>-288355.0</v>
      </c>
      <c r="E40" s="20">
        <f t="shared" si="23"/>
        <v>-0.09783079884</v>
      </c>
      <c r="F40" s="27">
        <v>-260145.0</v>
      </c>
      <c r="G40" s="20">
        <f t="shared" si="24"/>
        <v>0.2150147033</v>
      </c>
      <c r="H40" s="27">
        <f t="shared" si="26"/>
        <v>-316080</v>
      </c>
      <c r="P40" s="28"/>
      <c r="Q40" s="22"/>
      <c r="R40" s="22"/>
      <c r="S40" s="22"/>
      <c r="T40" s="22"/>
      <c r="U40" s="22"/>
      <c r="V40" s="22"/>
    </row>
    <row r="41">
      <c r="A41" s="72" t="s">
        <v>164</v>
      </c>
      <c r="B41" s="23">
        <f>SUM(B35,B36,B38,B40,B39)</f>
        <v>-1147064</v>
      </c>
      <c r="C41" s="20">
        <f t="shared" si="22"/>
        <v>0.2343966858</v>
      </c>
      <c r="D41" s="23">
        <f>SUM(D35,D36,D38,D40,D39)</f>
        <v>-1415932</v>
      </c>
      <c r="E41" s="20">
        <f t="shared" si="23"/>
        <v>-0.002986725351</v>
      </c>
      <c r="F41" s="23">
        <f>SUM(F35,F36,F38,F40,F39)</f>
        <v>-1411703</v>
      </c>
      <c r="G41" s="20">
        <f t="shared" si="24"/>
        <v>0.2100229298</v>
      </c>
      <c r="H41" s="23">
        <f>SUM(H35,H36,H38,H40,H39)</f>
        <v>-1708193</v>
      </c>
      <c r="P41" s="28"/>
      <c r="S41" s="23"/>
    </row>
    <row r="42">
      <c r="P42" s="28"/>
      <c r="Q42" s="107"/>
      <c r="R42" s="107"/>
      <c r="S42" s="23"/>
    </row>
    <row r="43">
      <c r="A43" s="72" t="s">
        <v>143</v>
      </c>
      <c r="B43" s="23">
        <f>SUM(B33,B41)</f>
        <v>1848752</v>
      </c>
      <c r="C43" s="20">
        <f>IFERROR(SUM((D43/B43)-1),0)</f>
        <v>0.05835882801</v>
      </c>
      <c r="D43" s="23">
        <f>SUM(D33,D41)</f>
        <v>1956643</v>
      </c>
      <c r="E43" s="20">
        <f>IFERROR(SUM((F43/D43)-1),0)</f>
        <v>0.04098959289</v>
      </c>
      <c r="F43" s="23">
        <f>SUM(F33,F41)</f>
        <v>2036845</v>
      </c>
      <c r="G43" s="20">
        <f>IFERROR(SUM((H43/F43)-1),0)</f>
        <v>0.0587457563</v>
      </c>
      <c r="H43" s="23">
        <f>SUM(H33,H41)</f>
        <v>2156501</v>
      </c>
      <c r="J43" s="22"/>
      <c r="K43" s="118"/>
      <c r="L43" s="22"/>
      <c r="M43" s="118"/>
      <c r="N43" s="22"/>
      <c r="O43" s="22"/>
      <c r="Q43" s="107"/>
      <c r="R43" s="107"/>
      <c r="S43" s="23"/>
    </row>
    <row r="44">
      <c r="C44" s="20"/>
      <c r="E44" s="20"/>
      <c r="G44" s="20"/>
      <c r="J44" s="22"/>
      <c r="K44" s="28"/>
      <c r="N44" s="9"/>
      <c r="O44" s="22"/>
      <c r="P44" s="22"/>
      <c r="Q44" s="107"/>
      <c r="R44" s="107"/>
      <c r="S44" s="23"/>
    </row>
    <row r="45">
      <c r="A45" s="9" t="s">
        <v>127</v>
      </c>
      <c r="B45" s="27">
        <v>461720.0</v>
      </c>
      <c r="C45" s="20">
        <f t="shared" ref="C45:C47" si="27">IFERROR(SUM((D45/B45)-1),0)</f>
        <v>0.2563436715</v>
      </c>
      <c r="D45" s="27">
        <v>580079.0</v>
      </c>
      <c r="E45" s="20">
        <f t="shared" ref="E45:E47" si="28">IFERROR(SUM((F45/D45)-1),0)</f>
        <v>0.5787315176</v>
      </c>
      <c r="F45" s="27">
        <v>915789.0</v>
      </c>
      <c r="G45" s="20">
        <f t="shared" ref="G45:G47" si="29">IFERROR(SUM((H45/F45)-1),0)</f>
        <v>-0.601735771</v>
      </c>
      <c r="H45" s="27">
        <f t="shared" ref="H45:H46" si="30">IFERROR(B101- SUM(B45,D45,F45),"")</f>
        <v>364726</v>
      </c>
      <c r="J45" s="22"/>
      <c r="K45" s="28"/>
      <c r="M45" s="22"/>
      <c r="N45" s="50"/>
      <c r="O45" s="19"/>
      <c r="P45" s="28"/>
      <c r="Q45" s="107"/>
      <c r="R45" s="107"/>
    </row>
    <row r="46">
      <c r="A46" s="9" t="s">
        <v>135</v>
      </c>
      <c r="B46" s="27">
        <v>-421450.0</v>
      </c>
      <c r="C46" s="20">
        <f t="shared" si="27"/>
        <v>0.3157669949</v>
      </c>
      <c r="D46" s="27">
        <v>-554530.0</v>
      </c>
      <c r="E46" s="20">
        <f t="shared" si="28"/>
        <v>0.5911149983</v>
      </c>
      <c r="F46" s="27">
        <v>-882321.0</v>
      </c>
      <c r="G46" s="20">
        <f t="shared" si="29"/>
        <v>-0.6428998063</v>
      </c>
      <c r="H46" s="27">
        <f t="shared" si="30"/>
        <v>-315077</v>
      </c>
      <c r="J46" s="22"/>
      <c r="K46" s="28"/>
      <c r="L46" s="20"/>
      <c r="M46" s="22"/>
      <c r="N46" s="50"/>
      <c r="O46" s="19"/>
      <c r="P46" s="28"/>
      <c r="Q46" s="107"/>
      <c r="R46" s="107"/>
    </row>
    <row r="47">
      <c r="A47" s="9" t="s">
        <v>138</v>
      </c>
      <c r="B47" s="27">
        <f>B45+B46</f>
        <v>40270</v>
      </c>
      <c r="C47" s="20">
        <f t="shared" si="27"/>
        <v>-0.365557487</v>
      </c>
      <c r="D47" s="27">
        <f>D45+D46</f>
        <v>25549</v>
      </c>
      <c r="E47" s="20">
        <f t="shared" si="28"/>
        <v>0.3099534228</v>
      </c>
      <c r="F47" s="27">
        <f>F45+F46</f>
        <v>33468</v>
      </c>
      <c r="G47" s="20">
        <f t="shared" si="29"/>
        <v>0.4834767539</v>
      </c>
      <c r="H47" s="27">
        <f>H45+H46</f>
        <v>49649</v>
      </c>
      <c r="J47" s="22"/>
      <c r="K47" s="19"/>
      <c r="L47" s="20"/>
      <c r="M47" s="22"/>
      <c r="N47" s="50"/>
      <c r="O47" s="19"/>
      <c r="P47" s="28"/>
      <c r="Q47" s="107"/>
      <c r="R47" s="107"/>
    </row>
    <row r="48">
      <c r="C48" s="20"/>
      <c r="E48" s="20"/>
      <c r="G48" s="20"/>
      <c r="J48" s="22"/>
      <c r="K48" s="19"/>
      <c r="L48" s="20"/>
      <c r="M48" s="22"/>
      <c r="N48" s="154"/>
      <c r="O48" s="19"/>
      <c r="P48" s="28"/>
    </row>
    <row r="49">
      <c r="A49" s="65" t="s">
        <v>354</v>
      </c>
      <c r="B49" s="27">
        <v>-254050.0</v>
      </c>
      <c r="C49" s="20">
        <f t="shared" ref="C49:C53" si="31">IFERROR(SUM((D49/B49)-1),0)</f>
        <v>0.007628419602</v>
      </c>
      <c r="D49" s="27">
        <v>-255988.0</v>
      </c>
      <c r="E49" s="20">
        <f t="shared" ref="E49:E53" si="32">IFERROR(SUM((F49/D49)-1),0)</f>
        <v>-0.06771801803</v>
      </c>
      <c r="F49" s="27">
        <v>-238653.0</v>
      </c>
      <c r="G49" s="20">
        <f t="shared" ref="G49:G53" si="33">IFERROR(SUM((H49/F49)-1),0)</f>
        <v>0.0584656384</v>
      </c>
      <c r="H49" s="27">
        <f>IFERROR(B105- SUM(B49,D49,F49),"")</f>
        <v>-252606</v>
      </c>
      <c r="J49" s="22"/>
      <c r="K49" s="19"/>
      <c r="M49" s="21"/>
      <c r="N49" s="154"/>
      <c r="O49" s="19"/>
      <c r="P49" s="28"/>
    </row>
    <row r="50">
      <c r="A50" s="72" t="s">
        <v>146</v>
      </c>
      <c r="B50" s="23">
        <f>B53-B52-B47-B49</f>
        <v>2102802</v>
      </c>
      <c r="C50" s="20">
        <f t="shared" si="31"/>
        <v>0.05222983429</v>
      </c>
      <c r="D50" s="23">
        <f>D53-D52-D47-D49</f>
        <v>2212631</v>
      </c>
      <c r="E50" s="20">
        <f t="shared" si="32"/>
        <v>0.02841278098</v>
      </c>
      <c r="F50" s="23">
        <f>F53-F52-F47-F49</f>
        <v>2275498</v>
      </c>
      <c r="G50" s="20">
        <f t="shared" si="33"/>
        <v>0.05871637769</v>
      </c>
      <c r="H50" s="23">
        <f>H53-H52-H47-H49</f>
        <v>2409107</v>
      </c>
      <c r="J50" s="22"/>
      <c r="K50" s="19"/>
      <c r="M50" s="27"/>
    </row>
    <row r="51">
      <c r="A51" s="9" t="s">
        <v>150</v>
      </c>
      <c r="B51" s="23">
        <f>B43+B47</f>
        <v>1889022</v>
      </c>
      <c r="C51" s="20">
        <f t="shared" si="31"/>
        <v>0.04932181838</v>
      </c>
      <c r="D51" s="23">
        <f>D43+D47</f>
        <v>1982192</v>
      </c>
      <c r="E51" s="20">
        <f t="shared" si="32"/>
        <v>0.04445633924</v>
      </c>
      <c r="F51" s="23">
        <f>F43+F47</f>
        <v>2070313</v>
      </c>
      <c r="G51" s="20">
        <f t="shared" si="33"/>
        <v>0.06561181812</v>
      </c>
      <c r="H51" s="23">
        <f>H43+H47</f>
        <v>2206150</v>
      </c>
      <c r="P51" s="9"/>
      <c r="Q51" s="21"/>
      <c r="R51" s="22"/>
      <c r="S51" s="22"/>
      <c r="T51" s="22"/>
      <c r="U51" s="22"/>
      <c r="V51" s="22"/>
    </row>
    <row r="52">
      <c r="A52" s="9" t="s">
        <v>152</v>
      </c>
      <c r="B52" s="27">
        <v>-309321.0</v>
      </c>
      <c r="C52" s="20">
        <f t="shared" si="31"/>
        <v>0.08511222969</v>
      </c>
      <c r="D52" s="27">
        <v>-335648.0</v>
      </c>
      <c r="E52" s="20">
        <f t="shared" si="32"/>
        <v>-0.03005827534</v>
      </c>
      <c r="F52" s="27">
        <v>-325559.0</v>
      </c>
      <c r="G52" s="20">
        <f t="shared" si="33"/>
        <v>0.2323142656</v>
      </c>
      <c r="H52" s="27">
        <f>IFERROR(B108- SUM(B52,D52,F52),"")</f>
        <v>-401191</v>
      </c>
      <c r="J52" s="22"/>
      <c r="K52" s="22"/>
      <c r="L52" s="22"/>
      <c r="M52" s="22"/>
      <c r="N52" s="22"/>
      <c r="O52" s="23"/>
      <c r="Q52" s="21"/>
      <c r="R52" s="22"/>
      <c r="S52" s="22"/>
      <c r="T52" s="22"/>
      <c r="U52" s="22"/>
      <c r="V52" s="22"/>
    </row>
    <row r="53">
      <c r="A53" s="72" t="s">
        <v>156</v>
      </c>
      <c r="B53" s="27">
        <f>B51+B52</f>
        <v>1579701</v>
      </c>
      <c r="C53" s="20">
        <f t="shared" si="31"/>
        <v>0.04231370367</v>
      </c>
      <c r="D53" s="27">
        <f>D51+D52</f>
        <v>1646544</v>
      </c>
      <c r="E53" s="20">
        <f t="shared" si="32"/>
        <v>0.05964614368</v>
      </c>
      <c r="F53" s="27">
        <f>F51+F52</f>
        <v>1744754</v>
      </c>
      <c r="G53" s="20">
        <f t="shared" si="33"/>
        <v>0.03450629716</v>
      </c>
      <c r="H53" s="27">
        <f>H51+H52</f>
        <v>1804959</v>
      </c>
      <c r="J53" s="107"/>
      <c r="K53" s="107"/>
      <c r="L53" s="107"/>
      <c r="M53" s="107"/>
      <c r="N53" s="107"/>
      <c r="O53" s="107"/>
      <c r="Q53" s="107"/>
      <c r="R53" s="107"/>
      <c r="S53" s="107"/>
      <c r="T53" s="107"/>
      <c r="U53" s="107"/>
      <c r="V53" s="107"/>
    </row>
    <row r="54">
      <c r="J54" s="107"/>
      <c r="K54" s="107"/>
      <c r="L54" s="107"/>
      <c r="M54" s="107"/>
      <c r="N54" s="107"/>
      <c r="O54" s="107"/>
      <c r="Q54" s="107"/>
      <c r="R54" s="107"/>
      <c r="S54" s="107"/>
      <c r="T54" s="107"/>
      <c r="U54" s="107"/>
      <c r="V54" s="107"/>
    </row>
    <row r="55">
      <c r="A55" s="80"/>
      <c r="B55" s="80"/>
      <c r="C55" s="80"/>
      <c r="D55" s="80"/>
      <c r="E55" s="80"/>
      <c r="F55" s="80"/>
      <c r="G55" s="80"/>
      <c r="H55" s="80"/>
      <c r="J55" s="107"/>
      <c r="K55" s="107"/>
      <c r="L55" s="107"/>
      <c r="M55" s="107"/>
      <c r="N55" s="107"/>
      <c r="O55" s="107"/>
      <c r="Q55" s="107"/>
      <c r="R55" s="107"/>
      <c r="S55" s="107"/>
      <c r="T55" s="107"/>
      <c r="U55" s="107"/>
      <c r="V55" s="107"/>
    </row>
    <row r="56">
      <c r="A56" s="10" t="s">
        <v>160</v>
      </c>
      <c r="J56" s="107"/>
      <c r="K56" s="107"/>
      <c r="L56" s="107"/>
      <c r="M56" s="107"/>
      <c r="N56" s="107"/>
      <c r="O56" s="107"/>
      <c r="Q56" s="107"/>
      <c r="R56" s="107"/>
      <c r="S56" s="107"/>
      <c r="T56" s="107"/>
      <c r="U56" s="107"/>
      <c r="V56" s="107"/>
    </row>
    <row r="57">
      <c r="A57" s="67" t="s">
        <v>162</v>
      </c>
      <c r="B57" s="9" t="s">
        <v>12</v>
      </c>
      <c r="C57" s="9" t="s">
        <v>13</v>
      </c>
      <c r="D57" s="9" t="s">
        <v>14</v>
      </c>
      <c r="E57" s="9" t="s">
        <v>15</v>
      </c>
      <c r="F57" s="9" t="s">
        <v>16</v>
      </c>
      <c r="G57" s="9" t="s">
        <v>17</v>
      </c>
      <c r="H57" s="9" t="s">
        <v>18</v>
      </c>
      <c r="J57" s="107"/>
      <c r="K57" s="107"/>
      <c r="L57" s="107"/>
      <c r="M57" s="107"/>
      <c r="N57" s="107"/>
      <c r="O57" s="107"/>
      <c r="Q57" s="107"/>
      <c r="R57" s="107"/>
      <c r="S57" s="107"/>
      <c r="T57" s="107"/>
      <c r="U57" s="107"/>
      <c r="V57" s="107"/>
    </row>
    <row r="58">
      <c r="A58" s="9" t="s">
        <v>363</v>
      </c>
      <c r="B58" s="27">
        <f>B51</f>
        <v>1889022</v>
      </c>
      <c r="C58" s="20">
        <f t="shared" ref="C58:C61" si="34">IFERROR(SUM((D58/B58)-1),0)</f>
        <v>1.049321818</v>
      </c>
      <c r="D58" s="27">
        <f>SUM(B58,D51)</f>
        <v>3871214</v>
      </c>
      <c r="E58" s="20">
        <f t="shared" ref="E58:E61" si="35">IFERROR(SUM((F58/D58)-1),0)</f>
        <v>0.5347968363</v>
      </c>
      <c r="F58" s="27">
        <f>SUM(D58,F51)</f>
        <v>5941527</v>
      </c>
      <c r="G58" s="20">
        <f t="shared" ref="G58:G61" si="36">IFERROR(SUM((H58/F58)-1),0)</f>
        <v>0.3713102709</v>
      </c>
      <c r="H58" s="27">
        <f>SUM(F58,H51)</f>
        <v>8147677</v>
      </c>
      <c r="J58" s="107"/>
      <c r="K58" s="107"/>
      <c r="L58" s="107"/>
      <c r="M58" s="107"/>
      <c r="N58" s="107"/>
      <c r="O58" s="107"/>
      <c r="Q58" s="107"/>
      <c r="R58" s="107"/>
      <c r="S58" s="107"/>
      <c r="T58" s="107"/>
      <c r="U58" s="107"/>
      <c r="V58" s="107"/>
    </row>
    <row r="59">
      <c r="A59" s="126" t="s">
        <v>165</v>
      </c>
      <c r="B59" s="127">
        <v>2328690.0</v>
      </c>
      <c r="C59" s="128">
        <f t="shared" si="34"/>
        <v>1.068734782</v>
      </c>
      <c r="D59" s="127">
        <v>4817442.0</v>
      </c>
      <c r="E59" s="128">
        <f t="shared" si="35"/>
        <v>0.6039329586</v>
      </c>
      <c r="F59" s="127">
        <v>7726854.0</v>
      </c>
      <c r="G59" s="128">
        <f t="shared" si="36"/>
        <v>0.3476078363</v>
      </c>
      <c r="H59" s="127">
        <v>1.0412769E7</v>
      </c>
      <c r="J59" s="107"/>
      <c r="K59" s="107"/>
      <c r="L59" s="107"/>
      <c r="M59" s="107"/>
      <c r="N59" s="107"/>
      <c r="O59" s="107"/>
      <c r="Q59" s="107"/>
      <c r="R59" s="107"/>
      <c r="S59" s="107"/>
      <c r="T59" s="107"/>
      <c r="U59" s="107"/>
      <c r="V59" s="107"/>
    </row>
    <row r="60">
      <c r="A60" s="9" t="s">
        <v>173</v>
      </c>
      <c r="B60" s="27">
        <v>-1066241.0</v>
      </c>
      <c r="C60" s="20">
        <f t="shared" si="34"/>
        <v>1.21920185</v>
      </c>
      <c r="D60" s="27">
        <v>-2366204.0</v>
      </c>
      <c r="E60" s="20">
        <f t="shared" si="35"/>
        <v>0.4743120204</v>
      </c>
      <c r="F60" s="27">
        <v>-3488523.0</v>
      </c>
      <c r="G60" s="20">
        <f t="shared" si="36"/>
        <v>0.1356485252</v>
      </c>
      <c r="H60" s="27">
        <v>-3961736.0</v>
      </c>
      <c r="J60" s="107"/>
      <c r="K60" s="107"/>
      <c r="L60" s="107"/>
      <c r="M60" s="107"/>
      <c r="N60" s="107"/>
      <c r="O60" s="107"/>
    </row>
    <row r="61">
      <c r="A61" s="129" t="s">
        <v>169</v>
      </c>
      <c r="B61" s="130">
        <f>SUM(B59,B60)</f>
        <v>1262449</v>
      </c>
      <c r="C61" s="111">
        <f t="shared" si="34"/>
        <v>0.9416530886</v>
      </c>
      <c r="D61" s="130">
        <f>SUM(D59,D60)</f>
        <v>2451238</v>
      </c>
      <c r="E61" s="111">
        <f t="shared" si="35"/>
        <v>0.7290573172</v>
      </c>
      <c r="F61" s="130">
        <f>SUM(F59,F60)</f>
        <v>4238331</v>
      </c>
      <c r="G61" s="111">
        <f t="shared" si="36"/>
        <v>0.5220691824</v>
      </c>
      <c r="H61" s="130">
        <f>SUM(H59,H60)</f>
        <v>6451033</v>
      </c>
      <c r="J61" s="107"/>
      <c r="K61" s="107"/>
      <c r="L61" s="107"/>
      <c r="M61" s="107"/>
      <c r="N61" s="107"/>
      <c r="O61" s="107"/>
    </row>
    <row r="62">
      <c r="J62" s="107"/>
      <c r="K62" s="107"/>
      <c r="L62" s="107"/>
      <c r="M62" s="107"/>
      <c r="N62" s="107"/>
      <c r="O62" s="107"/>
      <c r="P62" s="9"/>
    </row>
    <row r="63">
      <c r="A63" s="9" t="s">
        <v>172</v>
      </c>
      <c r="B63" s="23"/>
      <c r="C63" s="20"/>
      <c r="D63" s="23"/>
      <c r="E63" s="20"/>
      <c r="F63" s="23"/>
      <c r="G63" s="20"/>
      <c r="H63" s="23"/>
      <c r="J63" s="9"/>
      <c r="K63" s="20"/>
      <c r="L63" s="20"/>
      <c r="M63" s="20"/>
      <c r="N63" s="20"/>
      <c r="O63" s="20"/>
      <c r="P63" s="20"/>
      <c r="Q63" s="20"/>
    </row>
    <row r="64">
      <c r="A64" s="9" t="s">
        <v>174</v>
      </c>
      <c r="B64" s="27">
        <v>-607415.0</v>
      </c>
      <c r="C64" s="20">
        <f t="shared" ref="C64:C71" si="37">IFERROR(SUM((D64/B64)-1),0)</f>
        <v>1.236833137</v>
      </c>
      <c r="D64" s="27">
        <v>-1358686.0</v>
      </c>
      <c r="E64" s="20">
        <f t="shared" ref="E64:E67" si="38">IFERROR(SUM((F64/D64)-1),0)</f>
        <v>0.2776241162</v>
      </c>
      <c r="F64" s="27">
        <v>-1735890.0</v>
      </c>
      <c r="G64" s="20">
        <f t="shared" ref="G64:G67" si="39">IFERROR(SUM((H64/F64)-1),0)</f>
        <v>0.476735277</v>
      </c>
      <c r="H64" s="27">
        <v>-2563450.0</v>
      </c>
      <c r="K64" s="23"/>
      <c r="L64" s="20"/>
      <c r="M64" s="23"/>
      <c r="N64" s="20"/>
      <c r="O64" s="23"/>
      <c r="P64" s="20"/>
      <c r="Q64" s="23"/>
    </row>
    <row r="65">
      <c r="A65" s="9" t="s">
        <v>181</v>
      </c>
      <c r="B65" s="27">
        <v>-14821.0</v>
      </c>
      <c r="C65" s="20">
        <f t="shared" si="37"/>
        <v>1.862020107</v>
      </c>
      <c r="D65" s="27">
        <v>-42418.0</v>
      </c>
      <c r="E65" s="20">
        <f t="shared" si="38"/>
        <v>2.331981706</v>
      </c>
      <c r="F65" s="27">
        <v>-141336.0</v>
      </c>
      <c r="G65" s="20">
        <f t="shared" si="39"/>
        <v>-0.09526942888</v>
      </c>
      <c r="H65" s="27">
        <v>-127871.0</v>
      </c>
      <c r="L65" s="20"/>
      <c r="N65" s="20"/>
      <c r="P65" s="20"/>
    </row>
    <row r="66">
      <c r="A66" s="230" t="s">
        <v>172</v>
      </c>
      <c r="B66" s="27">
        <f>SUM(B64:B65)</f>
        <v>-622236</v>
      </c>
      <c r="C66" s="20">
        <f t="shared" si="37"/>
        <v>1.251724426</v>
      </c>
      <c r="D66" s="27">
        <f>SUM(D64:D65)</f>
        <v>-1401104</v>
      </c>
      <c r="E66" s="20">
        <f t="shared" si="38"/>
        <v>0.3398191712</v>
      </c>
      <c r="F66" s="27">
        <f>SUM(F64:F65)</f>
        <v>-1877226</v>
      </c>
      <c r="G66" s="20">
        <f t="shared" si="39"/>
        <v>0.433669148</v>
      </c>
      <c r="H66" s="27">
        <f>SUM(H64:H65)</f>
        <v>-2691321</v>
      </c>
      <c r="K66" s="23"/>
      <c r="L66" s="20"/>
      <c r="M66" s="23"/>
      <c r="N66" s="20"/>
      <c r="O66" s="23"/>
      <c r="P66" s="20"/>
      <c r="Q66" s="23"/>
    </row>
    <row r="67">
      <c r="A67" s="9" t="s">
        <v>375</v>
      </c>
      <c r="B67" s="32">
        <v>4969.0</v>
      </c>
      <c r="C67" s="20">
        <f t="shared" si="37"/>
        <v>0.5920708392</v>
      </c>
      <c r="D67" s="32">
        <v>7911.0</v>
      </c>
      <c r="E67" s="20">
        <f t="shared" si="38"/>
        <v>2.573505246</v>
      </c>
      <c r="F67" s="32">
        <v>28270.0</v>
      </c>
      <c r="G67" s="20">
        <f t="shared" si="39"/>
        <v>0.7609833746</v>
      </c>
      <c r="H67" s="32">
        <v>49783.0</v>
      </c>
    </row>
    <row r="68">
      <c r="A68" s="9" t="s">
        <v>376</v>
      </c>
      <c r="B68" s="27">
        <v>-26149.0</v>
      </c>
      <c r="C68" s="20">
        <f t="shared" si="37"/>
        <v>0</v>
      </c>
      <c r="D68" s="27">
        <v>-26149.0</v>
      </c>
      <c r="E68" s="20">
        <f>IFERROR(SUM((F69/D68)-1),0)</f>
        <v>1.44200543</v>
      </c>
      <c r="F68" s="32">
        <v>-135436.0</v>
      </c>
      <c r="G68" s="20">
        <f>IFERROR(SUM((H68/F69)-1),0)</f>
        <v>2.141051741</v>
      </c>
      <c r="H68" s="32">
        <v>-200575.0</v>
      </c>
    </row>
    <row r="69">
      <c r="A69" s="9" t="s">
        <v>377</v>
      </c>
      <c r="B69" s="27">
        <v>-2235.0</v>
      </c>
      <c r="C69" s="20">
        <f t="shared" si="37"/>
        <v>-0.1369127517</v>
      </c>
      <c r="D69" s="27">
        <v>-1929.0</v>
      </c>
      <c r="E69" s="20">
        <f>IFERROR(SUM((#REF!/D69)-1),0)</f>
        <v>0</v>
      </c>
      <c r="F69" s="27">
        <v>-63856.0</v>
      </c>
      <c r="G69" s="20">
        <f>IFERROR(SUM((H69/#REF!)-1),0)</f>
        <v>0</v>
      </c>
      <c r="H69" s="27">
        <v>-75379.0</v>
      </c>
      <c r="J69" s="20"/>
    </row>
    <row r="70">
      <c r="A70" s="9" t="s">
        <v>378</v>
      </c>
      <c r="B70" s="9">
        <v>962.0</v>
      </c>
      <c r="C70" s="20">
        <f t="shared" si="37"/>
        <v>3.622661123</v>
      </c>
      <c r="D70" s="27">
        <v>4447.0</v>
      </c>
      <c r="E70" s="20">
        <f t="shared" ref="E70:E71" si="40">IFERROR(SUM((F70/D70)-1),0)</f>
        <v>0.1484146616</v>
      </c>
      <c r="F70" s="27">
        <v>5107.0</v>
      </c>
      <c r="G70" s="20">
        <f t="shared" ref="G70:G71" si="41">IFERROR(SUM((H70/F70)-1),0)</f>
        <v>0.308400235</v>
      </c>
      <c r="H70" s="27">
        <v>6682.0</v>
      </c>
      <c r="L70" s="20"/>
      <c r="M70" s="20"/>
      <c r="N70" s="20"/>
      <c r="O70" s="20"/>
      <c r="P70" s="20"/>
      <c r="Q70" s="20"/>
    </row>
    <row r="71">
      <c r="A71" s="129" t="s">
        <v>192</v>
      </c>
      <c r="B71" s="130">
        <f>SUM(B66:B70)</f>
        <v>-644689</v>
      </c>
      <c r="C71" s="111">
        <f t="shared" si="37"/>
        <v>1.197686016</v>
      </c>
      <c r="D71" s="130">
        <f>SUM(D66:D70)</f>
        <v>-1416824</v>
      </c>
      <c r="E71" s="111">
        <f t="shared" si="40"/>
        <v>0.4420570233</v>
      </c>
      <c r="F71" s="130">
        <f>SUM(F66:F70)</f>
        <v>-2043141</v>
      </c>
      <c r="G71" s="111">
        <f t="shared" si="41"/>
        <v>0.424674068</v>
      </c>
      <c r="H71" s="130">
        <f>SUM(H66:H70)</f>
        <v>-2910810</v>
      </c>
      <c r="L71" s="20"/>
      <c r="M71" s="20"/>
      <c r="N71" s="20"/>
      <c r="O71" s="20"/>
      <c r="P71" s="20"/>
      <c r="Q71" s="20"/>
    </row>
    <row r="72">
      <c r="J72" s="23"/>
      <c r="L72" s="20"/>
      <c r="M72" s="20"/>
      <c r="N72" s="20"/>
      <c r="O72" s="20"/>
      <c r="P72" s="20"/>
      <c r="Q72" s="20"/>
    </row>
    <row r="73">
      <c r="A73" s="9" t="s">
        <v>194</v>
      </c>
      <c r="B73" s="27"/>
      <c r="C73" s="20"/>
      <c r="D73" s="23"/>
      <c r="E73" s="20"/>
      <c r="F73" s="27"/>
      <c r="G73" s="20"/>
      <c r="H73" s="27"/>
      <c r="L73" s="20"/>
      <c r="M73" s="20"/>
      <c r="N73" s="20"/>
      <c r="O73" s="20"/>
      <c r="P73" s="20"/>
      <c r="Q73" s="20"/>
    </row>
    <row r="74">
      <c r="A74" s="9" t="s">
        <v>196</v>
      </c>
      <c r="B74" s="27">
        <v>758746.0</v>
      </c>
      <c r="C74" s="20">
        <f t="shared" ref="C74:C79" si="42">IFERROR(SUM((D74/B74)-1),0)</f>
        <v>2.323100221</v>
      </c>
      <c r="D74" s="27">
        <v>2521389.0</v>
      </c>
      <c r="E74" s="20">
        <f t="shared" ref="E74:E79" si="43">IFERROR(SUM((F74/D74)-1),0)</f>
        <v>0.9273416359</v>
      </c>
      <c r="F74" s="27">
        <v>4859578.0</v>
      </c>
      <c r="G74" s="20">
        <f t="shared" ref="G74:G79" si="44">IFERROR(SUM((H74/F74)-1),0)</f>
        <v>0.2857727564</v>
      </c>
      <c r="H74" s="27">
        <v>6248313.0</v>
      </c>
      <c r="L74" s="20"/>
      <c r="N74" s="20"/>
      <c r="P74" s="20"/>
    </row>
    <row r="75">
      <c r="A75" s="9" t="s">
        <v>199</v>
      </c>
      <c r="B75" s="27">
        <v>-1114376.0</v>
      </c>
      <c r="C75" s="20">
        <f t="shared" si="42"/>
        <v>0.6990934837</v>
      </c>
      <c r="D75" s="27">
        <v>-1893429.0</v>
      </c>
      <c r="E75" s="20">
        <f t="shared" si="43"/>
        <v>1.35618658</v>
      </c>
      <c r="F75" s="27">
        <v>-4461272.0</v>
      </c>
      <c r="G75" s="20">
        <f t="shared" si="44"/>
        <v>0.1724597828</v>
      </c>
      <c r="H75" s="27">
        <v>-5230662.0</v>
      </c>
      <c r="J75" s="67"/>
      <c r="L75" s="20"/>
      <c r="N75" s="20"/>
      <c r="P75" s="20"/>
    </row>
    <row r="76">
      <c r="A76" s="9" t="s">
        <v>209</v>
      </c>
      <c r="B76" s="27">
        <v>-5049.0</v>
      </c>
      <c r="C76" s="20">
        <f t="shared" si="42"/>
        <v>-0.2646068528</v>
      </c>
      <c r="D76" s="27">
        <v>-3713.0</v>
      </c>
      <c r="E76" s="20">
        <f t="shared" si="43"/>
        <v>850.576084</v>
      </c>
      <c r="F76" s="27">
        <v>-3161902.0</v>
      </c>
      <c r="G76" s="20">
        <f t="shared" si="44"/>
        <v>0.7030157797</v>
      </c>
      <c r="H76" s="27">
        <v>-5384769.0</v>
      </c>
      <c r="K76" s="23"/>
      <c r="L76" s="20"/>
      <c r="M76" s="23"/>
      <c r="N76" s="20"/>
      <c r="O76" s="23"/>
      <c r="P76" s="20"/>
      <c r="Q76" s="23"/>
    </row>
    <row r="77">
      <c r="A77" s="9" t="s">
        <v>381</v>
      </c>
      <c r="B77" s="32">
        <v>3592.0</v>
      </c>
      <c r="C77" s="20">
        <f t="shared" si="42"/>
        <v>0</v>
      </c>
      <c r="D77" s="32">
        <v>3592.0</v>
      </c>
      <c r="E77" s="20">
        <f t="shared" si="43"/>
        <v>0.186247216</v>
      </c>
      <c r="F77" s="32">
        <v>4261.0</v>
      </c>
      <c r="G77" s="20">
        <f t="shared" si="44"/>
        <v>0</v>
      </c>
      <c r="H77" s="32">
        <v>4261.0</v>
      </c>
      <c r="K77" s="23"/>
      <c r="L77" s="20"/>
      <c r="M77" s="23"/>
      <c r="N77" s="20"/>
      <c r="O77" s="23"/>
      <c r="P77" s="20"/>
      <c r="Q77" s="23"/>
    </row>
    <row r="78">
      <c r="A78" s="9" t="s">
        <v>202</v>
      </c>
      <c r="B78" s="27">
        <f>SUM(B77,B75)</f>
        <v>-1110784</v>
      </c>
      <c r="C78" s="20">
        <f t="shared" si="42"/>
        <v>0.7013541787</v>
      </c>
      <c r="D78" s="27">
        <f>SUM(D77,D75)</f>
        <v>-1889837</v>
      </c>
      <c r="E78" s="20">
        <f t="shared" si="43"/>
        <v>1.358410276</v>
      </c>
      <c r="F78" s="27">
        <f>SUM(F77,F75)</f>
        <v>-4457011</v>
      </c>
      <c r="G78" s="20">
        <f t="shared" si="44"/>
        <v>0.1726246581</v>
      </c>
      <c r="H78" s="27">
        <f>SUM(H77,H75)</f>
        <v>-5226401</v>
      </c>
      <c r="L78" s="20"/>
      <c r="N78" s="20"/>
      <c r="P78" s="20"/>
    </row>
    <row r="79">
      <c r="A79" s="129" t="s">
        <v>208</v>
      </c>
      <c r="B79" s="140">
        <f>SUM(B74,B76,B78)</f>
        <v>-357087</v>
      </c>
      <c r="C79" s="111">
        <f t="shared" si="42"/>
        <v>-2.758224186</v>
      </c>
      <c r="D79" s="140">
        <f>SUM(D74,D76,D78)</f>
        <v>627839</v>
      </c>
      <c r="E79" s="111">
        <f t="shared" si="43"/>
        <v>-5.394972278</v>
      </c>
      <c r="F79" s="140">
        <f>SUM(F74,F76,F78)</f>
        <v>-2759335</v>
      </c>
      <c r="G79" s="111">
        <f t="shared" si="44"/>
        <v>0.5811262496</v>
      </c>
      <c r="H79" s="140">
        <f>SUM(H74,H76,H78)</f>
        <v>-4362857</v>
      </c>
    </row>
    <row r="81">
      <c r="A81" s="9" t="s">
        <v>386</v>
      </c>
      <c r="B81" s="27">
        <v>-196624.0</v>
      </c>
      <c r="C81" s="20">
        <f t="shared" ref="C81:C84" si="45">IFERROR(SUM((D81/B81)-1),0)</f>
        <v>0.06037411506</v>
      </c>
      <c r="D81" s="27">
        <v>-208495.0</v>
      </c>
      <c r="E81" s="20">
        <f t="shared" ref="E81:E84" si="46">IFERROR(SUM((F81/D81)-1),0)</f>
        <v>0.7595961534</v>
      </c>
      <c r="F81" s="27">
        <v>-366867.0</v>
      </c>
      <c r="G81" s="20">
        <f t="shared" ref="G81:G84" si="47">IFERROR(SUM((H81/F81)-1),0)</f>
        <v>-0.3772484306</v>
      </c>
      <c r="H81" s="27">
        <v>-228467.0</v>
      </c>
      <c r="K81" s="23"/>
      <c r="L81" s="20"/>
      <c r="M81" s="23"/>
      <c r="N81" s="20"/>
      <c r="O81" s="23"/>
      <c r="P81" s="20"/>
      <c r="Q81" s="23"/>
    </row>
    <row r="82">
      <c r="A82" s="72" t="s">
        <v>210</v>
      </c>
      <c r="B82" s="120">
        <f>SUM(B61,B71,B79,B81)</f>
        <v>64049</v>
      </c>
      <c r="C82" s="111">
        <f t="shared" si="45"/>
        <v>21.69759091</v>
      </c>
      <c r="D82" s="120">
        <f>SUM(D61,D71,D79,D81)</f>
        <v>1453758</v>
      </c>
      <c r="E82" s="111">
        <f t="shared" si="46"/>
        <v>-1.640417456</v>
      </c>
      <c r="F82" s="120">
        <f>SUM(F61,F71,F79,F81)</f>
        <v>-931012</v>
      </c>
      <c r="G82" s="111">
        <f t="shared" si="47"/>
        <v>0.1289875963</v>
      </c>
      <c r="H82" s="120">
        <f>SUM(H61,H71,H79,H81)</f>
        <v>-1051101</v>
      </c>
      <c r="K82" s="23"/>
      <c r="L82" s="20"/>
      <c r="M82" s="23"/>
      <c r="N82" s="20"/>
      <c r="O82" s="23"/>
      <c r="P82" s="20"/>
      <c r="Q82" s="23"/>
    </row>
    <row r="83">
      <c r="A83" s="9" t="s">
        <v>212</v>
      </c>
      <c r="B83" s="32">
        <v>6296498.0</v>
      </c>
      <c r="C83" s="20">
        <f t="shared" si="45"/>
        <v>0</v>
      </c>
      <c r="D83" s="32">
        <v>6296498.0</v>
      </c>
      <c r="E83" s="20">
        <f t="shared" si="46"/>
        <v>0.1669342228</v>
      </c>
      <c r="F83" s="32">
        <v>7347599.0</v>
      </c>
      <c r="G83" s="20">
        <f t="shared" si="47"/>
        <v>0</v>
      </c>
      <c r="H83" s="32">
        <v>7347599.0</v>
      </c>
      <c r="K83" s="23"/>
      <c r="L83" s="20"/>
      <c r="M83" s="23"/>
      <c r="N83" s="20"/>
      <c r="O83" s="23"/>
      <c r="P83" s="20"/>
      <c r="Q83" s="23"/>
    </row>
    <row r="84">
      <c r="A84" s="43" t="s">
        <v>214</v>
      </c>
      <c r="B84" s="42">
        <f>SUM(B82:B83)</f>
        <v>6360547</v>
      </c>
      <c r="C84" s="48">
        <f t="shared" si="45"/>
        <v>0.218488913</v>
      </c>
      <c r="D84" s="42">
        <f>SUM(D82:D83)</f>
        <v>7750256</v>
      </c>
      <c r="E84" s="48">
        <f t="shared" si="46"/>
        <v>-0.1720806384</v>
      </c>
      <c r="F84" s="42">
        <f>SUM(F82:F83)</f>
        <v>6416587</v>
      </c>
      <c r="G84" s="48">
        <f t="shared" si="47"/>
        <v>-0.01871540119</v>
      </c>
      <c r="H84" s="42">
        <f>SUM(H82:H83)</f>
        <v>6296498</v>
      </c>
    </row>
    <row r="85">
      <c r="A85" s="80"/>
      <c r="B85" s="80"/>
      <c r="C85" s="80"/>
      <c r="D85" s="80"/>
      <c r="E85" s="80"/>
      <c r="F85" s="80"/>
      <c r="G85" s="80"/>
      <c r="H85" s="80"/>
    </row>
    <row r="86">
      <c r="A86" s="81" t="s">
        <v>230</v>
      </c>
      <c r="B86" s="32"/>
      <c r="C86" s="20"/>
      <c r="D86" s="32"/>
      <c r="E86" s="20"/>
      <c r="F86" s="23"/>
      <c r="G86" s="67"/>
      <c r="H86" s="32"/>
    </row>
    <row r="87">
      <c r="A87" s="72" t="s">
        <v>123</v>
      </c>
      <c r="B87" s="32">
        <v>4.080411E7</v>
      </c>
      <c r="F87" s="9" t="s">
        <v>21</v>
      </c>
    </row>
    <row r="88">
      <c r="A88" s="9" t="s">
        <v>126</v>
      </c>
      <c r="B88" s="32">
        <v>-2.7122477E7</v>
      </c>
      <c r="C88" s="20"/>
      <c r="D88" s="32"/>
      <c r="E88" s="20"/>
      <c r="F88" s="9" t="s">
        <v>27</v>
      </c>
      <c r="G88" s="27">
        <v>858238.0</v>
      </c>
      <c r="H88" s="32"/>
    </row>
    <row r="89">
      <c r="A89" s="72" t="s">
        <v>130</v>
      </c>
      <c r="B89" s="27">
        <f>B87+B88</f>
        <v>13681633</v>
      </c>
      <c r="C89" s="20"/>
      <c r="D89" s="32"/>
      <c r="E89" s="20"/>
      <c r="F89" s="9" t="s">
        <v>32</v>
      </c>
      <c r="G89" s="27">
        <v>0.0</v>
      </c>
      <c r="H89" s="32"/>
    </row>
    <row r="90">
      <c r="A90" s="67" t="s">
        <v>137</v>
      </c>
      <c r="B90" s="32"/>
      <c r="C90" s="20"/>
      <c r="D90" s="32"/>
      <c r="E90" s="20"/>
      <c r="F90" s="9" t="s">
        <v>39</v>
      </c>
      <c r="G90" s="23">
        <f>SUM(G88:G89)</f>
        <v>858238</v>
      </c>
      <c r="H90" s="32"/>
    </row>
    <row r="91">
      <c r="A91" s="9" t="s">
        <v>140</v>
      </c>
      <c r="B91" s="32">
        <v>-3353431.0</v>
      </c>
      <c r="E91" s="20"/>
      <c r="F91" s="23"/>
      <c r="I91" s="20"/>
    </row>
    <row r="92">
      <c r="A92" s="9" t="s">
        <v>145</v>
      </c>
      <c r="B92" s="27">
        <v>-1513882.0</v>
      </c>
      <c r="C92" s="20"/>
      <c r="D92" s="23"/>
      <c r="E92" s="20"/>
      <c r="F92" s="23"/>
      <c r="H92" s="20"/>
      <c r="I92" s="20"/>
      <c r="J92" s="23"/>
    </row>
    <row r="93">
      <c r="A93" s="9" t="s">
        <v>151</v>
      </c>
      <c r="B93" s="20">
        <f>ABS(B92)/B87</f>
        <v>0.03710121358</v>
      </c>
      <c r="C93" s="20"/>
      <c r="D93" s="23"/>
      <c r="E93" s="20"/>
      <c r="F93" s="23"/>
      <c r="H93" s="23"/>
      <c r="I93" s="20"/>
      <c r="J93" s="23"/>
    </row>
    <row r="94">
      <c r="A94" s="9" t="s">
        <v>141</v>
      </c>
      <c r="B94" s="27">
        <v>-11616.0</v>
      </c>
      <c r="C94" s="20"/>
      <c r="D94" s="23"/>
      <c r="F94" s="23"/>
      <c r="H94" s="23"/>
      <c r="I94" s="20"/>
      <c r="J94" s="23"/>
    </row>
    <row r="95">
      <c r="A95" s="9" t="s">
        <v>154</v>
      </c>
      <c r="B95" s="27">
        <v>222777.0</v>
      </c>
      <c r="D95" s="23"/>
      <c r="E95" s="20"/>
      <c r="F95" s="27"/>
      <c r="H95" s="23"/>
      <c r="I95" s="20"/>
      <c r="J95" s="23"/>
    </row>
    <row r="96">
      <c r="A96" s="9" t="s">
        <v>158</v>
      </c>
      <c r="B96" s="27">
        <v>-1026740.0</v>
      </c>
      <c r="C96" s="20"/>
      <c r="D96" s="27"/>
      <c r="E96" s="20"/>
      <c r="F96" s="27"/>
      <c r="H96" s="27"/>
      <c r="I96" s="20"/>
      <c r="J96" s="20"/>
    </row>
    <row r="97">
      <c r="A97" s="9" t="s">
        <v>164</v>
      </c>
      <c r="B97" s="23">
        <f>SUM(B91,B92,B95,B94,B96)</f>
        <v>-5682892</v>
      </c>
      <c r="C97" s="20"/>
      <c r="D97" s="27"/>
      <c r="E97" s="20"/>
      <c r="F97" s="23"/>
      <c r="H97" s="27"/>
      <c r="I97" s="20"/>
      <c r="J97" s="20"/>
    </row>
    <row r="98">
      <c r="B98" s="27"/>
      <c r="C98" s="20"/>
      <c r="D98" s="27"/>
      <c r="E98" s="20"/>
      <c r="H98" s="27"/>
      <c r="I98" s="20"/>
      <c r="J98" s="23"/>
    </row>
    <row r="99">
      <c r="A99" s="72" t="s">
        <v>143</v>
      </c>
      <c r="B99" s="23">
        <f>SUM(B89,B97)</f>
        <v>7998741</v>
      </c>
      <c r="I99" s="20"/>
      <c r="J99" s="23"/>
    </row>
    <row r="100">
      <c r="G100" s="67"/>
      <c r="I100" s="20"/>
      <c r="J100" s="23"/>
    </row>
    <row r="101">
      <c r="A101" s="9" t="s">
        <v>127</v>
      </c>
      <c r="B101" s="32">
        <v>2322314.0</v>
      </c>
      <c r="E101" s="20"/>
      <c r="F101" s="32"/>
      <c r="I101" s="20"/>
      <c r="J101" s="20"/>
    </row>
    <row r="102">
      <c r="A102" s="9" t="s">
        <v>135</v>
      </c>
      <c r="B102" s="32">
        <v>-2173378.0</v>
      </c>
      <c r="C102" s="20"/>
      <c r="D102" s="32"/>
      <c r="E102" s="20"/>
      <c r="H102" s="32"/>
    </row>
    <row r="103">
      <c r="A103" s="9" t="s">
        <v>138</v>
      </c>
      <c r="B103" s="27">
        <f>B101+B102</f>
        <v>148936</v>
      </c>
      <c r="C103" s="20"/>
      <c r="D103" s="27"/>
      <c r="E103" s="20"/>
      <c r="G103" s="9"/>
      <c r="H103" s="27"/>
    </row>
    <row r="104">
      <c r="B104" s="32"/>
      <c r="C104" s="20"/>
      <c r="D104" s="32"/>
      <c r="E104" s="20"/>
      <c r="H104" s="32"/>
      <c r="I104" s="20"/>
    </row>
    <row r="105">
      <c r="A105" s="65" t="s">
        <v>133</v>
      </c>
      <c r="B105" s="27">
        <v>-1001297.0</v>
      </c>
      <c r="C105" s="20"/>
      <c r="D105" s="27"/>
      <c r="E105" s="20"/>
      <c r="G105" s="9"/>
      <c r="H105" s="27"/>
      <c r="I105" s="20"/>
      <c r="J105" s="20"/>
    </row>
    <row r="106">
      <c r="A106" s="72" t="s">
        <v>146</v>
      </c>
      <c r="B106" s="23">
        <f>B109-B108-B103-B105</f>
        <v>9000038</v>
      </c>
      <c r="E106" s="20"/>
      <c r="G106" s="67"/>
      <c r="I106" s="20"/>
      <c r="J106" s="20"/>
    </row>
    <row r="107">
      <c r="A107" s="9" t="s">
        <v>150</v>
      </c>
      <c r="B107" s="27">
        <f>B99+B103</f>
        <v>8147677</v>
      </c>
      <c r="C107" s="20"/>
      <c r="D107" s="27"/>
      <c r="E107" s="20"/>
      <c r="F107" s="20"/>
      <c r="H107" s="27"/>
      <c r="I107" s="20"/>
      <c r="J107" s="20"/>
    </row>
    <row r="108">
      <c r="A108" s="9" t="s">
        <v>152</v>
      </c>
      <c r="B108" s="27">
        <v>-1371719.0</v>
      </c>
      <c r="C108" s="20"/>
      <c r="D108" s="27"/>
      <c r="H108" s="27"/>
      <c r="I108" s="20"/>
      <c r="J108" s="27"/>
    </row>
    <row r="109">
      <c r="A109" s="72" t="s">
        <v>156</v>
      </c>
      <c r="B109" s="27">
        <f>B107+B108</f>
        <v>6775958</v>
      </c>
      <c r="C109" s="20"/>
      <c r="D109" s="20"/>
      <c r="E109" s="20"/>
      <c r="F109" s="32"/>
      <c r="H109" s="20"/>
      <c r="I109" s="20"/>
      <c r="J109" s="20"/>
    </row>
    <row r="145">
      <c r="B145" s="27"/>
      <c r="C145" s="20"/>
      <c r="D145" s="27"/>
    </row>
    <row r="146">
      <c r="H146" s="27"/>
    </row>
    <row r="147">
      <c r="H147" s="27"/>
    </row>
    <row r="148">
      <c r="H148" s="27"/>
    </row>
    <row r="149">
      <c r="H149" s="27"/>
    </row>
    <row r="150">
      <c r="H150" s="27"/>
    </row>
    <row r="151">
      <c r="H151" s="27"/>
    </row>
    <row r="152">
      <c r="B152" s="27"/>
      <c r="C152" s="20"/>
      <c r="D152" s="27"/>
      <c r="H152" s="27"/>
    </row>
    <row r="153">
      <c r="B153" s="27"/>
      <c r="C153" s="20"/>
      <c r="D153" s="27"/>
      <c r="H153" s="27"/>
    </row>
    <row r="154">
      <c r="B154" s="27"/>
      <c r="C154" s="20"/>
      <c r="D154" s="27"/>
      <c r="H154" s="27"/>
    </row>
    <row r="155">
      <c r="C155" s="20"/>
      <c r="D155" s="32"/>
    </row>
    <row r="156">
      <c r="A156" s="67"/>
      <c r="B156" s="158"/>
      <c r="C156" s="160"/>
      <c r="D156" s="158"/>
      <c r="G156" s="67"/>
      <c r="H156" s="158"/>
    </row>
    <row r="157">
      <c r="B157" s="23"/>
      <c r="D157" s="23"/>
      <c r="H157" s="23"/>
    </row>
    <row r="158">
      <c r="B158" s="27"/>
      <c r="C158" s="20"/>
      <c r="D158" s="27"/>
      <c r="H158" s="27"/>
    </row>
    <row r="159">
      <c r="B159" s="27"/>
      <c r="C159" s="20"/>
      <c r="D159" s="27"/>
      <c r="H159" s="27"/>
    </row>
    <row r="160">
      <c r="B160" s="27"/>
      <c r="C160" s="20"/>
      <c r="D160" s="27"/>
      <c r="H160" s="27"/>
    </row>
    <row r="161">
      <c r="B161" s="27"/>
      <c r="C161" s="20"/>
      <c r="D161" s="27"/>
      <c r="H161" s="27"/>
    </row>
    <row r="162">
      <c r="A162" s="67"/>
      <c r="B162" s="158"/>
      <c r="C162" s="160"/>
      <c r="D162" s="158"/>
      <c r="G162" s="67"/>
      <c r="H162" s="158"/>
    </row>
    <row r="163">
      <c r="B163" s="23"/>
      <c r="D163" s="23"/>
      <c r="H163" s="23"/>
    </row>
    <row r="164">
      <c r="B164" s="27"/>
      <c r="D164" s="23"/>
      <c r="H164" s="27"/>
    </row>
    <row r="165">
      <c r="B165" s="27"/>
      <c r="C165" s="20"/>
      <c r="D165" s="27"/>
      <c r="H165" s="27"/>
    </row>
    <row r="166">
      <c r="B166" s="27"/>
      <c r="C166" s="20"/>
      <c r="D166" s="27"/>
      <c r="H166" s="27"/>
    </row>
    <row r="167">
      <c r="B167" s="27"/>
      <c r="C167" s="20"/>
      <c r="D167" s="27"/>
      <c r="H167" s="27"/>
    </row>
    <row r="168">
      <c r="B168" s="27"/>
      <c r="C168" s="20"/>
      <c r="D168" s="27"/>
      <c r="H168" s="27"/>
    </row>
    <row r="169">
      <c r="A169" s="67"/>
      <c r="B169" s="146"/>
      <c r="C169" s="160"/>
      <c r="D169" s="146"/>
      <c r="G169" s="67"/>
      <c r="H169" s="146"/>
    </row>
    <row r="170">
      <c r="B170" s="23"/>
      <c r="D170" s="23"/>
      <c r="H170" s="23"/>
    </row>
    <row r="171">
      <c r="A171" s="9"/>
      <c r="C171" s="20"/>
      <c r="G171" s="9"/>
    </row>
    <row r="172">
      <c r="B172" s="32"/>
      <c r="C172" s="20"/>
      <c r="D172" s="32"/>
      <c r="H172" s="32"/>
    </row>
    <row r="173">
      <c r="A173" s="9"/>
      <c r="B173" s="9"/>
      <c r="C173" s="20"/>
      <c r="D173" s="9"/>
      <c r="G173" s="9"/>
      <c r="H173" s="9"/>
    </row>
    <row r="177">
      <c r="G177" s="9"/>
    </row>
    <row r="178">
      <c r="C178" s="20"/>
      <c r="D178" s="23"/>
      <c r="G178" s="9"/>
      <c r="I178" s="20"/>
    </row>
    <row r="179">
      <c r="C179" s="20"/>
      <c r="D179" s="27"/>
      <c r="E179" s="20"/>
      <c r="F179" s="23"/>
      <c r="H179" s="23"/>
      <c r="I179" s="20"/>
      <c r="J179" s="23"/>
    </row>
    <row r="180">
      <c r="C180" s="20"/>
      <c r="D180" s="27"/>
      <c r="E180" s="20"/>
      <c r="F180" s="27"/>
      <c r="H180" s="23"/>
      <c r="I180" s="20"/>
      <c r="J180" s="23"/>
    </row>
    <row r="181">
      <c r="C181" s="20"/>
      <c r="D181" s="27"/>
      <c r="E181" s="20"/>
      <c r="F181" s="27"/>
      <c r="H181" s="23"/>
      <c r="I181" s="20"/>
      <c r="J181" s="23"/>
    </row>
    <row r="182">
      <c r="C182" s="20"/>
      <c r="D182" s="27"/>
      <c r="E182" s="20"/>
      <c r="F182" s="27"/>
      <c r="H182" s="23"/>
      <c r="I182" s="20"/>
      <c r="J182" s="23"/>
    </row>
    <row r="183">
      <c r="C183" s="20"/>
      <c r="D183" s="32"/>
      <c r="E183" s="20"/>
      <c r="F183" s="27"/>
      <c r="H183" s="20"/>
      <c r="I183" s="20"/>
      <c r="J183" s="20"/>
    </row>
    <row r="184">
      <c r="C184" s="20"/>
      <c r="D184" s="32"/>
      <c r="E184" s="20"/>
      <c r="F184" s="27"/>
      <c r="H184" s="20"/>
      <c r="I184" s="20"/>
      <c r="J184" s="20"/>
    </row>
    <row r="185">
      <c r="C185" s="20"/>
      <c r="D185" s="27"/>
      <c r="E185" s="20"/>
      <c r="F185" s="23"/>
      <c r="H185" s="23"/>
      <c r="I185" s="20"/>
      <c r="J185" s="23"/>
    </row>
    <row r="186">
      <c r="E186" s="20"/>
      <c r="F186" s="23"/>
      <c r="H186" s="23"/>
      <c r="I186" s="20"/>
      <c r="J186" s="23"/>
    </row>
    <row r="187">
      <c r="C187" s="20"/>
      <c r="D187" s="23"/>
      <c r="E187" s="20"/>
      <c r="F187" s="27"/>
      <c r="H187" s="23"/>
      <c r="I187" s="20"/>
      <c r="J187" s="23"/>
    </row>
    <row r="188">
      <c r="C188" s="20"/>
      <c r="D188" s="27"/>
      <c r="E188" s="20"/>
      <c r="F188" s="27"/>
      <c r="H188" s="20"/>
      <c r="I188" s="20"/>
      <c r="J188" s="20"/>
    </row>
    <row r="189">
      <c r="C189" s="20"/>
      <c r="D189" s="27"/>
      <c r="E189" s="20"/>
      <c r="F189" s="27"/>
      <c r="G189" s="67"/>
    </row>
    <row r="190">
      <c r="C190" s="20"/>
      <c r="D190" s="27"/>
      <c r="E190" s="20"/>
      <c r="F190" s="27"/>
      <c r="G190" s="67"/>
    </row>
    <row r="191">
      <c r="C191" s="20"/>
      <c r="D191" s="27"/>
      <c r="F191" s="23"/>
      <c r="G191" s="9"/>
      <c r="I191" s="20"/>
    </row>
    <row r="192">
      <c r="C192" s="20"/>
      <c r="D192" s="32"/>
      <c r="E192" s="20"/>
      <c r="F192" s="23"/>
      <c r="G192" s="9"/>
      <c r="H192" s="20"/>
      <c r="I192" s="20"/>
      <c r="J192" s="20"/>
    </row>
    <row r="193">
      <c r="C193" s="20"/>
      <c r="D193" s="32"/>
      <c r="E193" s="20"/>
      <c r="F193" s="23"/>
      <c r="G193" s="9"/>
      <c r="H193" s="20"/>
      <c r="I193" s="20"/>
      <c r="J193" s="20"/>
    </row>
    <row r="194">
      <c r="C194" s="20"/>
      <c r="D194" s="32"/>
      <c r="E194" s="20"/>
      <c r="F194" s="23"/>
      <c r="G194" s="9"/>
      <c r="H194" s="20"/>
      <c r="I194" s="20"/>
      <c r="J194" s="20"/>
    </row>
    <row r="195">
      <c r="C195" s="20"/>
      <c r="D195" s="32"/>
      <c r="E195" s="20"/>
      <c r="F195" s="23"/>
      <c r="G195" s="9"/>
      <c r="H195" s="27"/>
      <c r="I195" s="20"/>
      <c r="J195" s="27"/>
    </row>
    <row r="196">
      <c r="E196" s="20"/>
      <c r="F196" s="23"/>
      <c r="G196" s="9"/>
      <c r="H196" s="20"/>
      <c r="I196" s="20"/>
      <c r="J196" s="20"/>
    </row>
    <row r="197">
      <c r="C197" s="20"/>
      <c r="D197" s="23"/>
      <c r="E197" s="20"/>
      <c r="F197" s="23"/>
      <c r="H197" s="23"/>
      <c r="I197" s="20"/>
      <c r="J197" s="23"/>
    </row>
    <row r="198">
      <c r="C198" s="20"/>
      <c r="D198" s="23"/>
      <c r="E198" s="20"/>
      <c r="F198" s="23"/>
    </row>
    <row r="199">
      <c r="C199" s="20"/>
      <c r="D199" s="23"/>
      <c r="F199" s="23"/>
      <c r="G199" s="67"/>
    </row>
    <row r="200">
      <c r="D200" s="23"/>
      <c r="E200" s="20"/>
      <c r="F200" s="27"/>
      <c r="G200" s="9"/>
      <c r="H200" s="20"/>
      <c r="I200" s="20"/>
      <c r="J200" s="20"/>
    </row>
    <row r="201">
      <c r="C201" s="20"/>
      <c r="D201" s="27"/>
      <c r="E201" s="20"/>
      <c r="F201" s="27"/>
      <c r="G201" s="9"/>
      <c r="H201" s="20"/>
      <c r="I201" s="20"/>
      <c r="J201" s="20"/>
    </row>
    <row r="202">
      <c r="C202" s="20"/>
      <c r="D202" s="27"/>
      <c r="E202" s="20"/>
      <c r="F202" s="23"/>
      <c r="G202" s="9"/>
      <c r="H202" s="20"/>
      <c r="I202" s="20"/>
      <c r="J202" s="20"/>
    </row>
    <row r="203">
      <c r="C203" s="20"/>
      <c r="D203" s="27"/>
      <c r="E203" s="20"/>
      <c r="G203" s="9"/>
      <c r="H203" s="20"/>
      <c r="I203" s="20"/>
      <c r="J203" s="20"/>
    </row>
    <row r="205">
      <c r="G205" s="67"/>
    </row>
    <row r="206">
      <c r="E206" s="20"/>
      <c r="F206" s="32"/>
      <c r="H206" s="23"/>
      <c r="I206" s="20"/>
      <c r="J206" s="23"/>
    </row>
    <row r="207">
      <c r="C207" s="20"/>
      <c r="D207" s="32"/>
      <c r="E207" s="20"/>
      <c r="H207" s="23"/>
      <c r="I207" s="20"/>
      <c r="J207" s="23"/>
    </row>
    <row r="208">
      <c r="C208" s="20"/>
      <c r="D208" s="27"/>
      <c r="E208" s="20"/>
    </row>
    <row r="209">
      <c r="C209" s="20"/>
      <c r="D209" s="32"/>
      <c r="E209" s="20"/>
      <c r="G209" s="9"/>
    </row>
    <row r="210">
      <c r="C210" s="20"/>
      <c r="D210" s="27"/>
      <c r="E210" s="20"/>
      <c r="H210" s="23"/>
      <c r="I210" s="20"/>
      <c r="J210" s="23"/>
    </row>
    <row r="211">
      <c r="E211" s="20"/>
      <c r="H211" s="23"/>
      <c r="I211" s="20"/>
      <c r="J211" s="23"/>
    </row>
    <row r="212">
      <c r="C212" s="20"/>
      <c r="D212" s="27"/>
      <c r="E212" s="20"/>
      <c r="F212" s="20"/>
      <c r="H212" s="23"/>
      <c r="I212" s="20"/>
      <c r="J212" s="23"/>
    </row>
    <row r="213">
      <c r="C213" s="20"/>
      <c r="D213" s="27"/>
      <c r="H213" s="23"/>
      <c r="I213" s="20"/>
      <c r="J213" s="23"/>
    </row>
    <row r="214">
      <c r="C214" s="20"/>
      <c r="D214" s="20"/>
      <c r="E214" s="20"/>
      <c r="F214" s="32"/>
    </row>
    <row r="215">
      <c r="C215" s="20"/>
      <c r="D215" s="27"/>
      <c r="E215" s="20"/>
      <c r="F215" s="27"/>
    </row>
    <row r="216">
      <c r="C216" s="20"/>
      <c r="D216" s="27"/>
      <c r="E216" s="20"/>
      <c r="F216" s="32"/>
    </row>
    <row r="217">
      <c r="C217" s="20"/>
      <c r="D217" s="23"/>
      <c r="E217" s="20"/>
      <c r="F217" s="27"/>
    </row>
    <row r="218">
      <c r="E218" s="20"/>
      <c r="F218" s="32"/>
    </row>
    <row r="219">
      <c r="D219" s="27"/>
      <c r="E219" s="20"/>
      <c r="F219" s="32"/>
    </row>
    <row r="220">
      <c r="C220" s="20"/>
      <c r="E220" s="20"/>
    </row>
    <row r="221">
      <c r="E221" s="20"/>
    </row>
    <row r="222">
      <c r="C222" s="20"/>
      <c r="D222" s="27"/>
      <c r="E222" s="20"/>
    </row>
    <row r="223">
      <c r="C223" s="20"/>
      <c r="D223" s="27"/>
      <c r="E223" s="20"/>
      <c r="F223" s="32"/>
    </row>
    <row r="224">
      <c r="C224" s="20"/>
      <c r="D224" s="27"/>
      <c r="E224" s="20"/>
    </row>
    <row r="226">
      <c r="C226" s="20"/>
    </row>
    <row r="227">
      <c r="C227" s="20"/>
      <c r="E227" s="20"/>
      <c r="F227" s="20"/>
    </row>
    <row r="228">
      <c r="C228" s="20"/>
      <c r="D228" s="27"/>
      <c r="E228" s="20"/>
      <c r="F228" s="20"/>
    </row>
    <row r="229">
      <c r="C229" s="20"/>
      <c r="E229" s="20"/>
      <c r="F229" s="20"/>
    </row>
    <row r="233">
      <c r="C233" s="20"/>
      <c r="D233" s="27"/>
    </row>
    <row r="234">
      <c r="C234" s="20"/>
      <c r="D234" s="27"/>
    </row>
    <row r="235">
      <c r="C235" s="20"/>
      <c r="D235" s="27"/>
    </row>
    <row r="236">
      <c r="C236" s="20"/>
      <c r="D236" s="27"/>
    </row>
    <row r="237">
      <c r="C237" s="20"/>
      <c r="D237" s="27"/>
    </row>
    <row r="238">
      <c r="C238" s="20"/>
      <c r="D238" s="27"/>
    </row>
    <row r="239">
      <c r="C239" s="20"/>
      <c r="D239" s="27"/>
    </row>
    <row r="240">
      <c r="C240" s="20"/>
      <c r="D240" s="27"/>
    </row>
    <row r="241">
      <c r="C241" s="20"/>
      <c r="D241" s="27"/>
    </row>
    <row r="242">
      <c r="C242" s="20"/>
      <c r="D242" s="32"/>
    </row>
    <row r="243">
      <c r="C243" s="160"/>
      <c r="D243" s="158"/>
    </row>
    <row r="244">
      <c r="D244" s="23"/>
    </row>
    <row r="245">
      <c r="C245" s="20"/>
      <c r="D245" s="27"/>
    </row>
    <row r="246">
      <c r="C246" s="20"/>
      <c r="D246" s="27"/>
    </row>
    <row r="247">
      <c r="C247" s="20"/>
      <c r="D247" s="27"/>
    </row>
    <row r="248">
      <c r="C248" s="20"/>
      <c r="D248" s="27"/>
    </row>
    <row r="249">
      <c r="C249" s="160"/>
      <c r="D249" s="158"/>
    </row>
    <row r="250">
      <c r="D250" s="23"/>
    </row>
    <row r="251">
      <c r="D251" s="23"/>
    </row>
    <row r="252">
      <c r="C252" s="20"/>
      <c r="D252" s="27"/>
    </row>
    <row r="253">
      <c r="C253" s="20"/>
      <c r="D253" s="27"/>
    </row>
    <row r="254">
      <c r="C254" s="20"/>
      <c r="D254" s="27"/>
    </row>
    <row r="255">
      <c r="C255" s="20"/>
      <c r="D255" s="27"/>
    </row>
    <row r="256">
      <c r="C256" s="160"/>
      <c r="D256" s="146"/>
    </row>
    <row r="257">
      <c r="D257" s="23"/>
    </row>
    <row r="258">
      <c r="C258" s="20"/>
    </row>
    <row r="259">
      <c r="C259" s="20"/>
      <c r="D259" s="32"/>
    </row>
    <row r="260">
      <c r="C260" s="20"/>
      <c r="D260" s="9"/>
    </row>
    <row r="264">
      <c r="A264" s="9"/>
    </row>
    <row r="265">
      <c r="G265" s="9"/>
    </row>
    <row r="266">
      <c r="B266" s="23"/>
      <c r="C266" s="20"/>
      <c r="D266" s="23"/>
      <c r="G266" s="9"/>
      <c r="I266" s="20"/>
    </row>
    <row r="267">
      <c r="B267" s="27"/>
      <c r="C267" s="20"/>
      <c r="D267" s="27"/>
      <c r="E267" s="20"/>
      <c r="F267" s="23"/>
      <c r="H267" s="23"/>
      <c r="I267" s="20"/>
      <c r="J267" s="23"/>
    </row>
    <row r="268">
      <c r="B268" s="27"/>
      <c r="C268" s="20"/>
      <c r="D268" s="27"/>
      <c r="E268" s="20"/>
      <c r="F268" s="27"/>
      <c r="H268" s="23"/>
      <c r="I268" s="20"/>
      <c r="J268" s="23"/>
    </row>
    <row r="269">
      <c r="B269" s="27"/>
      <c r="C269" s="20"/>
      <c r="D269" s="27"/>
      <c r="E269" s="20"/>
      <c r="F269" s="27"/>
      <c r="H269" s="23"/>
      <c r="I269" s="20"/>
      <c r="J269" s="23"/>
    </row>
    <row r="270">
      <c r="B270" s="27"/>
      <c r="C270" s="20"/>
      <c r="D270" s="27"/>
      <c r="E270" s="20"/>
      <c r="F270" s="27"/>
      <c r="H270" s="23"/>
      <c r="I270" s="20"/>
      <c r="J270" s="23"/>
    </row>
    <row r="271">
      <c r="A271" s="9"/>
      <c r="B271" s="32"/>
      <c r="C271" s="20"/>
      <c r="D271" s="32"/>
      <c r="E271" s="20"/>
      <c r="F271" s="27"/>
      <c r="H271" s="20"/>
      <c r="I271" s="20"/>
      <c r="J271" s="20"/>
    </row>
    <row r="272">
      <c r="B272" s="32"/>
      <c r="C272" s="20"/>
      <c r="D272" s="32"/>
      <c r="E272" s="20"/>
      <c r="F272" s="27"/>
      <c r="H272" s="20"/>
      <c r="I272" s="20"/>
      <c r="J272" s="20"/>
    </row>
    <row r="273">
      <c r="B273" s="27"/>
      <c r="C273" s="20"/>
      <c r="D273" s="27"/>
      <c r="E273" s="20"/>
      <c r="F273" s="23"/>
      <c r="H273" s="23"/>
      <c r="I273" s="20"/>
      <c r="J273" s="23"/>
    </row>
    <row r="274">
      <c r="E274" s="20"/>
      <c r="F274" s="23"/>
      <c r="H274" s="23"/>
      <c r="I274" s="20"/>
      <c r="J274" s="23"/>
    </row>
    <row r="275">
      <c r="B275" s="23"/>
      <c r="C275" s="20"/>
      <c r="D275" s="23"/>
      <c r="E275" s="20"/>
      <c r="F275" s="27"/>
      <c r="H275" s="23"/>
      <c r="I275" s="20"/>
      <c r="J275" s="23"/>
    </row>
    <row r="276">
      <c r="B276" s="27"/>
      <c r="C276" s="20"/>
      <c r="D276" s="27"/>
      <c r="E276" s="20"/>
      <c r="F276" s="27"/>
      <c r="H276" s="20"/>
      <c r="I276" s="20"/>
      <c r="J276" s="20"/>
    </row>
    <row r="277">
      <c r="B277" s="27"/>
      <c r="C277" s="20"/>
      <c r="D277" s="27"/>
      <c r="E277" s="20"/>
      <c r="F277" s="27"/>
      <c r="G277" s="67"/>
    </row>
    <row r="278">
      <c r="B278" s="27"/>
      <c r="C278" s="20"/>
      <c r="D278" s="27"/>
      <c r="E278" s="20"/>
      <c r="F278" s="27"/>
      <c r="G278" s="67"/>
    </row>
    <row r="279">
      <c r="B279" s="27"/>
      <c r="C279" s="20"/>
      <c r="D279" s="27"/>
      <c r="F279" s="23"/>
      <c r="G279" s="9"/>
      <c r="I279" s="20"/>
    </row>
    <row r="280">
      <c r="A280" s="67"/>
      <c r="B280" s="32"/>
      <c r="C280" s="20"/>
      <c r="D280" s="32"/>
      <c r="E280" s="20"/>
      <c r="F280" s="23"/>
      <c r="G280" s="9"/>
      <c r="H280" s="20"/>
      <c r="I280" s="20"/>
      <c r="J280" s="20"/>
    </row>
    <row r="281">
      <c r="A281" s="67"/>
      <c r="B281" s="32"/>
      <c r="C281" s="20"/>
      <c r="D281" s="32"/>
      <c r="E281" s="20"/>
      <c r="F281" s="23"/>
      <c r="G281" s="9"/>
      <c r="H281" s="20"/>
      <c r="I281" s="20"/>
      <c r="J281" s="20"/>
    </row>
    <row r="282">
      <c r="A282" s="9"/>
      <c r="B282" s="32"/>
      <c r="C282" s="20"/>
      <c r="D282" s="32"/>
      <c r="E282" s="20"/>
      <c r="F282" s="23"/>
      <c r="G282" s="9"/>
      <c r="H282" s="20"/>
      <c r="I282" s="20"/>
      <c r="J282" s="20"/>
    </row>
    <row r="283">
      <c r="B283" s="32"/>
      <c r="C283" s="20"/>
      <c r="D283" s="32"/>
      <c r="E283" s="20"/>
      <c r="F283" s="23"/>
      <c r="G283" s="9"/>
      <c r="H283" s="27"/>
      <c r="I283" s="20"/>
      <c r="J283" s="27"/>
    </row>
    <row r="284">
      <c r="E284" s="20"/>
      <c r="F284" s="23"/>
      <c r="G284" s="9"/>
      <c r="H284" s="20"/>
      <c r="I284" s="20"/>
      <c r="J284" s="20"/>
    </row>
    <row r="285">
      <c r="B285" s="20"/>
      <c r="C285" s="20"/>
      <c r="D285" s="23"/>
      <c r="E285" s="20"/>
      <c r="F285" s="23"/>
      <c r="H285" s="23"/>
      <c r="I285" s="20"/>
      <c r="J285" s="23"/>
    </row>
    <row r="286">
      <c r="B286" s="23"/>
      <c r="C286" s="20"/>
      <c r="D286" s="23"/>
      <c r="E286" s="20"/>
      <c r="F286" s="23"/>
    </row>
    <row r="287">
      <c r="B287" s="23"/>
      <c r="C287" s="20"/>
      <c r="D287" s="23"/>
      <c r="F287" s="23"/>
      <c r="G287" s="67"/>
    </row>
    <row r="288">
      <c r="B288" s="23"/>
      <c r="D288" s="23"/>
      <c r="E288" s="20"/>
      <c r="F288" s="27"/>
      <c r="G288" s="9"/>
      <c r="H288" s="20"/>
      <c r="I288" s="20"/>
      <c r="J288" s="20"/>
    </row>
    <row r="289">
      <c r="B289" s="27"/>
      <c r="C289" s="20"/>
      <c r="D289" s="27"/>
      <c r="E289" s="20"/>
      <c r="F289" s="27"/>
      <c r="G289" s="9"/>
      <c r="H289" s="20"/>
      <c r="I289" s="20"/>
      <c r="J289" s="20"/>
    </row>
    <row r="290">
      <c r="B290" s="27"/>
      <c r="C290" s="20"/>
      <c r="D290" s="27"/>
      <c r="E290" s="20"/>
      <c r="F290" s="23"/>
      <c r="G290" s="9"/>
      <c r="H290" s="20"/>
      <c r="I290" s="20"/>
      <c r="J290" s="20"/>
    </row>
    <row r="291">
      <c r="B291" s="27"/>
      <c r="C291" s="20"/>
      <c r="D291" s="27"/>
      <c r="E291" s="20"/>
      <c r="G291" s="9"/>
      <c r="H291" s="20"/>
      <c r="I291" s="20"/>
      <c r="J291" s="20"/>
    </row>
    <row r="293">
      <c r="A293" s="67"/>
      <c r="G293" s="67"/>
    </row>
    <row r="294">
      <c r="E294" s="20"/>
      <c r="F294" s="32"/>
      <c r="H294" s="23"/>
      <c r="I294" s="20"/>
      <c r="J294" s="23"/>
    </row>
    <row r="295">
      <c r="B295" s="32"/>
      <c r="C295" s="20"/>
      <c r="D295" s="32"/>
      <c r="E295" s="20"/>
      <c r="H295" s="23"/>
      <c r="I295" s="20"/>
      <c r="J295" s="23"/>
    </row>
    <row r="296">
      <c r="A296" s="9"/>
      <c r="B296" s="27"/>
      <c r="C296" s="20"/>
      <c r="D296" s="27"/>
      <c r="E296" s="20"/>
    </row>
    <row r="297">
      <c r="B297" s="32"/>
      <c r="C297" s="20"/>
      <c r="D297" s="32"/>
      <c r="E297" s="20"/>
      <c r="G297" s="9"/>
    </row>
    <row r="298">
      <c r="A298" s="9"/>
      <c r="B298" s="27"/>
      <c r="C298" s="20"/>
      <c r="D298" s="27"/>
      <c r="E298" s="20"/>
      <c r="H298" s="23"/>
      <c r="I298" s="20"/>
      <c r="J298" s="23"/>
    </row>
    <row r="299">
      <c r="A299" s="67"/>
      <c r="E299" s="20"/>
      <c r="H299" s="23"/>
      <c r="I299" s="20"/>
      <c r="J299" s="23"/>
    </row>
    <row r="300">
      <c r="B300" s="27"/>
      <c r="C300" s="20"/>
      <c r="D300" s="27"/>
      <c r="E300" s="20"/>
      <c r="F300" s="20"/>
      <c r="H300" s="23"/>
      <c r="I300" s="20"/>
      <c r="J300" s="23"/>
    </row>
    <row r="301">
      <c r="B301" s="27"/>
      <c r="C301" s="20"/>
      <c r="D301" s="27"/>
      <c r="H301" s="23"/>
      <c r="I301" s="20"/>
      <c r="J301" s="23"/>
    </row>
    <row r="302">
      <c r="B302" s="20"/>
      <c r="C302" s="20"/>
      <c r="D302" s="20"/>
      <c r="E302" s="20"/>
      <c r="F302" s="32"/>
    </row>
    <row r="303">
      <c r="B303" s="27"/>
      <c r="C303" s="20"/>
      <c r="D303" s="27"/>
      <c r="E303" s="20"/>
      <c r="F303" s="27"/>
    </row>
    <row r="304">
      <c r="B304" s="27"/>
      <c r="C304" s="20"/>
      <c r="D304" s="27"/>
      <c r="E304" s="20"/>
      <c r="F304" s="32"/>
    </row>
    <row r="305">
      <c r="B305" s="23"/>
      <c r="C305" s="20"/>
      <c r="D305" s="23"/>
      <c r="E305" s="20"/>
      <c r="F305" s="27"/>
    </row>
    <row r="306">
      <c r="E306" s="20"/>
      <c r="F306" s="32"/>
    </row>
    <row r="307">
      <c r="B307" s="27"/>
      <c r="D307" s="27"/>
      <c r="E307" s="20"/>
      <c r="F307" s="32"/>
    </row>
    <row r="308">
      <c r="A308" s="9"/>
      <c r="C308" s="20"/>
      <c r="E308" s="20"/>
    </row>
    <row r="309">
      <c r="E309" s="20"/>
    </row>
    <row r="310">
      <c r="B310" s="27"/>
      <c r="C310" s="20"/>
      <c r="D310" s="27"/>
      <c r="E310" s="20"/>
    </row>
    <row r="311">
      <c r="B311" s="27"/>
      <c r="C311" s="20"/>
      <c r="D311" s="27"/>
      <c r="E311" s="20"/>
      <c r="F311" s="32"/>
    </row>
    <row r="312">
      <c r="B312" s="27"/>
      <c r="C312" s="20"/>
      <c r="D312" s="27"/>
      <c r="E312" s="20"/>
    </row>
    <row r="314">
      <c r="A314" s="9"/>
      <c r="C314" s="20"/>
    </row>
    <row r="315">
      <c r="C315" s="20"/>
      <c r="E315" s="20"/>
      <c r="F315" s="20"/>
    </row>
    <row r="316">
      <c r="B316" s="27"/>
      <c r="C316" s="20"/>
      <c r="D316" s="27"/>
      <c r="E316" s="20"/>
      <c r="F316" s="20"/>
    </row>
    <row r="317">
      <c r="A317" s="9"/>
      <c r="C317" s="20"/>
      <c r="E317" s="20"/>
      <c r="F317" s="20"/>
    </row>
    <row r="319">
      <c r="A319" s="9"/>
    </row>
    <row r="320">
      <c r="A320" s="67"/>
    </row>
    <row r="321">
      <c r="B321" s="27"/>
      <c r="C321" s="20"/>
      <c r="D321" s="27"/>
    </row>
    <row r="322">
      <c r="A322" s="150"/>
      <c r="B322" s="27"/>
      <c r="C322" s="20"/>
      <c r="D322" s="27"/>
    </row>
    <row r="323">
      <c r="B323" s="27"/>
      <c r="C323" s="20"/>
      <c r="D323" s="27"/>
    </row>
    <row r="324">
      <c r="B324" s="27"/>
      <c r="C324" s="20"/>
      <c r="D324" s="27"/>
    </row>
    <row r="325">
      <c r="A325" s="9"/>
      <c r="B325" s="27"/>
      <c r="C325" s="20"/>
      <c r="D325" s="27"/>
    </row>
    <row r="326">
      <c r="B326" s="27"/>
      <c r="C326" s="20"/>
      <c r="D326" s="27"/>
    </row>
    <row r="327">
      <c r="B327" s="27"/>
      <c r="C327" s="20"/>
      <c r="D327" s="27"/>
    </row>
    <row r="328">
      <c r="B328" s="27"/>
      <c r="C328" s="20"/>
      <c r="D328" s="27"/>
    </row>
    <row r="329">
      <c r="B329" s="27"/>
      <c r="C329" s="20"/>
      <c r="D329" s="27"/>
    </row>
    <row r="330">
      <c r="C330" s="20"/>
      <c r="D330" s="32"/>
    </row>
    <row r="331">
      <c r="A331" s="67"/>
      <c r="B331" s="158"/>
      <c r="C331" s="160"/>
      <c r="D331" s="158"/>
    </row>
    <row r="332">
      <c r="B332" s="23"/>
      <c r="D332" s="23"/>
    </row>
    <row r="333">
      <c r="B333" s="27"/>
      <c r="C333" s="20"/>
      <c r="D333" s="27"/>
    </row>
    <row r="334">
      <c r="B334" s="27"/>
      <c r="C334" s="20"/>
      <c r="D334" s="27"/>
    </row>
    <row r="335">
      <c r="B335" s="27"/>
      <c r="C335" s="20"/>
      <c r="D335" s="27"/>
    </row>
    <row r="336">
      <c r="B336" s="27"/>
      <c r="C336" s="20"/>
      <c r="D336" s="27"/>
    </row>
    <row r="337">
      <c r="A337" s="67"/>
      <c r="B337" s="158"/>
      <c r="C337" s="160"/>
      <c r="D337" s="158"/>
    </row>
    <row r="338">
      <c r="B338" s="23"/>
      <c r="D338" s="23"/>
    </row>
    <row r="339">
      <c r="B339" s="27"/>
      <c r="D339" s="23"/>
    </row>
    <row r="340">
      <c r="B340" s="27"/>
      <c r="C340" s="20"/>
      <c r="D340" s="27"/>
    </row>
    <row r="341">
      <c r="B341" s="27"/>
      <c r="C341" s="20"/>
      <c r="D341" s="27"/>
    </row>
    <row r="342">
      <c r="B342" s="27"/>
      <c r="C342" s="20"/>
      <c r="D342" s="27"/>
    </row>
    <row r="343">
      <c r="B343" s="27"/>
      <c r="C343" s="20"/>
      <c r="D343" s="27"/>
    </row>
    <row r="344">
      <c r="A344" s="67"/>
      <c r="B344" s="146"/>
      <c r="C344" s="160"/>
      <c r="D344" s="146"/>
    </row>
    <row r="345">
      <c r="B345" s="23"/>
      <c r="D345" s="23"/>
    </row>
    <row r="346">
      <c r="A346" s="9"/>
      <c r="C346" s="20"/>
    </row>
    <row r="347">
      <c r="B347" s="32"/>
      <c r="C347" s="20"/>
      <c r="D347" s="32"/>
    </row>
    <row r="348">
      <c r="B348" s="9"/>
      <c r="C348" s="20"/>
      <c r="D348" s="9"/>
    </row>
  </sheetData>
  <dataValidations>
    <dataValidation type="list" allowBlank="1" showErrorMessage="1" sqref="B1 D1 F1 H1">
      <formula1>"Feito,Não,Atual"</formula1>
    </dataValidation>
    <dataValidation type="custom" allowBlank="1" showDropDown="1" sqref="K28:K36 M28:N36">
      <formula1>AND(ISNUMBER(K28),(NOT(OR(NOT(ISERROR(DATEVALUE(K28))), AND(ISNUMBER(K28), LEFT(CELL("format", K28))="D")))))</formula1>
    </dataValidation>
  </dataValidations>
  <drawing r:id="rId2"/>
  <legacyDrawing r:id="rId3"/>
  <tableParts count="3">
    <tablePart r:id="rId7"/>
    <tablePart r:id="rId8"/>
    <tablePart r:id="rId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2" width="18.0"/>
    <col customWidth="1" min="3" max="3" width="9.88"/>
    <col customWidth="1" min="4" max="4" width="15.63"/>
    <col customWidth="1" min="5" max="5" width="12.88"/>
    <col customWidth="1" min="6" max="6" width="16.0"/>
    <col customWidth="1" min="7" max="7" width="12.5"/>
    <col customWidth="1" min="8" max="8" width="15.63"/>
    <col customWidth="1" min="9" max="9" width="22.0"/>
    <col customWidth="1" min="10" max="10" width="22.5"/>
    <col customWidth="1" min="11" max="11" width="20.75"/>
    <col customWidth="1" min="12" max="12" width="21.0"/>
    <col customWidth="1" min="13" max="13" width="28.63"/>
    <col customWidth="1" min="14" max="14" width="24.5"/>
    <col customWidth="1" min="15" max="15" width="28.63"/>
    <col customWidth="1" min="16" max="16" width="29.75"/>
    <col customWidth="1" min="17" max="17" width="27.13"/>
    <col customWidth="1" min="18" max="18" width="22.0"/>
    <col customWidth="1" min="20" max="20" width="20.5"/>
    <col customWidth="1" min="21" max="21" width="26.25"/>
  </cols>
  <sheetData>
    <row r="1">
      <c r="A1" s="1"/>
      <c r="B1" s="2" t="s">
        <v>1</v>
      </c>
      <c r="C1" s="3">
        <v>46058.0</v>
      </c>
      <c r="D1" s="2" t="s">
        <v>2</v>
      </c>
      <c r="E1" s="4">
        <v>46240.0</v>
      </c>
      <c r="F1" s="2" t="s">
        <v>3</v>
      </c>
      <c r="G1" s="3">
        <v>46058.0</v>
      </c>
      <c r="H1" s="2" t="s">
        <v>3</v>
      </c>
      <c r="I1" s="3">
        <v>46058.0</v>
      </c>
      <c r="J1" s="6" t="s">
        <v>4</v>
      </c>
      <c r="K1" s="8">
        <f t="array" ref="K1">IFERROR(INDEX(Indicador_Ações[], MATCH($J$2, Indicador_Ações[Stock], 0), MATCH(Indicador_Ações[[#HEADERS],[ult_balanco_processado]], Indicador_Ações[#HEADERS], 0)),"")</f>
        <v>46203</v>
      </c>
      <c r="L1" s="9"/>
      <c r="M1" s="9"/>
      <c r="N1" s="9"/>
      <c r="O1" s="9"/>
      <c r="P1" s="9"/>
      <c r="Q1" s="9"/>
    </row>
    <row r="2">
      <c r="A2" s="10" t="s">
        <v>5</v>
      </c>
      <c r="B2" s="9"/>
      <c r="D2" s="9"/>
      <c r="J2" s="11" t="s">
        <v>232</v>
      </c>
      <c r="K2" s="170">
        <f>IFERROR(__xludf.DUMMYFUNCTION("(GOOGLEFINANCE(""BVMF:"" &amp; J2))"),48.83)</f>
        <v>48.83</v>
      </c>
      <c r="L2" s="13">
        <f t="array" ref="L2">IFERROR(INDEX(Indicador_Ações[], MATCH($J$2, Indicador_Ações[Stock], 0), MATCH(Indicador_Ações[[#HEADERS],[qtd_acao]], Indicador_Ações[#HEADERS], 0)),"")</f>
        <v>12888700000</v>
      </c>
      <c r="M2" s="15" t="s">
        <v>10</v>
      </c>
    </row>
    <row r="3">
      <c r="A3" s="9" t="s">
        <v>11</v>
      </c>
      <c r="B3" s="9" t="s">
        <v>12</v>
      </c>
      <c r="C3" s="9" t="s">
        <v>13</v>
      </c>
      <c r="D3" s="9" t="s">
        <v>14</v>
      </c>
      <c r="E3" s="9" t="s">
        <v>15</v>
      </c>
      <c r="F3" s="9" t="s">
        <v>16</v>
      </c>
      <c r="G3" s="9" t="s">
        <v>17</v>
      </c>
      <c r="H3" s="9" t="s">
        <v>18</v>
      </c>
      <c r="J3" s="17" t="s">
        <v>19</v>
      </c>
      <c r="K3" s="178">
        <v>1000000.0</v>
      </c>
      <c r="L3" s="19">
        <f>IFERROR(K22/K14,0)</f>
        <v>0.2431680988</v>
      </c>
      <c r="M3" s="51" t="s">
        <v>22</v>
      </c>
      <c r="N3" s="141" t="s">
        <v>21</v>
      </c>
      <c r="P3" s="21"/>
      <c r="Q3" s="22"/>
      <c r="R3" s="21"/>
      <c r="S3" s="22"/>
      <c r="T3" s="21"/>
      <c r="U3" s="22"/>
      <c r="V3" s="21"/>
    </row>
    <row r="4">
      <c r="A4" s="9" t="s">
        <v>24</v>
      </c>
      <c r="B4" s="23">
        <f>B5+B6</f>
        <v>1246068</v>
      </c>
      <c r="C4" s="20">
        <f t="shared" ref="C4:C6" si="1">IFERROR(SUM((D4/B4)-1),0)</f>
        <v>0.02644398219</v>
      </c>
      <c r="D4" s="23">
        <f>D5+D6</f>
        <v>1279019</v>
      </c>
      <c r="E4" s="20">
        <f t="shared" ref="E4:E6" si="2">IFERROR(SUM((F4/D4)-1),0)</f>
        <v>-0.05236904221</v>
      </c>
      <c r="F4" s="23">
        <f>F5+F6</f>
        <v>1212038</v>
      </c>
      <c r="G4" s="20">
        <f t="shared" ref="G4:G6" si="3">IFERROR(SUM((H4/F4)-1),0)</f>
        <v>0.009365217922</v>
      </c>
      <c r="H4" s="23">
        <f>H5+H6</f>
        <v>1223389</v>
      </c>
      <c r="J4" s="179" t="s">
        <v>25</v>
      </c>
      <c r="K4" s="26">
        <f t="array" ref="K4">IFERROR(INDEX(Indicador_Ações[], MATCH($J$2, Indicador_Ações[Stock], 0), MATCH(Indicador_Ações[[#HEADERS],[ativo]], Indicador_Ações[#HEADERS], 0)),"")</f>
        <v>1279020000000</v>
      </c>
      <c r="L4" s="19">
        <f>IFERROR(K19/K14,0)</f>
        <v>0.5059535856</v>
      </c>
      <c r="M4" s="22" t="s">
        <v>26</v>
      </c>
      <c r="N4" s="9" t="s">
        <v>27</v>
      </c>
      <c r="O4" s="27">
        <v>8072.0</v>
      </c>
      <c r="P4" s="28"/>
      <c r="Q4" s="19"/>
      <c r="R4" s="28"/>
      <c r="S4" s="19"/>
      <c r="T4" s="28"/>
      <c r="U4" s="19"/>
      <c r="V4" s="28"/>
    </row>
    <row r="5">
      <c r="A5" s="9" t="s">
        <v>28</v>
      </c>
      <c r="B5" s="27">
        <v>140533.0</v>
      </c>
      <c r="C5" s="20">
        <f t="shared" si="1"/>
        <v>0.1027374353</v>
      </c>
      <c r="D5" s="27">
        <v>154971.0</v>
      </c>
      <c r="E5" s="20">
        <f t="shared" si="2"/>
        <v>-0.03620032135</v>
      </c>
      <c r="F5" s="27">
        <v>149361.0</v>
      </c>
      <c r="G5" s="20">
        <f t="shared" si="3"/>
        <v>-0.06249958155</v>
      </c>
      <c r="H5" s="27">
        <v>140026.0</v>
      </c>
      <c r="J5" s="22" t="s">
        <v>29</v>
      </c>
      <c r="K5" s="29">
        <f>K2*L2</f>
        <v>629355221000</v>
      </c>
      <c r="L5" s="19">
        <f>IFERROR(K16/K14,0)</f>
        <v>0.427591601</v>
      </c>
      <c r="M5" s="22" t="s">
        <v>30</v>
      </c>
      <c r="N5" s="9" t="s">
        <v>32</v>
      </c>
      <c r="O5" s="27">
        <v>9037.0</v>
      </c>
      <c r="P5" s="30"/>
      <c r="Q5" s="19"/>
      <c r="R5" s="31"/>
      <c r="S5" s="19"/>
      <c r="T5" s="30"/>
      <c r="U5" s="19"/>
      <c r="V5" s="30"/>
    </row>
    <row r="6">
      <c r="A6" s="9" t="s">
        <v>33</v>
      </c>
      <c r="B6" s="27">
        <v>1105535.0</v>
      </c>
      <c r="C6" s="20">
        <f t="shared" si="1"/>
        <v>0.01674573849</v>
      </c>
      <c r="D6" s="27">
        <v>1124048.0</v>
      </c>
      <c r="E6" s="20">
        <f t="shared" si="2"/>
        <v>-0.05459820221</v>
      </c>
      <c r="F6" s="27">
        <v>1062677.0</v>
      </c>
      <c r="G6" s="20">
        <f t="shared" si="3"/>
        <v>0.01946593368</v>
      </c>
      <c r="H6" s="27">
        <v>1083363.0</v>
      </c>
      <c r="J6" s="25" t="s">
        <v>34</v>
      </c>
      <c r="K6" s="26">
        <f>SUM(K5,K10)</f>
        <v>942124221000</v>
      </c>
      <c r="L6" s="19">
        <f>IFERROR(K17/K14,0)</f>
        <v>0.5056071819</v>
      </c>
      <c r="M6" s="51" t="s">
        <v>40</v>
      </c>
      <c r="N6" s="9" t="s">
        <v>39</v>
      </c>
      <c r="O6" s="23">
        <f>SUM(O4:O5)</f>
        <v>17109</v>
      </c>
      <c r="P6" s="30"/>
      <c r="Q6" s="19"/>
      <c r="R6" s="30"/>
      <c r="S6" s="19"/>
      <c r="T6" s="30"/>
      <c r="U6" s="19"/>
      <c r="V6" s="30"/>
    </row>
    <row r="7">
      <c r="B7" s="27"/>
      <c r="C7" s="20"/>
      <c r="D7" s="27"/>
      <c r="E7" s="20"/>
      <c r="F7" s="27"/>
      <c r="G7" s="20"/>
      <c r="H7" s="27"/>
      <c r="J7" s="22" t="s">
        <v>36</v>
      </c>
      <c r="K7" s="29">
        <f t="array" ref="K7">IFERROR(INDEX(Indicador_Ações[], MATCH($J$2, Indicador_Ações[Stock], 0), MATCH(Indicador_Ações[[#HEADERS],[disponibilidades]], Indicador_Ações[#HEADERS], 0)),"")</f>
        <v>53764000000</v>
      </c>
      <c r="L7" s="28">
        <f>K24/L2</f>
        <v>8.172895637</v>
      </c>
      <c r="M7" s="9" t="s">
        <v>233</v>
      </c>
      <c r="N7" s="9" t="s">
        <v>44</v>
      </c>
      <c r="O7" s="44">
        <f>ABS(SUM(B57,D57,F57,H57)/SUM(B56,D56,F56,H56))</f>
        <v>0.2605671955</v>
      </c>
      <c r="P7" s="47"/>
      <c r="Q7" s="118"/>
      <c r="R7" s="47"/>
    </row>
    <row r="8">
      <c r="A8" s="9" t="s">
        <v>42</v>
      </c>
      <c r="B8" s="27">
        <v>48556.0</v>
      </c>
      <c r="C8" s="20">
        <f t="shared" ref="C8:C11" si="4">IFERROR(SUM((D8/B8)-1),0)</f>
        <v>0.03606145482</v>
      </c>
      <c r="D8" s="27">
        <v>50307.0</v>
      </c>
      <c r="E8" s="20">
        <f t="shared" ref="E8:E11" si="5">IFERROR(SUM((F8/D8)-1),0)</f>
        <v>-0.08020752579</v>
      </c>
      <c r="F8" s="27">
        <v>46272.0</v>
      </c>
      <c r="G8" s="20">
        <f t="shared" ref="G8:G11" si="6">IFERROR(SUM((H8/F8)-1),0)</f>
        <v>-0.02375086445</v>
      </c>
      <c r="H8" s="27">
        <v>45173.0</v>
      </c>
      <c r="J8" s="25" t="s">
        <v>43</v>
      </c>
      <c r="K8" s="45">
        <f t="array" ref="K8">IFERROR(INDEX(Indicador_Ações[], MATCH($J$2, Indicador_Ações[Stock], 0), MATCH(Indicador_Ações[[#HEADERS],[patrimonio_liquido]], Indicador_Ações[#HEADERS], 0)),"")</f>
        <v>480950000000</v>
      </c>
      <c r="L8" s="142">
        <f t="array" ref="L8">IFERROR(INDEX(O6*K3,0)/L2,"")</f>
        <v>1.327441868</v>
      </c>
      <c r="M8" s="9" t="s">
        <v>46</v>
      </c>
      <c r="N8" s="9" t="s">
        <v>50</v>
      </c>
      <c r="O8" s="21">
        <f>K16*(1-O7)</f>
        <v>173419915064</v>
      </c>
      <c r="P8" s="28"/>
      <c r="Q8" s="19"/>
      <c r="R8" s="28"/>
    </row>
    <row r="9">
      <c r="A9" s="43" t="s">
        <v>47</v>
      </c>
      <c r="B9" s="42">
        <v>34294.0</v>
      </c>
      <c r="C9" s="48">
        <f t="shared" si="4"/>
        <v>-0.0214031609</v>
      </c>
      <c r="D9" s="42">
        <v>33560.0</v>
      </c>
      <c r="E9" s="48">
        <f t="shared" si="5"/>
        <v>0.4205899881</v>
      </c>
      <c r="F9" s="42">
        <v>47675.0</v>
      </c>
      <c r="G9" s="48">
        <f t="shared" si="6"/>
        <v>-0.2531095962</v>
      </c>
      <c r="H9" s="42">
        <v>35608.0</v>
      </c>
      <c r="J9" s="22" t="s">
        <v>48</v>
      </c>
      <c r="K9" s="50">
        <f t="array" ref="K9">IFERROR(INDEX(Indicador_Ações[], MATCH($J$2, Indicador_Ações[Stock], 0), MATCH(Indicador_Ações[[#HEADERS],[divida_bruta]], Indicador_Ações[#HEADERS], 0)),"")</f>
        <v>366533000000</v>
      </c>
      <c r="L9" s="20">
        <f>L8/L7</f>
        <v>0.1624200194</v>
      </c>
      <c r="M9" s="9" t="s">
        <v>234</v>
      </c>
      <c r="N9" s="20"/>
      <c r="O9" s="118"/>
      <c r="P9" s="53"/>
      <c r="Q9" s="19"/>
      <c r="R9" s="53"/>
    </row>
    <row r="10">
      <c r="A10" s="9" t="s">
        <v>51</v>
      </c>
      <c r="B10" s="27">
        <v>13306.0</v>
      </c>
      <c r="C10" s="20">
        <f t="shared" si="4"/>
        <v>0.5184127461</v>
      </c>
      <c r="D10" s="27">
        <v>20204.0</v>
      </c>
      <c r="E10" s="20">
        <f t="shared" si="5"/>
        <v>-0.2909324886</v>
      </c>
      <c r="F10" s="27">
        <v>14326.0</v>
      </c>
      <c r="G10" s="20">
        <f t="shared" si="6"/>
        <v>0.04704732654</v>
      </c>
      <c r="H10" s="27">
        <v>15000.0</v>
      </c>
      <c r="J10" s="25" t="s">
        <v>52</v>
      </c>
      <c r="K10" s="45">
        <f>K9-K7</f>
        <v>312769000000</v>
      </c>
      <c r="L10" s="28">
        <f>IFERROR(K14/K4,0)</f>
        <v>0.4288384857</v>
      </c>
      <c r="M10" s="22" t="s">
        <v>53</v>
      </c>
      <c r="N10" s="20"/>
      <c r="O10" s="23"/>
      <c r="Q10" s="23"/>
    </row>
    <row r="11">
      <c r="A11" s="9" t="s">
        <v>54</v>
      </c>
      <c r="B11" s="27">
        <f>SUM(B9,B10)</f>
        <v>47600</v>
      </c>
      <c r="C11" s="20">
        <f t="shared" si="4"/>
        <v>0.1294957983</v>
      </c>
      <c r="D11" s="27">
        <f>SUM(D9,D10)</f>
        <v>53764</v>
      </c>
      <c r="E11" s="20">
        <f t="shared" si="5"/>
        <v>0.1532066067</v>
      </c>
      <c r="F11" s="27">
        <f>SUM(F9,F10)</f>
        <v>62001</v>
      </c>
      <c r="G11" s="20">
        <f t="shared" si="6"/>
        <v>-0.1837551007</v>
      </c>
      <c r="H11" s="27">
        <f>SUM(H9,H10)</f>
        <v>50608</v>
      </c>
      <c r="J11" s="22" t="s">
        <v>56</v>
      </c>
      <c r="K11" s="29">
        <f>SUM(K8,K9)</f>
        <v>847483000000</v>
      </c>
      <c r="L11" s="19">
        <f>IFERROR(K22/K8,0)</f>
        <v>0.2773178085</v>
      </c>
      <c r="M11" s="21" t="s">
        <v>57</v>
      </c>
      <c r="N11" s="20"/>
      <c r="O11" s="118"/>
      <c r="P11" s="183"/>
      <c r="Q11" s="21"/>
    </row>
    <row r="12">
      <c r="A12" s="56"/>
      <c r="B12" s="57"/>
      <c r="C12" s="58"/>
      <c r="D12" s="57"/>
      <c r="E12" s="58"/>
      <c r="F12" s="57"/>
      <c r="G12" s="58"/>
      <c r="H12" s="57"/>
      <c r="J12" s="25" t="s">
        <v>58</v>
      </c>
      <c r="K12" s="59">
        <f>K9/K11</f>
        <v>0.4324959911</v>
      </c>
      <c r="L12" s="19">
        <f>O8/K11</f>
        <v>0.2046293732</v>
      </c>
      <c r="M12" s="22" t="s">
        <v>59</v>
      </c>
      <c r="N12" s="20"/>
      <c r="Q12" s="22"/>
      <c r="R12" s="28"/>
    </row>
    <row r="13">
      <c r="A13" s="9" t="s">
        <v>60</v>
      </c>
      <c r="B13" s="23">
        <f>SUM(B14+B15)</f>
        <v>799696</v>
      </c>
      <c r="C13" s="20">
        <f t="shared" ref="C13:C18" si="7">IFERROR(SUM((D13/B13)-1),0)</f>
        <v>-0.003164952682</v>
      </c>
      <c r="D13" s="23">
        <f>SUM(D14+D15)</f>
        <v>797165</v>
      </c>
      <c r="E13" s="20">
        <f t="shared" ref="E13:E18" si="8">IFERROR(SUM((F13/D13)-1),0)</f>
        <v>-0.01265484561</v>
      </c>
      <c r="F13" s="23">
        <f>SUM(F14+F15)</f>
        <v>787077</v>
      </c>
      <c r="G13" s="20">
        <f t="shared" ref="G13:G18" si="9">IFERROR(SUM((H13/F13)-1),0)</f>
        <v>0.02379055671</v>
      </c>
      <c r="H13" s="23">
        <f>SUM(H14+H15)</f>
        <v>805802</v>
      </c>
      <c r="J13" s="17" t="s">
        <v>61</v>
      </c>
      <c r="K13" s="17"/>
      <c r="L13" s="19">
        <f>IFERROR(K22/K4,0)</f>
        <v>0.1042798393</v>
      </c>
      <c r="M13" s="22" t="s">
        <v>62</v>
      </c>
      <c r="N13" s="20"/>
      <c r="Q13" s="22"/>
      <c r="R13" s="28"/>
    </row>
    <row r="14">
      <c r="A14" s="9" t="s">
        <v>63</v>
      </c>
      <c r="B14" s="27">
        <v>189166.0</v>
      </c>
      <c r="C14" s="20">
        <f t="shared" si="7"/>
        <v>-0.04120190732</v>
      </c>
      <c r="D14" s="27">
        <v>181372.0</v>
      </c>
      <c r="E14" s="20">
        <f t="shared" si="8"/>
        <v>0.005485962552</v>
      </c>
      <c r="F14" s="27">
        <v>182367.0</v>
      </c>
      <c r="G14" s="20">
        <f t="shared" si="9"/>
        <v>0.08774065483</v>
      </c>
      <c r="H14" s="27">
        <v>198368.0</v>
      </c>
      <c r="J14" s="24" t="s">
        <v>67</v>
      </c>
      <c r="K14" s="45">
        <f t="array" ref="K14">IFERROR(INDEX(Indicador_Ações[], MATCH($J$2, Indicador_Ações[Stock], 0), MATCH(Indicador_Ações[[#HEADERS],[receita_liquida_12m]], Indicador_Ações[#HEADERS], 0)),"")</f>
        <v>548493000000</v>
      </c>
      <c r="L14" s="28">
        <f>K6/K17</f>
        <v>3.397221356</v>
      </c>
      <c r="M14" s="118" t="s">
        <v>65</v>
      </c>
      <c r="N14" s="20"/>
      <c r="Q14" s="118"/>
      <c r="R14" s="28"/>
    </row>
    <row r="15">
      <c r="A15" s="9" t="s">
        <v>66</v>
      </c>
      <c r="B15" s="27">
        <v>610530.0</v>
      </c>
      <c r="C15" s="20">
        <f t="shared" si="7"/>
        <v>0.008620379015</v>
      </c>
      <c r="D15" s="27">
        <v>615793.0</v>
      </c>
      <c r="E15" s="20">
        <f t="shared" si="8"/>
        <v>-0.01799793112</v>
      </c>
      <c r="F15" s="27">
        <v>604710.0</v>
      </c>
      <c r="G15" s="20">
        <f t="shared" si="9"/>
        <v>0.004504638587</v>
      </c>
      <c r="H15" s="27">
        <v>607434.0</v>
      </c>
      <c r="J15" s="62" t="s">
        <v>71</v>
      </c>
      <c r="K15" s="63">
        <f t="array" ref="K15">IFERROR(INDEX(Indicador_Ações[], MATCH($J$2, Indicador_Ações[Stock], 0), MATCH(Indicador_Ações[[#HEADERS],[cagr_receita_5a]], Indicador_Ações[#HEADERS], 0)),"")</f>
        <v>-2.3</v>
      </c>
      <c r="L15" s="19">
        <f>K17/K6</f>
        <v>0.2943582108</v>
      </c>
      <c r="M15" s="118" t="s">
        <v>69</v>
      </c>
      <c r="N15" s="20"/>
      <c r="Q15" s="118"/>
      <c r="R15" s="28"/>
    </row>
    <row r="16">
      <c r="A16" s="9" t="s">
        <v>70</v>
      </c>
      <c r="B16" s="27">
        <v>12970.0</v>
      </c>
      <c r="C16" s="20">
        <f t="shared" si="7"/>
        <v>-0.4270624518</v>
      </c>
      <c r="D16" s="27">
        <v>7431.0</v>
      </c>
      <c r="E16" s="20">
        <f t="shared" si="8"/>
        <v>0.7759386354</v>
      </c>
      <c r="F16" s="27">
        <v>13197.0</v>
      </c>
      <c r="G16" s="20">
        <f t="shared" si="9"/>
        <v>-0.08865651284</v>
      </c>
      <c r="H16" s="27">
        <v>12027.0</v>
      </c>
      <c r="J16" s="9" t="s">
        <v>76</v>
      </c>
      <c r="K16" s="29">
        <f t="array" ref="K16">IFERROR(INDEX(Indicador_Ações[], MATCH($J$2, Indicador_Ações[Stock], 0), MATCH(Indicador_Ações[[#HEADERS],[ebit_12m]], Indicador_Ações[#HEADERS], 0)),"")</f>
        <v>234531000000</v>
      </c>
      <c r="L16" s="182">
        <f>IFERROR(K10/K17,0)</f>
        <v>1.127818925</v>
      </c>
      <c r="M16" s="186" t="s">
        <v>81</v>
      </c>
      <c r="N16" s="20"/>
      <c r="Q16" s="118"/>
      <c r="R16" s="28"/>
    </row>
    <row r="17">
      <c r="A17" s="9" t="s">
        <v>73</v>
      </c>
      <c r="B17" s="27">
        <v>130754.0</v>
      </c>
      <c r="C17" s="20">
        <f t="shared" si="7"/>
        <v>-0.0340410236</v>
      </c>
      <c r="D17" s="27">
        <v>126303.0</v>
      </c>
      <c r="E17" s="20">
        <f t="shared" si="8"/>
        <v>0.07972890589</v>
      </c>
      <c r="F17" s="27">
        <v>136373.0</v>
      </c>
      <c r="G17" s="20">
        <f t="shared" si="9"/>
        <v>-0.02134586758</v>
      </c>
      <c r="H17" s="27">
        <v>133462.0</v>
      </c>
      <c r="J17" s="22" t="s">
        <v>83</v>
      </c>
      <c r="K17" s="50">
        <f>SUM(B59,D59,F59,H59)*K3</f>
        <v>277322000000</v>
      </c>
      <c r="L17" s="184">
        <f>SUM(B5,D5,F5,H5)/SUM(B14,D14,F14,H14)</f>
        <v>0.7785332363</v>
      </c>
      <c r="M17" s="190" t="s">
        <v>249</v>
      </c>
      <c r="Q17" s="22"/>
      <c r="R17" s="28"/>
    </row>
    <row r="18">
      <c r="A18" s="141" t="s">
        <v>205</v>
      </c>
      <c r="B18" s="27">
        <v>227967.0</v>
      </c>
      <c r="C18" s="20">
        <f t="shared" si="7"/>
        <v>0.02119605031</v>
      </c>
      <c r="D18" s="27">
        <v>232799.0</v>
      </c>
      <c r="E18" s="20">
        <f t="shared" si="8"/>
        <v>-0.0270018342</v>
      </c>
      <c r="F18" s="27">
        <v>226513.0</v>
      </c>
      <c r="G18" s="20">
        <f t="shared" si="9"/>
        <v>0.05307863125</v>
      </c>
      <c r="H18" s="27">
        <v>238536.0</v>
      </c>
      <c r="J18" s="22" t="s">
        <v>80</v>
      </c>
      <c r="K18" s="50">
        <f>SUM(B33,D33,F33,H33)*K3</f>
        <v>-270981000000</v>
      </c>
      <c r="L18" s="68">
        <f>SUM(B46,D46,F46,H46)/ABS(SUM(B49,D49,F49,H49))</f>
        <v>8.176747046</v>
      </c>
      <c r="M18" s="69" t="s">
        <v>78</v>
      </c>
      <c r="O18" s="22"/>
      <c r="P18" s="19"/>
      <c r="Q18" s="22"/>
      <c r="R18" s="28"/>
    </row>
    <row r="19">
      <c r="A19" s="70" t="s">
        <v>79</v>
      </c>
      <c r="B19" s="32"/>
      <c r="C19" s="20"/>
      <c r="D19" s="32"/>
      <c r="E19" s="20"/>
      <c r="F19" s="32"/>
      <c r="G19" s="20"/>
      <c r="H19" s="32"/>
      <c r="J19" s="25" t="s">
        <v>86</v>
      </c>
      <c r="K19" s="45">
        <f>IFERROR(SUM(B34,D34,F34,H34),"")*K3</f>
        <v>277512000000</v>
      </c>
      <c r="L19" s="184">
        <f>IFERROR(K4/K8,0)</f>
        <v>2.65936168</v>
      </c>
      <c r="M19" s="194" t="s">
        <v>82</v>
      </c>
      <c r="O19" s="22"/>
      <c r="P19" s="28"/>
    </row>
    <row r="20">
      <c r="A20" s="72" t="s">
        <v>256</v>
      </c>
      <c r="B20" s="27">
        <f>SUM(B17,B16)</f>
        <v>143724</v>
      </c>
      <c r="C20" s="20">
        <f t="shared" ref="C20:C22" si="10">IFERROR(SUM((D20/B20)-1),0)</f>
        <v>-0.0695082241</v>
      </c>
      <c r="D20" s="27">
        <f>SUM(D17,D16)</f>
        <v>133734</v>
      </c>
      <c r="E20" s="20">
        <f t="shared" ref="E20:E22" si="11">IFERROR(SUM((F20/D20)-1),0)</f>
        <v>0.1184141654</v>
      </c>
      <c r="F20" s="27">
        <f>SUM(F17,F16)</f>
        <v>149570</v>
      </c>
      <c r="G20" s="20">
        <f t="shared" ref="G20:G22" si="12">IFERROR(SUM((H20/F20)-1),0)</f>
        <v>-0.02728488333</v>
      </c>
      <c r="H20" s="27">
        <f>SUM(H17,H16)</f>
        <v>145489</v>
      </c>
      <c r="J20" s="22" t="s">
        <v>93</v>
      </c>
      <c r="K20" s="50">
        <f>IFERROR(SUM(B44,D44,F44,H44),"")*K3</f>
        <v>-91352000000</v>
      </c>
      <c r="L20" s="185">
        <f>K10/K8</f>
        <v>0.6503150016</v>
      </c>
      <c r="M20" s="194" t="s">
        <v>87</v>
      </c>
      <c r="N20" s="124"/>
      <c r="O20" s="22"/>
      <c r="P20" s="28"/>
    </row>
    <row r="21">
      <c r="A21" s="9" t="s">
        <v>262</v>
      </c>
      <c r="B21" s="23">
        <f>SUM(B18,B20)</f>
        <v>371691</v>
      </c>
      <c r="C21" s="20">
        <f t="shared" si="10"/>
        <v>-0.01387711836</v>
      </c>
      <c r="D21" s="23">
        <f>SUM(D18,D20)</f>
        <v>366533</v>
      </c>
      <c r="E21" s="20">
        <f t="shared" si="11"/>
        <v>0.02605495276</v>
      </c>
      <c r="F21" s="23">
        <f>SUM(F18,F20)</f>
        <v>376083</v>
      </c>
      <c r="G21" s="20">
        <f t="shared" si="12"/>
        <v>0.02111767881</v>
      </c>
      <c r="H21" s="23">
        <f>SUM(H18,H20)</f>
        <v>384025</v>
      </c>
      <c r="J21" s="187" t="s">
        <v>90</v>
      </c>
      <c r="K21" s="188">
        <f>'Indicadores_Ações'!$B$4</f>
        <v>0.04443024618</v>
      </c>
      <c r="L21" s="198" t="s">
        <v>268</v>
      </c>
      <c r="M21" s="17"/>
      <c r="O21" s="22"/>
      <c r="P21" s="28"/>
    </row>
    <row r="22">
      <c r="A22" s="9" t="s">
        <v>52</v>
      </c>
      <c r="B22" s="27">
        <f>SUM(B21-B11)</f>
        <v>324091</v>
      </c>
      <c r="C22" s="20">
        <f t="shared" si="10"/>
        <v>-0.03493463256</v>
      </c>
      <c r="D22" s="27">
        <f>SUM(D21-D11)</f>
        <v>312769</v>
      </c>
      <c r="E22" s="20">
        <f t="shared" si="11"/>
        <v>0.004197986373</v>
      </c>
      <c r="F22" s="27">
        <f>SUM(F21-F11)</f>
        <v>314082</v>
      </c>
      <c r="G22" s="20">
        <f t="shared" si="12"/>
        <v>0.06156035685</v>
      </c>
      <c r="H22" s="27">
        <f>SUM(H21-H11)</f>
        <v>333417</v>
      </c>
      <c r="J22" s="9" t="s">
        <v>96</v>
      </c>
      <c r="K22" s="29">
        <f t="array" ref="K22">IFERROR(INDEX(Indicador_Ações[], MATCH($J$2, Indicador_Ações[Stock], 0), MATCH(Indicador_Ações[[#HEADERS],[lucro_liquido_12m]], Indicador_Ações[#HEADERS], 0)),"")</f>
        <v>133376000000</v>
      </c>
      <c r="L22" s="9" t="s">
        <v>275</v>
      </c>
      <c r="M22" s="203">
        <f t="shared" ref="M22:M24" si="13">SUM(B62,D62,F62,H62)/4</f>
        <v>5.2875</v>
      </c>
      <c r="O22" s="22"/>
      <c r="P22" s="50"/>
    </row>
    <row r="23">
      <c r="J23" s="9" t="s">
        <v>129</v>
      </c>
      <c r="K23" s="29">
        <f>SUM(B60,D60,F60,H60)*K3</f>
        <v>133736000000</v>
      </c>
      <c r="L23" s="9" t="s">
        <v>280</v>
      </c>
      <c r="M23" s="203">
        <f t="shared" si="13"/>
        <v>79.4725</v>
      </c>
      <c r="O23" s="22"/>
      <c r="P23" s="19"/>
    </row>
    <row r="24">
      <c r="A24" s="9" t="s">
        <v>92</v>
      </c>
      <c r="B24" s="23">
        <f>B4-B13</f>
        <v>446372</v>
      </c>
      <c r="C24" s="20">
        <f t="shared" ref="C24:C27" si="14">IFERROR(SUM((D24/B24)-1),0)</f>
        <v>0.07948975294</v>
      </c>
      <c r="D24" s="23">
        <f>D4-D13</f>
        <v>481854</v>
      </c>
      <c r="E24" s="20">
        <f t="shared" ref="E24:E27" si="15">IFERROR(SUM((F24/D24)-1),0)</f>
        <v>-0.118071034</v>
      </c>
      <c r="F24" s="23">
        <f>F4-F13</f>
        <v>424961</v>
      </c>
      <c r="G24" s="20">
        <f t="shared" ref="G24:G27" si="16">IFERROR(SUM((H24/F24)-1),0)</f>
        <v>-0.01735218055</v>
      </c>
      <c r="H24" s="23">
        <f>H4-H13</f>
        <v>417587</v>
      </c>
      <c r="J24" s="9" t="s">
        <v>286</v>
      </c>
      <c r="K24" s="29">
        <f>(SUM(B70,D70,F70,H70)+SUM(B74,D74,F74,H74))*K3</f>
        <v>105338000000</v>
      </c>
      <c r="L24" s="9" t="s">
        <v>289</v>
      </c>
      <c r="M24" s="124">
        <f t="shared" si="13"/>
        <v>0.07075</v>
      </c>
      <c r="O24" s="22"/>
      <c r="P24" s="19"/>
    </row>
    <row r="25">
      <c r="A25" s="9" t="s">
        <v>99</v>
      </c>
      <c r="B25" s="27">
        <v>3106.0</v>
      </c>
      <c r="C25" s="20">
        <f t="shared" si="14"/>
        <v>0.0003219575016</v>
      </c>
      <c r="D25" s="27">
        <v>3107.0</v>
      </c>
      <c r="E25" s="20">
        <f t="shared" si="15"/>
        <v>-0.0003218538783</v>
      </c>
      <c r="F25" s="27">
        <v>3106.0</v>
      </c>
      <c r="G25" s="20">
        <f t="shared" si="16"/>
        <v>0</v>
      </c>
      <c r="H25" s="27">
        <v>3106.0</v>
      </c>
      <c r="J25" s="24" t="s">
        <v>100</v>
      </c>
      <c r="K25" s="86">
        <f t="array" ref="K25">IFERROR(INDEX(Indicador_Ações[], MATCH($J$2, Indicador_Ações[Stock], 0), MATCH(Indicador_Ações[[#HEADERS],[beta_ibov_3a]], Indicador_Ações[#HEADERS], 0)),"")</f>
        <v>0.59</v>
      </c>
      <c r="M25" s="214" t="s">
        <v>89</v>
      </c>
      <c r="N25" s="22"/>
      <c r="O25" s="22"/>
      <c r="P25" s="19"/>
    </row>
    <row r="26">
      <c r="A26" s="9" t="s">
        <v>102</v>
      </c>
      <c r="B26" s="27">
        <v>158278.0</v>
      </c>
      <c r="C26" s="20">
        <f t="shared" si="14"/>
        <v>-0.0509988754</v>
      </c>
      <c r="D26" s="27">
        <v>150206.0</v>
      </c>
      <c r="E26" s="20">
        <f t="shared" si="15"/>
        <v>-0.4641692076</v>
      </c>
      <c r="F26" s="27">
        <v>80485.0</v>
      </c>
      <c r="G26" s="20">
        <f t="shared" si="16"/>
        <v>0.9665527738</v>
      </c>
      <c r="H26" s="27">
        <v>158278.0</v>
      </c>
      <c r="J26" s="22"/>
      <c r="L26" s="28">
        <f>'Indicadores_Ações'!$B$3</f>
        <v>0.139</v>
      </c>
      <c r="M26" s="21" t="s">
        <v>91</v>
      </c>
      <c r="O26" s="22"/>
      <c r="P26" s="19"/>
    </row>
    <row r="27">
      <c r="A27" s="9" t="s">
        <v>113</v>
      </c>
      <c r="B27" s="27">
        <v>32755.0</v>
      </c>
      <c r="C27" s="20">
        <f t="shared" si="14"/>
        <v>1.329262708</v>
      </c>
      <c r="D27" s="27">
        <v>76295.0</v>
      </c>
      <c r="E27" s="20">
        <f t="shared" si="15"/>
        <v>-0.01949013697</v>
      </c>
      <c r="F27" s="27">
        <v>74808.0</v>
      </c>
      <c r="G27" s="20">
        <f t="shared" si="16"/>
        <v>-1</v>
      </c>
      <c r="H27" s="27">
        <v>0.0</v>
      </c>
      <c r="J27" s="22"/>
      <c r="K27" s="50"/>
      <c r="L27" s="145">
        <f>K25</f>
        <v>0.59</v>
      </c>
      <c r="M27" s="118" t="s">
        <v>95</v>
      </c>
      <c r="P27" s="124"/>
    </row>
    <row r="28">
      <c r="A28" s="80"/>
      <c r="B28" s="80"/>
      <c r="C28" s="80"/>
      <c r="D28" s="80"/>
      <c r="E28" s="80"/>
      <c r="F28" s="80"/>
      <c r="G28" s="80"/>
      <c r="H28" s="80"/>
      <c r="K28" s="50"/>
      <c r="L28" s="28">
        <f>L26+0.15</f>
        <v>0.289</v>
      </c>
      <c r="M28" s="118" t="s">
        <v>98</v>
      </c>
    </row>
    <row r="29">
      <c r="A29" s="81" t="s">
        <v>103</v>
      </c>
      <c r="J29" s="51"/>
      <c r="K29" s="154"/>
      <c r="L29" s="78">
        <f>L26+L27*(L28-L26)</f>
        <v>0.2275</v>
      </c>
      <c r="M29" s="17" t="s">
        <v>101</v>
      </c>
    </row>
    <row r="30">
      <c r="A30" s="9" t="s">
        <v>111</v>
      </c>
      <c r="B30" s="9" t="s">
        <v>300</v>
      </c>
      <c r="C30" s="9" t="s">
        <v>301</v>
      </c>
      <c r="D30" s="9" t="s">
        <v>302</v>
      </c>
      <c r="E30" s="9" t="s">
        <v>301</v>
      </c>
      <c r="F30" s="9" t="s">
        <v>300</v>
      </c>
      <c r="G30" s="9" t="s">
        <v>301</v>
      </c>
      <c r="H30" s="9" t="s">
        <v>300</v>
      </c>
      <c r="J30" s="22"/>
      <c r="K30" s="22"/>
      <c r="L30" s="22"/>
      <c r="M30" s="22"/>
      <c r="N30" s="22"/>
      <c r="O30" s="27"/>
    </row>
    <row r="31" ht="22.5" customHeight="1">
      <c r="A31" s="9" t="s">
        <v>121</v>
      </c>
      <c r="B31" s="32"/>
      <c r="C31" s="20"/>
      <c r="D31" s="32"/>
      <c r="E31" s="20"/>
      <c r="F31" s="32"/>
      <c r="G31" s="20"/>
      <c r="H31" s="32"/>
      <c r="J31" s="82" t="s">
        <v>104</v>
      </c>
      <c r="K31" s="82" t="s">
        <v>105</v>
      </c>
      <c r="L31" s="82" t="s">
        <v>11</v>
      </c>
      <c r="M31" s="82" t="s">
        <v>106</v>
      </c>
      <c r="N31" s="82" t="s">
        <v>107</v>
      </c>
      <c r="O31" s="84" t="s">
        <v>108</v>
      </c>
      <c r="Q31" s="84" t="s">
        <v>11</v>
      </c>
      <c r="R31" s="102" t="s">
        <v>110</v>
      </c>
      <c r="S31" s="22"/>
      <c r="T31" s="22"/>
      <c r="U31" s="22"/>
      <c r="V31" s="22"/>
    </row>
    <row r="32" ht="22.5" customHeight="1">
      <c r="A32" s="72" t="s">
        <v>123</v>
      </c>
      <c r="B32" s="27">
        <v>123686.0</v>
      </c>
      <c r="C32" s="20">
        <f t="shared" ref="C32:C34" si="17">IFERROR(SUM((D32/B32)-1),0)</f>
        <v>0.3706482545</v>
      </c>
      <c r="D32" s="27">
        <v>169530.0</v>
      </c>
      <c r="E32" s="20">
        <f t="shared" ref="E32:E34" si="18">IFERROR(SUM((F32/D32)-1),0)</f>
        <v>-0.2455258656</v>
      </c>
      <c r="F32" s="27">
        <v>127906.0</v>
      </c>
      <c r="G32" s="20">
        <f t="shared" ref="G32:G34" si="19">IFERROR(SUM((H32/F32)-1),0)</f>
        <v>-0.004182759214</v>
      </c>
      <c r="H32" s="27">
        <v>127371.0</v>
      </c>
      <c r="J32" s="87" t="s">
        <v>112</v>
      </c>
      <c r="K32" s="88">
        <f>K2</f>
        <v>48.83</v>
      </c>
      <c r="L32" s="89">
        <v>1.0</v>
      </c>
      <c r="M32" s="90">
        <f>K37</f>
        <v>105338000000</v>
      </c>
      <c r="N32" s="91"/>
      <c r="O32" s="92">
        <v>6.0</v>
      </c>
      <c r="Q32" s="103">
        <v>0.0</v>
      </c>
      <c r="R32" s="104">
        <f>-K6</f>
        <v>-942124221000</v>
      </c>
      <c r="S32" s="22"/>
      <c r="T32" s="22"/>
      <c r="U32" s="22"/>
      <c r="V32" s="22"/>
    </row>
    <row r="33" ht="22.5" customHeight="1">
      <c r="A33" s="9" t="s">
        <v>126</v>
      </c>
      <c r="B33" s="32">
        <v>-64084.0</v>
      </c>
      <c r="C33" s="20">
        <f t="shared" si="17"/>
        <v>0.1115098933</v>
      </c>
      <c r="D33" s="32">
        <v>-71230.0</v>
      </c>
      <c r="E33" s="20">
        <f t="shared" si="18"/>
        <v>-0.06234732557</v>
      </c>
      <c r="F33" s="32">
        <v>-66789.0</v>
      </c>
      <c r="G33" s="20">
        <f t="shared" si="19"/>
        <v>0.03127760559</v>
      </c>
      <c r="H33" s="32">
        <v>-68878.0</v>
      </c>
      <c r="J33" s="97" t="s">
        <v>10</v>
      </c>
      <c r="K33" s="98">
        <f>L2</f>
        <v>12888700000</v>
      </c>
      <c r="L33" s="99">
        <v>2.0</v>
      </c>
      <c r="M33" s="100">
        <f t="shared" ref="M33:M38" si="20">M32*(1+O32/100)</f>
        <v>111658280000</v>
      </c>
      <c r="N33" s="100">
        <f>M33/(1+K38)^L32</f>
        <v>90963975560</v>
      </c>
      <c r="O33" s="92">
        <v>6.0</v>
      </c>
      <c r="Q33" s="103">
        <v>1.0</v>
      </c>
      <c r="R33" s="106">
        <f t="shared" ref="R33:R37" si="21">M33</f>
        <v>111658280000</v>
      </c>
      <c r="S33" s="107"/>
      <c r="T33" s="107"/>
      <c r="U33" s="107"/>
      <c r="V33" s="107"/>
    </row>
    <row r="34" ht="22.5" customHeight="1">
      <c r="A34" s="72" t="s">
        <v>130</v>
      </c>
      <c r="B34" s="27">
        <f>B32+B33</f>
        <v>59602</v>
      </c>
      <c r="C34" s="20">
        <f t="shared" si="17"/>
        <v>0.6492735143</v>
      </c>
      <c r="D34" s="27">
        <f>D32+D33</f>
        <v>98300</v>
      </c>
      <c r="E34" s="20">
        <f t="shared" si="18"/>
        <v>-0.3782604273</v>
      </c>
      <c r="F34" s="27">
        <f>F32+F33</f>
        <v>61117</v>
      </c>
      <c r="G34" s="20">
        <f t="shared" si="19"/>
        <v>-0.04293404454</v>
      </c>
      <c r="H34" s="27">
        <f>H32+H33</f>
        <v>58493</v>
      </c>
      <c r="J34" s="87" t="s">
        <v>116</v>
      </c>
      <c r="K34" s="88">
        <f>K5</f>
        <v>629355221000</v>
      </c>
      <c r="L34" s="89">
        <v>3.0</v>
      </c>
      <c r="M34" s="100">
        <f t="shared" si="20"/>
        <v>118357776800</v>
      </c>
      <c r="N34" s="90">
        <f>M34/(1+K38)^L33</f>
        <v>78551376044</v>
      </c>
      <c r="O34" s="92">
        <v>6.0</v>
      </c>
      <c r="Q34" s="103">
        <v>2.0</v>
      </c>
      <c r="R34" s="106">
        <f t="shared" si="21"/>
        <v>118357776800</v>
      </c>
      <c r="S34" s="107"/>
      <c r="T34" s="107"/>
      <c r="U34" s="107"/>
      <c r="V34" s="107"/>
    </row>
    <row r="35" ht="22.5" customHeight="1">
      <c r="A35" s="67" t="s">
        <v>137</v>
      </c>
      <c r="C35" s="20"/>
      <c r="E35" s="20"/>
      <c r="G35" s="20"/>
      <c r="J35" s="97" t="s">
        <v>118</v>
      </c>
      <c r="K35" s="92">
        <f>SUM(O32:O40)/6</f>
        <v>6</v>
      </c>
      <c r="L35" s="99">
        <v>4.0</v>
      </c>
      <c r="M35" s="100">
        <f t="shared" si="20"/>
        <v>125459243408</v>
      </c>
      <c r="N35" s="100">
        <f>M35/(1+K38)^L34</f>
        <v>67832552836</v>
      </c>
      <c r="O35" s="92">
        <v>6.0</v>
      </c>
      <c r="Q35" s="103">
        <v>3.0</v>
      </c>
      <c r="R35" s="106">
        <f t="shared" si="21"/>
        <v>125459243408</v>
      </c>
      <c r="S35" s="107"/>
      <c r="T35" s="107"/>
      <c r="U35" s="107"/>
      <c r="V35" s="107"/>
    </row>
    <row r="36" ht="22.5" customHeight="1">
      <c r="A36" s="9" t="s">
        <v>140</v>
      </c>
      <c r="B36" s="27">
        <v>-7969.0</v>
      </c>
      <c r="C36" s="20">
        <f t="shared" ref="C36:C44" si="22">IFERROR(SUM((D36/B36)-1),0)</f>
        <v>0.105031999</v>
      </c>
      <c r="D36" s="27">
        <v>-8806.0</v>
      </c>
      <c r="E36" s="20">
        <f t="shared" ref="E36:E44" si="23">IFERROR(SUM((F36/D36)-1),0)</f>
        <v>-0.1590960709</v>
      </c>
      <c r="F36" s="27">
        <v>-7405.0</v>
      </c>
      <c r="G36" s="20">
        <f t="shared" ref="G36:G44" si="24">IFERROR(SUM((H36/F36)-1),0)</f>
        <v>0.06549628629</v>
      </c>
      <c r="H36" s="27">
        <v>-7890.0</v>
      </c>
      <c r="J36" s="87" t="s">
        <v>120</v>
      </c>
      <c r="K36" s="105">
        <v>0.04</v>
      </c>
      <c r="L36" s="89">
        <v>5.0</v>
      </c>
      <c r="M36" s="100">
        <f t="shared" si="20"/>
        <v>132986798012</v>
      </c>
      <c r="N36" s="90">
        <f>M36/(1+K38)^L35</f>
        <v>58576379639</v>
      </c>
      <c r="O36" s="92">
        <v>6.0</v>
      </c>
      <c r="Q36" s="93">
        <v>4.0</v>
      </c>
      <c r="R36" s="106">
        <f t="shared" si="21"/>
        <v>132986798012</v>
      </c>
      <c r="S36" s="107"/>
      <c r="T36" s="107"/>
      <c r="U36" s="107"/>
      <c r="V36" s="107"/>
    </row>
    <row r="37" ht="22.5" customHeight="1">
      <c r="A37" s="9" t="s">
        <v>145</v>
      </c>
      <c r="B37" s="27">
        <v>-2517.0</v>
      </c>
      <c r="C37" s="20">
        <f t="shared" si="22"/>
        <v>0.1168057211</v>
      </c>
      <c r="D37" s="27">
        <v>-2811.0</v>
      </c>
      <c r="E37" s="20">
        <f t="shared" si="23"/>
        <v>-0.02917111348</v>
      </c>
      <c r="F37" s="27">
        <v>-2729.0</v>
      </c>
      <c r="G37" s="20">
        <f t="shared" si="24"/>
        <v>0.04580432393</v>
      </c>
      <c r="H37" s="27">
        <v>-2854.0</v>
      </c>
      <c r="J37" s="108" t="s">
        <v>286</v>
      </c>
      <c r="K37" s="98">
        <f>K24</f>
        <v>105338000000</v>
      </c>
      <c r="L37" s="99">
        <v>6.0</v>
      </c>
      <c r="M37" s="100">
        <f t="shared" si="20"/>
        <v>140966005893</v>
      </c>
      <c r="N37" s="100">
        <f>M37/(1+K38)^L36</f>
        <v>50583268771</v>
      </c>
      <c r="O37" s="92">
        <v>6.0</v>
      </c>
      <c r="Q37" s="93">
        <v>5.0</v>
      </c>
      <c r="R37" s="106">
        <f t="shared" si="21"/>
        <v>140966005893</v>
      </c>
      <c r="S37" s="107"/>
      <c r="T37" s="107"/>
      <c r="U37" s="107"/>
      <c r="V37" s="107"/>
    </row>
    <row r="38" ht="22.5" customHeight="1">
      <c r="A38" s="9" t="s">
        <v>151</v>
      </c>
      <c r="B38" s="20">
        <f>ABS(B37)/B32</f>
        <v>0.02034991834</v>
      </c>
      <c r="C38" s="20">
        <f t="shared" si="22"/>
        <v>-0.1851988886</v>
      </c>
      <c r="D38" s="20">
        <f>ABS(D37)/D32</f>
        <v>0.01658113608</v>
      </c>
      <c r="E38" s="20">
        <f t="shared" si="23"/>
        <v>0.2867623187</v>
      </c>
      <c r="F38" s="20">
        <f>ABS(F37)/F32</f>
        <v>0.02133598111</v>
      </c>
      <c r="G38" s="20">
        <f t="shared" si="24"/>
        <v>0.0501970453</v>
      </c>
      <c r="H38" s="20">
        <f>ABS(H37)/H32</f>
        <v>0.02240698432</v>
      </c>
      <c r="J38" s="110" t="s">
        <v>125</v>
      </c>
      <c r="K38" s="105">
        <f>L29</f>
        <v>0.2275</v>
      </c>
      <c r="L38" s="89">
        <v>7.0</v>
      </c>
      <c r="M38" s="100">
        <f t="shared" si="20"/>
        <v>149423966247</v>
      </c>
      <c r="N38" s="90">
        <f>M38/(1+K38)^L37</f>
        <v>43680867534</v>
      </c>
      <c r="O38" s="92"/>
      <c r="Q38" s="93">
        <v>6.0</v>
      </c>
      <c r="R38" s="106">
        <f>M38+M39</f>
        <v>978228899029</v>
      </c>
      <c r="S38" s="107"/>
      <c r="T38" s="107"/>
      <c r="U38" s="107"/>
      <c r="V38" s="107"/>
    </row>
    <row r="39" ht="22.5" customHeight="1">
      <c r="A39" s="9" t="s">
        <v>330</v>
      </c>
      <c r="B39" s="27">
        <v>-726.0</v>
      </c>
      <c r="C39" s="20">
        <f t="shared" si="22"/>
        <v>-0.2947658402</v>
      </c>
      <c r="D39" s="27">
        <v>-512.0</v>
      </c>
      <c r="E39" s="20">
        <f t="shared" si="23"/>
        <v>1.623046875</v>
      </c>
      <c r="F39" s="27">
        <v>-1343.0</v>
      </c>
      <c r="G39" s="20">
        <f t="shared" si="24"/>
        <v>0.9017125838</v>
      </c>
      <c r="H39" s="27">
        <v>-2554.0</v>
      </c>
      <c r="J39" s="97" t="s">
        <v>128</v>
      </c>
      <c r="K39" s="98">
        <f>K40/K33</f>
        <v>45.58782648</v>
      </c>
      <c r="L39" s="99" t="s">
        <v>131</v>
      </c>
      <c r="M39" s="100">
        <f>IFERROR( M38 * (1 + K36) / (K38  -K36  ), 0 )
</f>
        <v>828804932782</v>
      </c>
      <c r="N39" s="213">
        <f>M39/(1+K38)^L38</f>
        <v>197379398713</v>
      </c>
      <c r="O39" s="92"/>
      <c r="Q39" s="93" t="s">
        <v>132</v>
      </c>
      <c r="R39" s="119">
        <f>IFERROR(IRR(R32:R38),0)</f>
        <v>0.1203490473</v>
      </c>
      <c r="S39" s="107"/>
      <c r="T39" s="107"/>
      <c r="U39" s="107"/>
      <c r="V39" s="107"/>
    </row>
    <row r="40" ht="22.5" customHeight="1">
      <c r="A40" s="9" t="s">
        <v>334</v>
      </c>
      <c r="B40" s="27">
        <v>-1316.0</v>
      </c>
      <c r="C40" s="20">
        <f t="shared" si="22"/>
        <v>0.1352583587</v>
      </c>
      <c r="D40" s="27">
        <v>-1494.0</v>
      </c>
      <c r="E40" s="20">
        <f t="shared" si="23"/>
        <v>-0.1512717537</v>
      </c>
      <c r="F40" s="27">
        <v>-1268.0</v>
      </c>
      <c r="G40" s="20">
        <f t="shared" si="24"/>
        <v>0.003154574132</v>
      </c>
      <c r="H40" s="27">
        <v>-1272.0</v>
      </c>
      <c r="J40" s="87" t="s">
        <v>136</v>
      </c>
      <c r="K40" s="88">
        <f>N40</f>
        <v>587567819097</v>
      </c>
      <c r="L40" s="116"/>
      <c r="M40" s="90"/>
      <c r="N40" s="90">
        <f>SUM(N32:N39)</f>
        <v>587567819097</v>
      </c>
      <c r="O40" s="92"/>
      <c r="S40" s="22"/>
      <c r="T40" s="22"/>
      <c r="U40" s="22"/>
      <c r="V40" s="22"/>
    </row>
    <row r="41">
      <c r="A41" s="9" t="s">
        <v>336</v>
      </c>
      <c r="B41" s="27">
        <v>-2483.0</v>
      </c>
      <c r="C41" s="20">
        <f t="shared" si="22"/>
        <v>1.407571486</v>
      </c>
      <c r="D41" s="27">
        <v>-5978.0</v>
      </c>
      <c r="E41" s="20">
        <f t="shared" si="23"/>
        <v>-0.8643358983</v>
      </c>
      <c r="F41" s="27">
        <v>-811.0</v>
      </c>
      <c r="G41" s="20">
        <f t="shared" si="24"/>
        <v>1.448828607</v>
      </c>
      <c r="H41" s="27">
        <v>-1986.0</v>
      </c>
    </row>
    <row r="42">
      <c r="A42" s="9" t="s">
        <v>338</v>
      </c>
      <c r="B42" s="27">
        <v>2180.0</v>
      </c>
      <c r="C42" s="20">
        <f t="shared" si="22"/>
        <v>-1.531192661</v>
      </c>
      <c r="D42" s="27">
        <v>-1158.0</v>
      </c>
      <c r="E42" s="20">
        <f t="shared" si="23"/>
        <v>-2.329015544</v>
      </c>
      <c r="F42" s="27">
        <v>1539.0</v>
      </c>
      <c r="G42" s="20">
        <f t="shared" si="24"/>
        <v>-6.54905783</v>
      </c>
      <c r="H42" s="27">
        <v>-8540.0</v>
      </c>
      <c r="T42" s="107"/>
      <c r="U42" s="107"/>
    </row>
    <row r="43">
      <c r="A43" s="9" t="s">
        <v>339</v>
      </c>
      <c r="B43" s="27">
        <v>-5554.0</v>
      </c>
      <c r="C43" s="20">
        <f t="shared" si="22"/>
        <v>0.02790781419</v>
      </c>
      <c r="D43" s="27">
        <v>-5709.0</v>
      </c>
      <c r="E43" s="20">
        <f t="shared" si="23"/>
        <v>-0.01050972149</v>
      </c>
      <c r="F43" s="27">
        <v>-5649.0</v>
      </c>
      <c r="G43" s="20">
        <f t="shared" si="24"/>
        <v>-0.3384669853</v>
      </c>
      <c r="H43" s="27">
        <v>-3737.0</v>
      </c>
      <c r="K43" s="23"/>
      <c r="M43" s="23"/>
      <c r="N43" s="20"/>
      <c r="O43" s="27"/>
      <c r="T43" s="107"/>
      <c r="U43" s="107"/>
    </row>
    <row r="44">
      <c r="A44" s="9" t="s">
        <v>164</v>
      </c>
      <c r="B44" s="23">
        <f>SUM(B36,B37,B39,B43,B40,B41,B42)</f>
        <v>-18385</v>
      </c>
      <c r="C44" s="20">
        <f t="shared" si="22"/>
        <v>0.4396518901</v>
      </c>
      <c r="D44" s="23">
        <f>SUM(D36,D37,D39,D43,D40,D41,D42)</f>
        <v>-26468</v>
      </c>
      <c r="E44" s="20">
        <f t="shared" si="23"/>
        <v>-0.3325525162</v>
      </c>
      <c r="F44" s="23">
        <f>SUM(F36,F37,F39,F43,F40,F41,F42)</f>
        <v>-17666</v>
      </c>
      <c r="G44" s="20">
        <f t="shared" si="24"/>
        <v>0.6321181931</v>
      </c>
      <c r="H44" s="23">
        <f>SUM(H36,H37,H39,H43,H40,H41,H42)</f>
        <v>-28833</v>
      </c>
      <c r="T44" s="107"/>
      <c r="U44" s="107"/>
    </row>
    <row r="45">
      <c r="T45" s="107"/>
      <c r="U45" s="107"/>
    </row>
    <row r="46">
      <c r="A46" s="72" t="s">
        <v>143</v>
      </c>
      <c r="B46" s="23">
        <f>SUM(B34,B44)</f>
        <v>41217</v>
      </c>
      <c r="C46" s="20">
        <f>IFERROR(SUM((D46/B46)-1),0)</f>
        <v>0.742776039</v>
      </c>
      <c r="D46" s="23">
        <f>SUM(D34,D44)</f>
        <v>71832</v>
      </c>
      <c r="E46" s="20">
        <f>IFERROR(SUM((F46/D46)-1),0)</f>
        <v>-0.3951024613</v>
      </c>
      <c r="F46" s="23">
        <f>SUM(F34,F44)</f>
        <v>43451</v>
      </c>
      <c r="G46" s="20">
        <f>IFERROR(SUM((H46/F46)-1),0)</f>
        <v>-0.3173920048</v>
      </c>
      <c r="H46" s="23">
        <f>SUM(H34,H44)</f>
        <v>29660</v>
      </c>
      <c r="T46" s="107"/>
      <c r="U46" s="107"/>
    </row>
    <row r="47">
      <c r="C47" s="20"/>
      <c r="E47" s="20"/>
      <c r="G47" s="20"/>
      <c r="T47" s="107"/>
      <c r="U47" s="107"/>
    </row>
    <row r="48">
      <c r="A48" s="9" t="s">
        <v>127</v>
      </c>
      <c r="B48" s="27">
        <v>1758.0</v>
      </c>
      <c r="C48" s="20">
        <f t="shared" ref="C48:C51" si="25">IFERROR(SUM((D48/B48)-1),0)</f>
        <v>0.09726962457</v>
      </c>
      <c r="D48" s="27">
        <v>1929.0</v>
      </c>
      <c r="E48" s="20">
        <f t="shared" ref="E48:E51" si="26">IFERROR(SUM((F48/D48)-1),0)</f>
        <v>0.1684810783</v>
      </c>
      <c r="F48" s="27">
        <v>2254.0</v>
      </c>
      <c r="G48" s="20">
        <f t="shared" ref="G48:G51" si="27">IFERROR(SUM((H48/F48)-1),0)</f>
        <v>0.03815439219</v>
      </c>
      <c r="H48" s="27">
        <v>2340.0</v>
      </c>
    </row>
    <row r="49">
      <c r="A49" s="9" t="s">
        <v>135</v>
      </c>
      <c r="B49" s="27">
        <v>-5179.0</v>
      </c>
      <c r="C49" s="20">
        <f t="shared" si="25"/>
        <v>0.02297740877</v>
      </c>
      <c r="D49" s="27">
        <v>-5298.0</v>
      </c>
      <c r="E49" s="20">
        <f t="shared" si="26"/>
        <v>0.1504341261</v>
      </c>
      <c r="F49" s="27">
        <v>-6095.0</v>
      </c>
      <c r="G49" s="20">
        <f t="shared" si="27"/>
        <v>0.01640689089</v>
      </c>
      <c r="H49" s="27">
        <v>-6195.0</v>
      </c>
    </row>
    <row r="50">
      <c r="A50" s="9" t="s">
        <v>349</v>
      </c>
      <c r="B50" s="27">
        <v>11287.0</v>
      </c>
      <c r="C50" s="20">
        <f t="shared" si="25"/>
        <v>-0.8367148046</v>
      </c>
      <c r="D50" s="27">
        <v>1843.0</v>
      </c>
      <c r="E50" s="20">
        <f t="shared" si="26"/>
        <v>1.798155182</v>
      </c>
      <c r="F50" s="27">
        <v>5157.0</v>
      </c>
      <c r="G50" s="20">
        <f t="shared" si="27"/>
        <v>-2.67868916</v>
      </c>
      <c r="H50" s="27">
        <v>-8657.0</v>
      </c>
    </row>
    <row r="51">
      <c r="A51" s="9" t="s">
        <v>138</v>
      </c>
      <c r="B51" s="27">
        <f>B48+B49+B50</f>
        <v>7866</v>
      </c>
      <c r="C51" s="20">
        <f t="shared" si="25"/>
        <v>-1.193999491</v>
      </c>
      <c r="D51" s="27">
        <f>D48+D49+D50</f>
        <v>-1526</v>
      </c>
      <c r="E51" s="20">
        <f t="shared" si="26"/>
        <v>-1.862385321</v>
      </c>
      <c r="F51" s="27">
        <f>F48+F49+F50</f>
        <v>1316</v>
      </c>
      <c r="G51" s="20">
        <f t="shared" si="27"/>
        <v>-10.50759878</v>
      </c>
      <c r="H51" s="27">
        <f>H48+H49+H50</f>
        <v>-12512</v>
      </c>
    </row>
    <row r="52">
      <c r="C52" s="20"/>
      <c r="E52" s="20"/>
      <c r="G52" s="20"/>
    </row>
    <row r="53">
      <c r="A53" s="141" t="s">
        <v>133</v>
      </c>
      <c r="B53" s="27">
        <v>-21614.0</v>
      </c>
      <c r="C53" s="20">
        <f t="shared" ref="C53:C60" si="28">IFERROR(SUM((D53/B53)-1),0)</f>
        <v>-0.005135560285</v>
      </c>
      <c r="D53" s="27">
        <v>-21503.0</v>
      </c>
      <c r="E53" s="20">
        <f t="shared" ref="E53:E60" si="29">IFERROR(SUM((F53/D53)-1),0)</f>
        <v>0.04120355299</v>
      </c>
      <c r="F53" s="27">
        <v>-22389.0</v>
      </c>
      <c r="G53" s="20">
        <f t="shared" ref="G53:G60" si="30">IFERROR(SUM((H53/F53)-1),0)</f>
        <v>-0.01420340346</v>
      </c>
      <c r="H53" s="27">
        <v>-22071.0</v>
      </c>
      <c r="P53" s="20"/>
      <c r="Q53" s="23"/>
    </row>
    <row r="54">
      <c r="A54" s="9" t="s">
        <v>352</v>
      </c>
      <c r="B54" s="27">
        <v>53.0</v>
      </c>
      <c r="C54" s="20">
        <f t="shared" si="28"/>
        <v>8.886792453</v>
      </c>
      <c r="D54" s="27">
        <v>524.0</v>
      </c>
      <c r="E54" s="20">
        <f t="shared" si="29"/>
        <v>-0.6488549618</v>
      </c>
      <c r="F54" s="27">
        <v>184.0</v>
      </c>
      <c r="G54" s="20">
        <f t="shared" si="30"/>
        <v>-7.385869565</v>
      </c>
      <c r="H54" s="27">
        <v>-1175.0</v>
      </c>
      <c r="P54" s="20"/>
      <c r="Q54" s="23"/>
    </row>
    <row r="55">
      <c r="A55" s="72" t="s">
        <v>146</v>
      </c>
      <c r="B55" s="23">
        <f>B58-B57-B51-B53</f>
        <v>62884</v>
      </c>
      <c r="C55" s="20">
        <f t="shared" si="28"/>
        <v>0.4925736276</v>
      </c>
      <c r="D55" s="23">
        <f>D58-D57-D51-D53</f>
        <v>93859</v>
      </c>
      <c r="E55" s="20">
        <f t="shared" si="29"/>
        <v>-0.2965618641</v>
      </c>
      <c r="F55" s="23">
        <f>F58-F57-F51-F53</f>
        <v>66024</v>
      </c>
      <c r="G55" s="20">
        <f t="shared" si="30"/>
        <v>-0.2342784442</v>
      </c>
      <c r="H55" s="23">
        <f>H58-H57-H51-H53</f>
        <v>50556</v>
      </c>
      <c r="P55" s="20"/>
      <c r="Q55" s="23"/>
    </row>
    <row r="56">
      <c r="A56" s="9" t="s">
        <v>150</v>
      </c>
      <c r="B56" s="23">
        <f>B46+B51+B54</f>
        <v>49136</v>
      </c>
      <c r="C56" s="20">
        <f t="shared" si="28"/>
        <v>0.4415092804</v>
      </c>
      <c r="D56" s="23">
        <f>D46+D51+D54</f>
        <v>70830</v>
      </c>
      <c r="E56" s="20">
        <f t="shared" si="29"/>
        <v>-0.365367782</v>
      </c>
      <c r="F56" s="23">
        <f>F46+F51+F54</f>
        <v>44951</v>
      </c>
      <c r="G56" s="20">
        <f t="shared" si="30"/>
        <v>-0.644657516</v>
      </c>
      <c r="H56" s="23">
        <f>H46+H51+H54</f>
        <v>15973</v>
      </c>
      <c r="P56" s="20"/>
      <c r="Q56" s="23"/>
    </row>
    <row r="57">
      <c r="A57" s="9" t="s">
        <v>152</v>
      </c>
      <c r="B57" s="27">
        <v>-16375.0</v>
      </c>
      <c r="C57" s="20">
        <f t="shared" si="28"/>
        <v>0.1196946565</v>
      </c>
      <c r="D57" s="27">
        <v>-18335.0</v>
      </c>
      <c r="E57" s="20">
        <f t="shared" si="29"/>
        <v>-0.3398418326</v>
      </c>
      <c r="F57" s="27">
        <v>-12104.0</v>
      </c>
      <c r="G57" s="20">
        <f t="shared" si="30"/>
        <v>-0.9735624587</v>
      </c>
      <c r="H57" s="27">
        <v>-320.0</v>
      </c>
      <c r="P57" s="20"/>
      <c r="Q57" s="20"/>
    </row>
    <row r="58">
      <c r="A58" s="72" t="s">
        <v>156</v>
      </c>
      <c r="B58" s="27">
        <f>B56+B57</f>
        <v>32761</v>
      </c>
      <c r="C58" s="20">
        <f t="shared" si="28"/>
        <v>0.6023625652</v>
      </c>
      <c r="D58" s="27">
        <f>D56+D57</f>
        <v>52495</v>
      </c>
      <c r="E58" s="20">
        <f t="shared" si="29"/>
        <v>-0.3742832651</v>
      </c>
      <c r="F58" s="27">
        <f>F56+F57</f>
        <v>32847</v>
      </c>
      <c r="G58" s="20">
        <f t="shared" si="30"/>
        <v>-0.5234572411</v>
      </c>
      <c r="H58" s="27">
        <f>H56+H57</f>
        <v>15653</v>
      </c>
      <c r="P58" s="20"/>
      <c r="Q58" s="20"/>
    </row>
    <row r="59">
      <c r="A59" s="141" t="s">
        <v>216</v>
      </c>
      <c r="B59" s="57">
        <v>59643.0</v>
      </c>
      <c r="C59" s="58">
        <f t="shared" si="28"/>
        <v>0.5734118002</v>
      </c>
      <c r="D59" s="57">
        <v>93843.0</v>
      </c>
      <c r="E59" s="58">
        <f t="shared" si="29"/>
        <v>-0.3189369479</v>
      </c>
      <c r="F59" s="57">
        <v>63913.0</v>
      </c>
      <c r="G59" s="58">
        <f t="shared" si="30"/>
        <v>-0.0624286139</v>
      </c>
      <c r="H59" s="57">
        <v>59923.0</v>
      </c>
      <c r="N59" s="20"/>
      <c r="O59" s="23"/>
      <c r="P59" s="20"/>
      <c r="Q59" s="23"/>
    </row>
    <row r="60">
      <c r="A60" s="141" t="s">
        <v>217</v>
      </c>
      <c r="B60" s="57">
        <v>23811.0</v>
      </c>
      <c r="C60" s="58">
        <f t="shared" si="28"/>
        <v>1.341900802</v>
      </c>
      <c r="D60" s="57">
        <v>55763.0</v>
      </c>
      <c r="E60" s="58">
        <f t="shared" si="29"/>
        <v>-0.4887470186</v>
      </c>
      <c r="F60" s="57">
        <v>28509.0</v>
      </c>
      <c r="G60" s="58">
        <f t="shared" si="30"/>
        <v>-0.1001788909</v>
      </c>
      <c r="H60" s="57">
        <v>25653.0</v>
      </c>
      <c r="N60" s="20"/>
      <c r="O60" s="23"/>
      <c r="P60" s="20"/>
      <c r="Q60" s="23"/>
    </row>
    <row r="61">
      <c r="A61" s="227" t="s">
        <v>268</v>
      </c>
      <c r="B61" s="80"/>
      <c r="C61" s="80"/>
      <c r="D61" s="80"/>
      <c r="E61" s="80"/>
      <c r="F61" s="80"/>
      <c r="G61" s="80"/>
      <c r="H61" s="80"/>
      <c r="N61" s="20"/>
    </row>
    <row r="62">
      <c r="A62" s="141" t="s">
        <v>275</v>
      </c>
      <c r="B62" s="57">
        <v>5.26</v>
      </c>
      <c r="C62" s="58">
        <f t="shared" ref="C62:C64" si="31">IFERROR(SUM((D62/B62)-1),0)</f>
        <v>-0.03992395437</v>
      </c>
      <c r="D62" s="57">
        <v>5.05</v>
      </c>
      <c r="E62" s="58">
        <f t="shared" ref="E62:E64" si="32">IFERROR(SUM((F62/D62)-1),0)</f>
        <v>0.07920792079</v>
      </c>
      <c r="F62" s="57">
        <v>5.45</v>
      </c>
      <c r="G62" s="58">
        <f t="shared" ref="G62:G64" si="33">IFERROR(SUM((H62/F62)-1),0)</f>
        <v>-0.01100917431</v>
      </c>
      <c r="H62" s="57">
        <v>5.39</v>
      </c>
      <c r="N62" s="20"/>
      <c r="Q62" s="20"/>
      <c r="R62" s="27"/>
      <c r="S62" s="20"/>
      <c r="T62" s="27"/>
    </row>
    <row r="63">
      <c r="A63" s="141" t="s">
        <v>280</v>
      </c>
      <c r="B63" s="57">
        <v>80.61</v>
      </c>
      <c r="C63" s="58">
        <f t="shared" si="31"/>
        <v>0.2966133234</v>
      </c>
      <c r="D63" s="57">
        <v>104.52</v>
      </c>
      <c r="E63" s="58">
        <f t="shared" si="32"/>
        <v>-0.3391695369</v>
      </c>
      <c r="F63" s="57">
        <v>69.07</v>
      </c>
      <c r="G63" s="58">
        <f t="shared" si="33"/>
        <v>-0.07789199363</v>
      </c>
      <c r="H63" s="57">
        <v>63.69</v>
      </c>
      <c r="N63" s="20"/>
      <c r="Q63" s="20"/>
      <c r="R63" s="27"/>
      <c r="S63" s="20"/>
      <c r="T63" s="23"/>
    </row>
    <row r="64">
      <c r="A64" s="141" t="s">
        <v>289</v>
      </c>
      <c r="B64" s="228">
        <v>0.067</v>
      </c>
      <c r="C64" s="58">
        <f t="shared" si="31"/>
        <v>0.3880597015</v>
      </c>
      <c r="D64" s="228">
        <v>0.093</v>
      </c>
      <c r="E64" s="58">
        <f t="shared" si="32"/>
        <v>-0.3870967742</v>
      </c>
      <c r="F64" s="228">
        <v>0.057</v>
      </c>
      <c r="G64" s="58">
        <f t="shared" si="33"/>
        <v>0.1578947368</v>
      </c>
      <c r="H64" s="228">
        <v>0.066</v>
      </c>
      <c r="N64" s="20"/>
      <c r="Q64" s="20"/>
      <c r="R64" s="27"/>
      <c r="S64" s="20"/>
      <c r="T64" s="27"/>
    </row>
    <row r="65">
      <c r="A65" s="80"/>
      <c r="B65" s="80"/>
      <c r="C65" s="80"/>
      <c r="D65" s="80"/>
      <c r="E65" s="80"/>
      <c r="F65" s="80"/>
      <c r="G65" s="80"/>
      <c r="H65" s="80"/>
      <c r="N65" s="20"/>
    </row>
    <row r="66">
      <c r="A66" s="10" t="s">
        <v>160</v>
      </c>
      <c r="N66" s="20"/>
    </row>
    <row r="67">
      <c r="A67" s="67" t="s">
        <v>162</v>
      </c>
      <c r="B67" s="9" t="s">
        <v>300</v>
      </c>
      <c r="C67" s="9" t="s">
        <v>301</v>
      </c>
      <c r="D67" s="9" t="s">
        <v>302</v>
      </c>
      <c r="E67" s="9" t="s">
        <v>301</v>
      </c>
      <c r="F67" s="9" t="s">
        <v>300</v>
      </c>
      <c r="G67" s="9" t="s">
        <v>301</v>
      </c>
      <c r="H67" s="9" t="s">
        <v>300</v>
      </c>
      <c r="N67" s="20"/>
    </row>
    <row r="68">
      <c r="A68" s="9" t="s">
        <v>163</v>
      </c>
      <c r="B68" s="27">
        <f>B58</f>
        <v>32761</v>
      </c>
      <c r="C68" s="20">
        <f t="shared" ref="C68:C70" si="34">IFERROR(SUM((D68/B68)-1),0)</f>
        <v>0.6023625652</v>
      </c>
      <c r="D68" s="27">
        <f>D58</f>
        <v>52495</v>
      </c>
      <c r="E68" s="20">
        <f t="shared" ref="E68:E70" si="35">IFERROR(SUM((F68/D68)-1),0)</f>
        <v>-0.3742832651</v>
      </c>
      <c r="F68" s="27">
        <f>F58</f>
        <v>32847</v>
      </c>
      <c r="G68" s="20">
        <f t="shared" ref="G68:G70" si="36">IFERROR(SUM((H68/F68)-1),0)</f>
        <v>-0.5234572411</v>
      </c>
      <c r="H68" s="27">
        <f>H58</f>
        <v>15653</v>
      </c>
      <c r="J68" s="22"/>
      <c r="K68" s="22"/>
      <c r="L68" s="22"/>
      <c r="M68" s="22"/>
      <c r="N68" s="20"/>
    </row>
    <row r="69">
      <c r="A69" s="126" t="s">
        <v>165</v>
      </c>
      <c r="B69" s="127">
        <v>43975.0</v>
      </c>
      <c r="C69" s="128">
        <f t="shared" si="34"/>
        <v>0.4056395679</v>
      </c>
      <c r="D69" s="127">
        <v>61813.0</v>
      </c>
      <c r="E69" s="128">
        <f t="shared" si="35"/>
        <v>-0.13197871</v>
      </c>
      <c r="F69" s="127">
        <v>53655.0</v>
      </c>
      <c r="G69" s="128">
        <f t="shared" si="36"/>
        <v>0.02350200354</v>
      </c>
      <c r="H69" s="127">
        <v>54916.0</v>
      </c>
      <c r="K69" s="229"/>
      <c r="L69" s="51"/>
      <c r="M69" s="29"/>
      <c r="N69" s="20"/>
    </row>
    <row r="70">
      <c r="A70" s="129" t="s">
        <v>169</v>
      </c>
      <c r="B70" s="130">
        <f>SUM(B69)</f>
        <v>43975</v>
      </c>
      <c r="C70" s="111">
        <f t="shared" si="34"/>
        <v>0.4056395679</v>
      </c>
      <c r="D70" s="130">
        <f>SUM(D69)</f>
        <v>61813</v>
      </c>
      <c r="E70" s="111">
        <f t="shared" si="35"/>
        <v>-0.13197871</v>
      </c>
      <c r="F70" s="130">
        <f>SUM(F69)</f>
        <v>53655</v>
      </c>
      <c r="G70" s="111">
        <f t="shared" si="36"/>
        <v>0.02350200354</v>
      </c>
      <c r="H70" s="130">
        <f>SUM(H69)</f>
        <v>54916</v>
      </c>
      <c r="J70" s="9"/>
      <c r="K70" s="20"/>
      <c r="L70" s="22"/>
      <c r="M70" s="20"/>
      <c r="N70" s="20"/>
    </row>
    <row r="71">
      <c r="J71" s="51"/>
      <c r="K71" s="29"/>
      <c r="L71" s="51"/>
      <c r="M71" s="29"/>
    </row>
    <row r="72">
      <c r="A72" s="9" t="s">
        <v>172</v>
      </c>
      <c r="B72" s="23"/>
      <c r="C72" s="20"/>
      <c r="D72" s="23"/>
      <c r="E72" s="20"/>
      <c r="F72" s="23"/>
      <c r="G72" s="20"/>
      <c r="H72" s="23"/>
      <c r="J72" s="22"/>
      <c r="K72" s="20"/>
      <c r="L72" s="22"/>
      <c r="M72" s="20"/>
    </row>
    <row r="73">
      <c r="A73" s="9" t="s">
        <v>185</v>
      </c>
      <c r="B73" s="27">
        <v>-23734.0</v>
      </c>
      <c r="C73" s="20">
        <f t="shared" ref="C73:C80" si="37">IFERROR(SUM((D73/B73)-1),0)</f>
        <v>-0.02924075166</v>
      </c>
      <c r="D73" s="27">
        <v>-23040.0</v>
      </c>
      <c r="E73" s="20">
        <f t="shared" ref="E73:E76" si="38">IFERROR(SUM((F73/D73)-1),0)</f>
        <v>0.1557725694</v>
      </c>
      <c r="F73" s="27">
        <v>-26629.0</v>
      </c>
      <c r="G73" s="20">
        <f t="shared" ref="G73:G76" si="39">IFERROR(SUM((H73/F73)-1),0)</f>
        <v>0.3375643096</v>
      </c>
      <c r="H73" s="27">
        <v>-35618.0</v>
      </c>
      <c r="K73" s="29"/>
    </row>
    <row r="74">
      <c r="A74" s="9" t="s">
        <v>172</v>
      </c>
      <c r="B74" s="27">
        <f>SUM(B73)</f>
        <v>-23734</v>
      </c>
      <c r="C74" s="20">
        <f t="shared" si="37"/>
        <v>-0.02924075166</v>
      </c>
      <c r="D74" s="27">
        <f>SUM(D73)</f>
        <v>-23040</v>
      </c>
      <c r="E74" s="20">
        <f t="shared" si="38"/>
        <v>0.1557725694</v>
      </c>
      <c r="F74" s="27">
        <f>SUM(F73)</f>
        <v>-26629</v>
      </c>
      <c r="G74" s="20">
        <f t="shared" si="39"/>
        <v>0.3375643096</v>
      </c>
      <c r="H74" s="27">
        <f>SUM(H73)</f>
        <v>-35618</v>
      </c>
      <c r="J74" s="9"/>
      <c r="K74" s="20"/>
    </row>
    <row r="75">
      <c r="A75" s="9" t="s">
        <v>368</v>
      </c>
      <c r="B75" s="9">
        <v>-164.0</v>
      </c>
      <c r="C75" s="20">
        <f t="shared" si="37"/>
        <v>-0.0243902439</v>
      </c>
      <c r="D75" s="9">
        <v>-160.0</v>
      </c>
      <c r="E75" s="20">
        <f t="shared" si="38"/>
        <v>-0.93125</v>
      </c>
      <c r="F75" s="9">
        <v>-11.0</v>
      </c>
      <c r="G75" s="20">
        <f t="shared" si="39"/>
        <v>-4.363636364</v>
      </c>
      <c r="H75" s="9">
        <v>37.0</v>
      </c>
      <c r="J75" s="9"/>
      <c r="N75" s="20"/>
    </row>
    <row r="76">
      <c r="A76" s="9" t="s">
        <v>369</v>
      </c>
      <c r="B76" s="32">
        <v>1311.0</v>
      </c>
      <c r="C76" s="20">
        <f t="shared" si="37"/>
        <v>-0.5850495805</v>
      </c>
      <c r="D76" s="32">
        <v>544.0</v>
      </c>
      <c r="E76" s="20">
        <f t="shared" si="38"/>
        <v>-0.2408088235</v>
      </c>
      <c r="F76" s="32">
        <v>413.0</v>
      </c>
      <c r="G76" s="20">
        <f t="shared" si="39"/>
        <v>-0.2324455206</v>
      </c>
      <c r="H76" s="32">
        <v>317.0</v>
      </c>
      <c r="J76" s="9"/>
      <c r="L76" s="20"/>
      <c r="N76" s="20"/>
    </row>
    <row r="77">
      <c r="A77" s="9" t="s">
        <v>371</v>
      </c>
      <c r="B77" s="27">
        <v>1645.0</v>
      </c>
      <c r="C77" s="20">
        <f t="shared" si="37"/>
        <v>-1</v>
      </c>
      <c r="D77" s="27">
        <v>0.0</v>
      </c>
      <c r="E77" s="20">
        <f>IFERROR(SUM((F78/D77)-1),0)</f>
        <v>0</v>
      </c>
      <c r="F77" s="32">
        <v>0.0</v>
      </c>
      <c r="G77" s="20">
        <f>IFERROR(SUM((H77/F78)-1),0)</f>
        <v>-1</v>
      </c>
      <c r="H77" s="32">
        <v>0.0</v>
      </c>
      <c r="J77" s="9"/>
      <c r="K77" s="20"/>
      <c r="L77" s="20"/>
      <c r="M77" s="20"/>
      <c r="N77" s="20"/>
    </row>
    <row r="78">
      <c r="A78" s="9" t="s">
        <v>374</v>
      </c>
      <c r="B78" s="27">
        <v>2121.0</v>
      </c>
      <c r="C78" s="20">
        <f t="shared" si="37"/>
        <v>-4.107496464</v>
      </c>
      <c r="D78" s="27">
        <v>-6591.0</v>
      </c>
      <c r="E78" s="20">
        <f>IFERROR(SUM((#REF!/D78)-1),0)</f>
        <v>0</v>
      </c>
      <c r="F78" s="27">
        <v>-143.0</v>
      </c>
      <c r="G78" s="20">
        <f>IFERROR(SUM((H78/#REF!)-1),0)</f>
        <v>0</v>
      </c>
      <c r="H78" s="27">
        <v>-237.0</v>
      </c>
      <c r="J78" s="9"/>
      <c r="K78" s="20"/>
      <c r="L78" s="20"/>
      <c r="M78" s="20"/>
      <c r="N78" s="20"/>
      <c r="O78" s="20"/>
      <c r="P78" s="20"/>
      <c r="Q78" s="20"/>
    </row>
    <row r="79">
      <c r="A79" s="9" t="s">
        <v>193</v>
      </c>
      <c r="B79" s="9">
        <v>9.0</v>
      </c>
      <c r="C79" s="20">
        <f t="shared" si="37"/>
        <v>37.66666667</v>
      </c>
      <c r="D79" s="9">
        <v>348.0</v>
      </c>
      <c r="E79" s="20">
        <f t="shared" ref="E79:E80" si="40">IFERROR(SUM((F79/D79)-1),0)</f>
        <v>0.2442528736</v>
      </c>
      <c r="F79" s="27">
        <v>433.0</v>
      </c>
      <c r="G79" s="20">
        <f t="shared" ref="G79:G80" si="41">IFERROR(SUM((H79/F79)-1),0)</f>
        <v>-0.7136258661</v>
      </c>
      <c r="H79" s="27">
        <v>124.0</v>
      </c>
      <c r="L79" s="20"/>
      <c r="N79" s="20"/>
      <c r="P79" s="20"/>
    </row>
    <row r="80">
      <c r="A80" s="129" t="s">
        <v>192</v>
      </c>
      <c r="B80" s="130">
        <f>SUM(B74:B79)</f>
        <v>-18812</v>
      </c>
      <c r="C80" s="111">
        <f t="shared" si="37"/>
        <v>0.5362002977</v>
      </c>
      <c r="D80" s="130">
        <f>SUM(D74:D79)</f>
        <v>-28899</v>
      </c>
      <c r="E80" s="111">
        <f t="shared" si="40"/>
        <v>-0.102494896</v>
      </c>
      <c r="F80" s="130">
        <f>SUM(F74:F79)</f>
        <v>-25937</v>
      </c>
      <c r="G80" s="111">
        <f t="shared" si="41"/>
        <v>0.3639588233</v>
      </c>
      <c r="H80" s="130">
        <f>SUM(H74:H79)</f>
        <v>-35377</v>
      </c>
      <c r="J80" s="67"/>
      <c r="L80" s="20"/>
      <c r="N80" s="20"/>
      <c r="P80" s="20"/>
    </row>
    <row r="81">
      <c r="K81" s="23"/>
      <c r="L81" s="20"/>
      <c r="M81" s="23"/>
      <c r="N81" s="20"/>
      <c r="O81" s="23"/>
      <c r="P81" s="20"/>
      <c r="Q81" s="23"/>
    </row>
    <row r="82">
      <c r="A82" s="9" t="s">
        <v>194</v>
      </c>
      <c r="B82" s="27"/>
      <c r="C82" s="20"/>
      <c r="D82" s="23"/>
      <c r="E82" s="20"/>
      <c r="F82" s="27"/>
      <c r="G82" s="20"/>
      <c r="H82" s="27"/>
      <c r="K82" s="23"/>
      <c r="L82" s="20"/>
      <c r="M82" s="23"/>
      <c r="N82" s="20"/>
      <c r="O82" s="23"/>
      <c r="P82" s="20"/>
      <c r="Q82" s="23"/>
    </row>
    <row r="83">
      <c r="A83" s="9" t="s">
        <v>379</v>
      </c>
      <c r="B83" s="27">
        <v>-712.0</v>
      </c>
      <c r="C83" s="20">
        <f t="shared" ref="C83:C90" si="42">IFERROR(SUM((D83/B83)-1),0)</f>
        <v>-0.5337078652</v>
      </c>
      <c r="D83" s="27">
        <v>-332.0</v>
      </c>
      <c r="E83" s="20">
        <f t="shared" ref="E83:E90" si="43">IFERROR(SUM((F83/D83)-1),0)</f>
        <v>1.027108434</v>
      </c>
      <c r="F83" s="27">
        <v>-673.0</v>
      </c>
      <c r="G83" s="20">
        <f t="shared" ref="G83:G90" si="44">IFERROR(SUM((H83/F83)-1),0)</f>
        <v>-0.7236255572</v>
      </c>
      <c r="H83" s="27">
        <v>-186.0</v>
      </c>
      <c r="L83" s="20"/>
      <c r="N83" s="20"/>
      <c r="P83" s="20"/>
    </row>
    <row r="84">
      <c r="A84" s="9" t="s">
        <v>229</v>
      </c>
      <c r="B84" s="27">
        <v>6948.0</v>
      </c>
      <c r="C84" s="20">
        <f t="shared" si="42"/>
        <v>-0.5551237766</v>
      </c>
      <c r="D84" s="27">
        <v>3091.0</v>
      </c>
      <c r="E84" s="20">
        <f t="shared" si="43"/>
        <v>2.909737949</v>
      </c>
      <c r="F84" s="27">
        <v>12085.0</v>
      </c>
      <c r="G84" s="20">
        <f t="shared" si="44"/>
        <v>-0.9978485726</v>
      </c>
      <c r="H84" s="27">
        <v>26.0</v>
      </c>
    </row>
    <row r="85">
      <c r="A85" s="9" t="s">
        <v>199</v>
      </c>
      <c r="B85" s="32">
        <v>-3613.0</v>
      </c>
      <c r="C85" s="20">
        <f t="shared" si="42"/>
        <v>2.445336286</v>
      </c>
      <c r="D85" s="32">
        <v>-12448.0</v>
      </c>
      <c r="E85" s="20">
        <f t="shared" si="43"/>
        <v>-0.8473650386</v>
      </c>
      <c r="F85" s="32">
        <v>-1900.0</v>
      </c>
      <c r="G85" s="20">
        <f t="shared" si="44"/>
        <v>3.087894737</v>
      </c>
      <c r="H85" s="32">
        <v>-7767.0</v>
      </c>
    </row>
    <row r="86">
      <c r="A86" s="9" t="s">
        <v>200</v>
      </c>
      <c r="B86" s="32">
        <v>-3103.0</v>
      </c>
      <c r="C86" s="20">
        <f t="shared" si="42"/>
        <v>-0.2052852079</v>
      </c>
      <c r="D86" s="32">
        <v>-2466.0</v>
      </c>
      <c r="E86" s="20">
        <f t="shared" si="43"/>
        <v>0.1881589619</v>
      </c>
      <c r="F86" s="32">
        <v>-2930.0</v>
      </c>
      <c r="G86" s="20">
        <f t="shared" si="44"/>
        <v>-0.1757679181</v>
      </c>
      <c r="H86" s="32">
        <v>-2415.0</v>
      </c>
      <c r="K86" s="23"/>
      <c r="L86" s="20"/>
      <c r="M86" s="23"/>
      <c r="N86" s="20"/>
      <c r="O86" s="23"/>
      <c r="P86" s="20"/>
      <c r="Q86" s="23"/>
    </row>
    <row r="87">
      <c r="A87" s="9" t="s">
        <v>205</v>
      </c>
      <c r="B87" s="27">
        <v>-12834.0</v>
      </c>
      <c r="C87" s="20">
        <f t="shared" si="42"/>
        <v>0.09170952158</v>
      </c>
      <c r="D87" s="27">
        <v>-14011.0</v>
      </c>
      <c r="E87" s="20">
        <f t="shared" si="43"/>
        <v>-0.06123759903</v>
      </c>
      <c r="F87" s="27">
        <v>-13153.0</v>
      </c>
      <c r="G87" s="20">
        <f t="shared" si="44"/>
        <v>0.07724473504</v>
      </c>
      <c r="H87" s="27">
        <v>-14169.0</v>
      </c>
      <c r="K87" s="23"/>
      <c r="L87" s="20"/>
      <c r="M87" s="23"/>
      <c r="N87" s="20"/>
      <c r="O87" s="23"/>
      <c r="P87" s="20"/>
      <c r="Q87" s="23"/>
    </row>
    <row r="88">
      <c r="A88" s="9" t="s">
        <v>382</v>
      </c>
      <c r="B88" s="27">
        <v>-11639.0</v>
      </c>
      <c r="C88" s="20">
        <f t="shared" si="42"/>
        <v>-0.3438439728</v>
      </c>
      <c r="D88" s="27">
        <v>-7637.0</v>
      </c>
      <c r="E88" s="20">
        <f t="shared" si="43"/>
        <v>0.4368207411</v>
      </c>
      <c r="F88" s="27">
        <v>-10973.0</v>
      </c>
      <c r="G88" s="20">
        <f t="shared" si="44"/>
        <v>-0.2638293994</v>
      </c>
      <c r="H88" s="27">
        <v>-8078.0</v>
      </c>
      <c r="K88" s="23"/>
      <c r="L88" s="20"/>
      <c r="M88" s="23"/>
      <c r="N88" s="20"/>
      <c r="O88" s="23"/>
      <c r="P88" s="20"/>
      <c r="Q88" s="23"/>
    </row>
    <row r="89">
      <c r="A89" s="9" t="s">
        <v>383</v>
      </c>
      <c r="B89" s="27">
        <v>0.0</v>
      </c>
      <c r="C89" s="20">
        <f t="shared" si="42"/>
        <v>0</v>
      </c>
      <c r="D89" s="27">
        <v>-38.0</v>
      </c>
      <c r="E89" s="20">
        <f t="shared" si="43"/>
        <v>0.3421052632</v>
      </c>
      <c r="F89" s="27">
        <v>-51.0</v>
      </c>
      <c r="G89" s="20">
        <f t="shared" si="44"/>
        <v>-0.9803921569</v>
      </c>
      <c r="H89" s="27">
        <v>-1.0</v>
      </c>
    </row>
    <row r="90">
      <c r="A90" s="129" t="s">
        <v>208</v>
      </c>
      <c r="B90" s="140">
        <f>SUM(B83:B89)</f>
        <v>-24953</v>
      </c>
      <c r="C90" s="111">
        <f t="shared" si="42"/>
        <v>0.3561896365</v>
      </c>
      <c r="D90" s="140">
        <f>SUM(D83:D89)</f>
        <v>-33841</v>
      </c>
      <c r="E90" s="111">
        <f t="shared" si="43"/>
        <v>-0.4800685559</v>
      </c>
      <c r="F90" s="140">
        <f>SUM(F83:F89)</f>
        <v>-17595</v>
      </c>
      <c r="G90" s="111">
        <f t="shared" si="44"/>
        <v>0.8522307474</v>
      </c>
      <c r="H90" s="140">
        <f>SUM(H83:H89)</f>
        <v>-32590</v>
      </c>
    </row>
    <row r="91">
      <c r="I91" s="20"/>
    </row>
    <row r="92">
      <c r="A92" s="9" t="s">
        <v>386</v>
      </c>
      <c r="B92" s="27">
        <v>-1524.0</v>
      </c>
      <c r="C92" s="20">
        <f t="shared" ref="C92:C95" si="45">IFERROR(SUM((D92/B92)-1),0)</f>
        <v>-1.12664042</v>
      </c>
      <c r="D92" s="27">
        <v>193.0</v>
      </c>
      <c r="E92" s="20">
        <f t="shared" ref="E92:E95" si="46">IFERROR(SUM((F92/D92)-1),0)</f>
        <v>-4.238341969</v>
      </c>
      <c r="F92" s="27">
        <v>-625.0</v>
      </c>
      <c r="G92" s="20">
        <f t="shared" ref="G92:G95" si="47">IFERROR(SUM((H92/F92)-1),0)</f>
        <v>-2.5744</v>
      </c>
      <c r="H92" s="27">
        <v>984.0</v>
      </c>
      <c r="I92" s="20"/>
      <c r="J92" s="23"/>
    </row>
    <row r="93">
      <c r="A93" s="72" t="s">
        <v>210</v>
      </c>
      <c r="B93" s="120">
        <f>SUM(B70,B80,B90,B92)</f>
        <v>-1314</v>
      </c>
      <c r="C93" s="111">
        <f t="shared" si="45"/>
        <v>-0.4414003044</v>
      </c>
      <c r="D93" s="120">
        <f>SUM(D70,D80,D90,D92)</f>
        <v>-734</v>
      </c>
      <c r="E93" s="111">
        <f t="shared" si="46"/>
        <v>-13.9400545</v>
      </c>
      <c r="F93" s="120">
        <f>SUM(F70,F80,F90,F92)</f>
        <v>9498</v>
      </c>
      <c r="G93" s="111">
        <f t="shared" si="47"/>
        <v>-2.270477995</v>
      </c>
      <c r="H93" s="120">
        <f>SUM(H70,H80,H90,H92)</f>
        <v>-12067</v>
      </c>
      <c r="I93" s="20"/>
      <c r="J93" s="23"/>
    </row>
    <row r="94">
      <c r="A94" s="9" t="s">
        <v>212</v>
      </c>
      <c r="B94" s="27">
        <v>35608.0</v>
      </c>
      <c r="C94" s="20">
        <f t="shared" si="45"/>
        <v>-0.03690181982</v>
      </c>
      <c r="D94" s="27">
        <v>34294.0</v>
      </c>
      <c r="E94" s="20">
        <f t="shared" si="46"/>
        <v>0.1132268035</v>
      </c>
      <c r="F94" s="27">
        <v>38177.0</v>
      </c>
      <c r="G94" s="20">
        <f t="shared" si="47"/>
        <v>0.2487885376</v>
      </c>
      <c r="H94" s="27">
        <v>47675.0</v>
      </c>
      <c r="I94" s="20"/>
      <c r="J94" s="23"/>
    </row>
    <row r="95">
      <c r="A95" s="43" t="s">
        <v>214</v>
      </c>
      <c r="B95" s="42">
        <f>SUM(B93:B94)</f>
        <v>34294</v>
      </c>
      <c r="C95" s="48">
        <f t="shared" si="45"/>
        <v>-0.0214031609</v>
      </c>
      <c r="D95" s="42">
        <f>SUM(D93:D94)</f>
        <v>33560</v>
      </c>
      <c r="E95" s="48">
        <f t="shared" si="46"/>
        <v>0.4205899881</v>
      </c>
      <c r="F95" s="42">
        <f>SUM(F93:F94)</f>
        <v>47675</v>
      </c>
      <c r="G95" s="48">
        <f t="shared" si="47"/>
        <v>-0.2531095962</v>
      </c>
      <c r="H95" s="42">
        <f>SUM(H93:H94)</f>
        <v>35608</v>
      </c>
      <c r="I95" s="20"/>
      <c r="J95" s="23"/>
    </row>
    <row r="96">
      <c r="I96" s="20"/>
      <c r="J96" s="20"/>
    </row>
    <row r="97">
      <c r="I97" s="20"/>
      <c r="J97" s="20"/>
    </row>
    <row r="98">
      <c r="G98" s="20"/>
      <c r="H98" s="27"/>
      <c r="I98" s="20"/>
      <c r="J98" s="23"/>
    </row>
    <row r="99">
      <c r="H99" s="27"/>
      <c r="I99" s="20"/>
      <c r="J99" s="23"/>
    </row>
    <row r="100">
      <c r="H100" s="27"/>
      <c r="I100" s="20"/>
      <c r="J100" s="23"/>
    </row>
    <row r="101">
      <c r="G101" s="9"/>
      <c r="H101" s="32"/>
      <c r="I101" s="20"/>
      <c r="J101" s="20"/>
    </row>
    <row r="102">
      <c r="H102" s="32"/>
    </row>
    <row r="103">
      <c r="H103" s="27"/>
    </row>
    <row r="104">
      <c r="I104" s="20"/>
    </row>
    <row r="105">
      <c r="H105" s="23"/>
      <c r="I105" s="20"/>
      <c r="J105" s="20"/>
    </row>
    <row r="106">
      <c r="H106" s="27"/>
      <c r="I106" s="20"/>
      <c r="J106" s="20"/>
    </row>
    <row r="107">
      <c r="H107" s="27"/>
      <c r="I107" s="20"/>
      <c r="J107" s="20"/>
    </row>
    <row r="108">
      <c r="H108" s="27"/>
      <c r="I108" s="20"/>
      <c r="J108" s="27"/>
    </row>
    <row r="109">
      <c r="H109" s="27"/>
      <c r="I109" s="20"/>
      <c r="J109" s="20"/>
    </row>
    <row r="110">
      <c r="G110" s="67"/>
      <c r="H110" s="32"/>
      <c r="I110" s="20"/>
      <c r="J110" s="23"/>
    </row>
    <row r="111">
      <c r="G111" s="67"/>
      <c r="H111" s="32"/>
    </row>
    <row r="112">
      <c r="G112" s="9"/>
      <c r="H112" s="32"/>
    </row>
    <row r="113">
      <c r="H113" s="23"/>
      <c r="I113" s="20"/>
      <c r="J113" s="20"/>
    </row>
    <row r="114">
      <c r="B114" s="27"/>
      <c r="C114" s="20"/>
      <c r="D114" s="27"/>
      <c r="E114" s="20"/>
      <c r="F114" s="27"/>
      <c r="H114" s="27"/>
      <c r="I114" s="20"/>
      <c r="J114" s="20"/>
    </row>
    <row r="115">
      <c r="B115" s="27"/>
      <c r="C115" s="20"/>
      <c r="D115" s="27"/>
      <c r="E115" s="20"/>
      <c r="F115" s="23"/>
      <c r="H115" s="27"/>
      <c r="I115" s="20"/>
      <c r="J115" s="20"/>
    </row>
    <row r="116">
      <c r="B116" s="27"/>
      <c r="C116" s="20"/>
      <c r="D116" s="27"/>
      <c r="E116" s="20"/>
      <c r="H116" s="27"/>
      <c r="I116" s="20"/>
      <c r="J116" s="20"/>
    </row>
    <row r="118">
      <c r="A118" s="67"/>
      <c r="G118" s="67"/>
    </row>
    <row r="119">
      <c r="E119" s="20"/>
      <c r="F119" s="32"/>
      <c r="I119" s="20"/>
      <c r="J119" s="23"/>
    </row>
    <row r="120">
      <c r="B120" s="32"/>
      <c r="C120" s="20"/>
      <c r="D120" s="32"/>
      <c r="E120" s="20"/>
      <c r="H120" s="32"/>
      <c r="I120" s="20"/>
      <c r="J120" s="23"/>
    </row>
    <row r="121">
      <c r="A121" s="9"/>
      <c r="B121" s="27"/>
      <c r="C121" s="20"/>
      <c r="D121" s="27"/>
      <c r="E121" s="20"/>
      <c r="G121" s="9"/>
      <c r="H121" s="27"/>
    </row>
    <row r="122">
      <c r="B122" s="32"/>
      <c r="C122" s="20"/>
      <c r="D122" s="32"/>
      <c r="E122" s="20"/>
      <c r="H122" s="32"/>
    </row>
    <row r="123">
      <c r="A123" s="9"/>
      <c r="B123" s="27"/>
      <c r="C123" s="20"/>
      <c r="D123" s="27"/>
      <c r="E123" s="20"/>
      <c r="G123" s="9"/>
      <c r="H123" s="27"/>
      <c r="I123" s="20"/>
      <c r="J123" s="23"/>
    </row>
    <row r="124">
      <c r="A124" s="67"/>
      <c r="E124" s="20"/>
      <c r="G124" s="67"/>
      <c r="I124" s="20"/>
      <c r="J124" s="23"/>
    </row>
    <row r="125">
      <c r="B125" s="27"/>
      <c r="C125" s="20"/>
      <c r="D125" s="27"/>
      <c r="E125" s="20"/>
      <c r="F125" s="20"/>
      <c r="H125" s="27"/>
      <c r="I125" s="20"/>
      <c r="J125" s="23"/>
    </row>
    <row r="126">
      <c r="B126" s="27"/>
      <c r="C126" s="20"/>
      <c r="D126" s="27"/>
      <c r="H126" s="27"/>
      <c r="I126" s="20"/>
      <c r="J126" s="23"/>
    </row>
    <row r="127">
      <c r="B127" s="20"/>
      <c r="C127" s="20"/>
      <c r="D127" s="20"/>
      <c r="E127" s="20"/>
      <c r="F127" s="32"/>
      <c r="H127" s="20"/>
    </row>
    <row r="128">
      <c r="B128" s="27"/>
      <c r="C128" s="20"/>
      <c r="D128" s="27"/>
      <c r="E128" s="20"/>
      <c r="F128" s="27"/>
      <c r="H128" s="27"/>
    </row>
    <row r="129">
      <c r="B129" s="27"/>
      <c r="C129" s="20"/>
      <c r="D129" s="27"/>
      <c r="E129" s="20"/>
      <c r="F129" s="32"/>
      <c r="H129" s="27"/>
    </row>
    <row r="130">
      <c r="B130" s="23"/>
      <c r="C130" s="20"/>
      <c r="D130" s="23"/>
      <c r="E130" s="20"/>
      <c r="F130" s="27"/>
      <c r="H130" s="23"/>
    </row>
    <row r="131">
      <c r="E131" s="20"/>
      <c r="F131" s="32"/>
    </row>
    <row r="132">
      <c r="B132" s="27"/>
      <c r="D132" s="27"/>
      <c r="E132" s="20"/>
      <c r="F132" s="32"/>
      <c r="H132" s="27"/>
    </row>
    <row r="133">
      <c r="A133" s="9"/>
      <c r="C133" s="20"/>
      <c r="E133" s="20"/>
      <c r="G133" s="9"/>
    </row>
    <row r="134">
      <c r="E134" s="20"/>
    </row>
    <row r="135">
      <c r="B135" s="27"/>
      <c r="C135" s="20"/>
      <c r="D135" s="27"/>
      <c r="E135" s="20"/>
      <c r="H135" s="27"/>
    </row>
    <row r="136">
      <c r="B136" s="27"/>
      <c r="C136" s="20"/>
      <c r="D136" s="27"/>
      <c r="E136" s="20"/>
      <c r="F136" s="32"/>
      <c r="H136" s="27"/>
    </row>
    <row r="137">
      <c r="B137" s="27"/>
      <c r="C137" s="20"/>
      <c r="D137" s="27"/>
      <c r="E137" s="20"/>
      <c r="H137" s="27"/>
    </row>
    <row r="139">
      <c r="A139" s="9"/>
      <c r="C139" s="20"/>
      <c r="G139" s="9"/>
    </row>
    <row r="140">
      <c r="C140" s="20"/>
      <c r="E140" s="20"/>
      <c r="F140" s="20"/>
    </row>
    <row r="141">
      <c r="B141" s="27"/>
      <c r="C141" s="20"/>
      <c r="D141" s="27"/>
      <c r="E141" s="20"/>
      <c r="F141" s="20"/>
      <c r="H141" s="27"/>
    </row>
    <row r="142">
      <c r="A142" s="9"/>
      <c r="C142" s="20"/>
      <c r="E142" s="20"/>
      <c r="F142" s="20"/>
      <c r="G142" s="9"/>
    </row>
    <row r="144">
      <c r="A144" s="9"/>
      <c r="G144" s="9"/>
    </row>
    <row r="145">
      <c r="A145" s="67"/>
      <c r="G145" s="67"/>
    </row>
    <row r="146">
      <c r="B146" s="27"/>
      <c r="C146" s="20"/>
      <c r="D146" s="27"/>
      <c r="H146" s="27"/>
    </row>
    <row r="147">
      <c r="A147" s="150"/>
      <c r="B147" s="27"/>
      <c r="C147" s="20"/>
      <c r="D147" s="27"/>
      <c r="G147" s="150"/>
      <c r="H147" s="27"/>
    </row>
    <row r="148">
      <c r="B148" s="27"/>
      <c r="C148" s="20"/>
      <c r="D148" s="27"/>
      <c r="H148" s="27"/>
    </row>
    <row r="149">
      <c r="B149" s="27"/>
      <c r="C149" s="20"/>
      <c r="D149" s="27"/>
      <c r="H149" s="27"/>
    </row>
    <row r="150">
      <c r="A150" s="9"/>
      <c r="B150" s="27"/>
      <c r="C150" s="20"/>
      <c r="D150" s="27"/>
      <c r="G150" s="9"/>
      <c r="H150" s="27"/>
    </row>
    <row r="151">
      <c r="B151" s="27"/>
      <c r="C151" s="20"/>
      <c r="D151" s="27"/>
      <c r="H151" s="27"/>
    </row>
    <row r="152">
      <c r="B152" s="27"/>
      <c r="C152" s="20"/>
      <c r="D152" s="27"/>
      <c r="H152" s="27"/>
    </row>
    <row r="153">
      <c r="B153" s="27"/>
      <c r="C153" s="20"/>
      <c r="D153" s="27"/>
      <c r="H153" s="27"/>
    </row>
    <row r="154">
      <c r="B154" s="27"/>
      <c r="C154" s="20"/>
      <c r="D154" s="27"/>
      <c r="H154" s="27"/>
    </row>
    <row r="155">
      <c r="C155" s="20"/>
      <c r="D155" s="32"/>
    </row>
    <row r="156">
      <c r="A156" s="67"/>
      <c r="B156" s="158"/>
      <c r="C156" s="160"/>
      <c r="D156" s="158"/>
      <c r="G156" s="67"/>
      <c r="H156" s="158"/>
    </row>
    <row r="157">
      <c r="B157" s="23"/>
      <c r="D157" s="23"/>
      <c r="H157" s="23"/>
    </row>
    <row r="158">
      <c r="B158" s="27"/>
      <c r="C158" s="20"/>
      <c r="D158" s="27"/>
      <c r="H158" s="27"/>
    </row>
    <row r="159">
      <c r="B159" s="27"/>
      <c r="C159" s="20"/>
      <c r="D159" s="27"/>
      <c r="H159" s="27"/>
    </row>
    <row r="160">
      <c r="B160" s="27"/>
      <c r="C160" s="20"/>
      <c r="D160" s="27"/>
      <c r="H160" s="27"/>
    </row>
    <row r="161">
      <c r="B161" s="27"/>
      <c r="C161" s="20"/>
      <c r="D161" s="27"/>
      <c r="H161" s="27"/>
    </row>
    <row r="162">
      <c r="A162" s="67"/>
      <c r="B162" s="158"/>
      <c r="C162" s="160"/>
      <c r="D162" s="158"/>
      <c r="G162" s="67"/>
      <c r="H162" s="158"/>
    </row>
    <row r="163">
      <c r="B163" s="23"/>
      <c r="D163" s="23"/>
      <c r="H163" s="23"/>
    </row>
    <row r="164">
      <c r="B164" s="27"/>
      <c r="D164" s="23"/>
      <c r="H164" s="27"/>
    </row>
    <row r="165">
      <c r="B165" s="27"/>
      <c r="C165" s="20"/>
      <c r="D165" s="27"/>
      <c r="H165" s="27"/>
    </row>
    <row r="166">
      <c r="B166" s="27"/>
      <c r="C166" s="20"/>
      <c r="D166" s="27"/>
      <c r="H166" s="27"/>
    </row>
    <row r="167">
      <c r="B167" s="27"/>
      <c r="C167" s="20"/>
      <c r="D167" s="27"/>
      <c r="H167" s="27"/>
    </row>
    <row r="168">
      <c r="B168" s="27"/>
      <c r="C168" s="20"/>
      <c r="D168" s="27"/>
      <c r="H168" s="27"/>
    </row>
    <row r="169">
      <c r="A169" s="67"/>
      <c r="B169" s="146"/>
      <c r="C169" s="160"/>
      <c r="D169" s="146"/>
      <c r="G169" s="67"/>
      <c r="H169" s="146"/>
    </row>
    <row r="170">
      <c r="B170" s="23"/>
      <c r="D170" s="23"/>
      <c r="H170" s="23"/>
    </row>
    <row r="171">
      <c r="A171" s="9"/>
      <c r="C171" s="20"/>
      <c r="G171" s="9"/>
    </row>
    <row r="172">
      <c r="B172" s="32"/>
      <c r="C172" s="20"/>
      <c r="D172" s="32"/>
      <c r="H172" s="32"/>
    </row>
    <row r="173">
      <c r="A173" s="9"/>
      <c r="B173" s="9"/>
      <c r="C173" s="20"/>
      <c r="D173" s="9"/>
      <c r="G173" s="9"/>
      <c r="H173" s="9"/>
    </row>
    <row r="177">
      <c r="G177" s="9"/>
    </row>
    <row r="178">
      <c r="C178" s="20"/>
      <c r="D178" s="23"/>
      <c r="G178" s="9"/>
      <c r="I178" s="20"/>
    </row>
    <row r="179">
      <c r="C179" s="20"/>
      <c r="D179" s="27"/>
      <c r="E179" s="20"/>
      <c r="F179" s="23"/>
      <c r="H179" s="23"/>
      <c r="I179" s="20"/>
      <c r="J179" s="23"/>
    </row>
    <row r="180">
      <c r="C180" s="20"/>
      <c r="D180" s="27"/>
      <c r="E180" s="20"/>
      <c r="F180" s="27"/>
      <c r="H180" s="23"/>
      <c r="I180" s="20"/>
      <c r="J180" s="23"/>
    </row>
    <row r="181">
      <c r="C181" s="20"/>
      <c r="D181" s="27"/>
      <c r="E181" s="20"/>
      <c r="F181" s="27"/>
      <c r="H181" s="23"/>
      <c r="I181" s="20"/>
      <c r="J181" s="23"/>
    </row>
    <row r="182">
      <c r="C182" s="20"/>
      <c r="D182" s="27"/>
      <c r="E182" s="20"/>
      <c r="F182" s="27"/>
      <c r="H182" s="23"/>
      <c r="I182" s="20"/>
      <c r="J182" s="23"/>
    </row>
    <row r="183">
      <c r="C183" s="20"/>
      <c r="D183" s="32"/>
      <c r="E183" s="20"/>
      <c r="F183" s="27"/>
      <c r="H183" s="20"/>
      <c r="I183" s="20"/>
      <c r="J183" s="20"/>
    </row>
    <row r="184">
      <c r="C184" s="20"/>
      <c r="D184" s="32"/>
      <c r="E184" s="20"/>
      <c r="F184" s="27"/>
      <c r="H184" s="20"/>
      <c r="I184" s="20"/>
      <c r="J184" s="20"/>
    </row>
    <row r="185">
      <c r="C185" s="20"/>
      <c r="D185" s="27"/>
      <c r="E185" s="20"/>
      <c r="F185" s="23"/>
      <c r="H185" s="23"/>
      <c r="I185" s="20"/>
      <c r="J185" s="23"/>
    </row>
    <row r="186">
      <c r="E186" s="20"/>
      <c r="F186" s="23"/>
      <c r="H186" s="23"/>
      <c r="I186" s="20"/>
      <c r="J186" s="23"/>
    </row>
    <row r="187">
      <c r="C187" s="20"/>
      <c r="D187" s="23"/>
      <c r="E187" s="20"/>
      <c r="F187" s="27"/>
      <c r="H187" s="23"/>
      <c r="I187" s="20"/>
      <c r="J187" s="23"/>
    </row>
    <row r="188">
      <c r="C188" s="20"/>
      <c r="D188" s="27"/>
      <c r="E188" s="20"/>
      <c r="F188" s="27"/>
      <c r="H188" s="20"/>
      <c r="I188" s="20"/>
      <c r="J188" s="20"/>
    </row>
    <row r="189">
      <c r="C189" s="20"/>
      <c r="D189" s="27"/>
      <c r="E189" s="20"/>
      <c r="F189" s="27"/>
      <c r="G189" s="67"/>
    </row>
    <row r="190">
      <c r="C190" s="20"/>
      <c r="D190" s="27"/>
      <c r="E190" s="20"/>
      <c r="F190" s="27"/>
      <c r="G190" s="67"/>
    </row>
    <row r="191">
      <c r="C191" s="20"/>
      <c r="D191" s="27"/>
      <c r="F191" s="23"/>
      <c r="G191" s="9"/>
      <c r="I191" s="20"/>
    </row>
    <row r="192">
      <c r="C192" s="20"/>
      <c r="D192" s="32"/>
      <c r="E192" s="20"/>
      <c r="F192" s="23"/>
      <c r="G192" s="9"/>
      <c r="H192" s="20"/>
      <c r="I192" s="20"/>
      <c r="J192" s="20"/>
    </row>
    <row r="193">
      <c r="C193" s="20"/>
      <c r="D193" s="32"/>
      <c r="E193" s="20"/>
      <c r="F193" s="23"/>
      <c r="G193" s="9"/>
      <c r="H193" s="20"/>
      <c r="I193" s="20"/>
      <c r="J193" s="20"/>
    </row>
    <row r="194">
      <c r="C194" s="20"/>
      <c r="D194" s="32"/>
      <c r="E194" s="20"/>
      <c r="F194" s="23"/>
      <c r="G194" s="9"/>
      <c r="H194" s="20"/>
      <c r="I194" s="20"/>
      <c r="J194" s="20"/>
    </row>
    <row r="195">
      <c r="C195" s="20"/>
      <c r="D195" s="32"/>
      <c r="E195" s="20"/>
      <c r="F195" s="23"/>
      <c r="G195" s="9"/>
      <c r="H195" s="27"/>
      <c r="I195" s="20"/>
      <c r="J195" s="27"/>
    </row>
    <row r="196">
      <c r="E196" s="20"/>
      <c r="F196" s="23"/>
      <c r="G196" s="9"/>
      <c r="H196" s="20"/>
      <c r="I196" s="20"/>
      <c r="J196" s="20"/>
    </row>
    <row r="197">
      <c r="C197" s="20"/>
      <c r="D197" s="23"/>
      <c r="E197" s="20"/>
      <c r="F197" s="23"/>
      <c r="H197" s="23"/>
      <c r="I197" s="20"/>
      <c r="J197" s="23"/>
    </row>
    <row r="198">
      <c r="C198" s="20"/>
      <c r="D198" s="23"/>
      <c r="E198" s="20"/>
      <c r="F198" s="23"/>
    </row>
    <row r="199">
      <c r="C199" s="20"/>
      <c r="D199" s="23"/>
      <c r="F199" s="23"/>
      <c r="G199" s="67"/>
    </row>
    <row r="200">
      <c r="D200" s="23"/>
      <c r="E200" s="20"/>
      <c r="F200" s="27"/>
      <c r="G200" s="9"/>
      <c r="H200" s="20"/>
      <c r="I200" s="20"/>
      <c r="J200" s="20"/>
    </row>
    <row r="201">
      <c r="C201" s="20"/>
      <c r="D201" s="27"/>
      <c r="E201" s="20"/>
      <c r="F201" s="27"/>
      <c r="G201" s="9"/>
      <c r="H201" s="20"/>
      <c r="I201" s="20"/>
      <c r="J201" s="20"/>
    </row>
    <row r="202">
      <c r="C202" s="20"/>
      <c r="D202" s="27"/>
      <c r="E202" s="20"/>
      <c r="F202" s="23"/>
      <c r="G202" s="9"/>
      <c r="H202" s="20"/>
      <c r="I202" s="20"/>
      <c r="J202" s="20"/>
    </row>
    <row r="203">
      <c r="C203" s="20"/>
      <c r="D203" s="27"/>
      <c r="E203" s="20"/>
      <c r="G203" s="9"/>
      <c r="H203" s="20"/>
      <c r="I203" s="20"/>
      <c r="J203" s="20"/>
    </row>
    <row r="205">
      <c r="G205" s="67"/>
    </row>
    <row r="206">
      <c r="E206" s="20"/>
      <c r="F206" s="32"/>
      <c r="H206" s="23"/>
      <c r="I206" s="20"/>
      <c r="J206" s="23"/>
    </row>
    <row r="207">
      <c r="C207" s="20"/>
      <c r="D207" s="32"/>
      <c r="E207" s="20"/>
      <c r="H207" s="23"/>
      <c r="I207" s="20"/>
      <c r="J207" s="23"/>
    </row>
    <row r="208">
      <c r="C208" s="20"/>
      <c r="D208" s="27"/>
      <c r="E208" s="20"/>
    </row>
    <row r="209">
      <c r="C209" s="20"/>
      <c r="D209" s="32"/>
      <c r="E209" s="20"/>
      <c r="G209" s="9"/>
    </row>
    <row r="210">
      <c r="C210" s="20"/>
      <c r="D210" s="27"/>
      <c r="E210" s="20"/>
      <c r="H210" s="23"/>
      <c r="I210" s="20"/>
      <c r="J210" s="23"/>
    </row>
    <row r="211">
      <c r="E211" s="20"/>
      <c r="H211" s="23"/>
      <c r="I211" s="20"/>
      <c r="J211" s="23"/>
    </row>
    <row r="212">
      <c r="C212" s="20"/>
      <c r="D212" s="27"/>
      <c r="E212" s="20"/>
      <c r="F212" s="20"/>
      <c r="H212" s="23"/>
      <c r="I212" s="20"/>
      <c r="J212" s="23"/>
    </row>
    <row r="213">
      <c r="C213" s="20"/>
      <c r="D213" s="27"/>
      <c r="H213" s="23"/>
      <c r="I213" s="20"/>
      <c r="J213" s="23"/>
    </row>
    <row r="214">
      <c r="C214" s="20"/>
      <c r="D214" s="20"/>
      <c r="E214" s="20"/>
      <c r="F214" s="32"/>
    </row>
    <row r="215">
      <c r="C215" s="20"/>
      <c r="D215" s="27"/>
      <c r="E215" s="20"/>
      <c r="F215" s="27"/>
    </row>
    <row r="216">
      <c r="C216" s="20"/>
      <c r="D216" s="27"/>
      <c r="E216" s="20"/>
      <c r="F216" s="32"/>
    </row>
    <row r="217">
      <c r="C217" s="20"/>
      <c r="D217" s="23"/>
      <c r="E217" s="20"/>
      <c r="F217" s="27"/>
    </row>
    <row r="218">
      <c r="E218" s="20"/>
      <c r="F218" s="32"/>
    </row>
    <row r="219">
      <c r="D219" s="27"/>
      <c r="E219" s="20"/>
      <c r="F219" s="32"/>
    </row>
    <row r="220">
      <c r="C220" s="20"/>
      <c r="E220" s="20"/>
    </row>
    <row r="221">
      <c r="E221" s="20"/>
    </row>
    <row r="222">
      <c r="C222" s="20"/>
      <c r="D222" s="27"/>
      <c r="E222" s="20"/>
    </row>
    <row r="223">
      <c r="C223" s="20"/>
      <c r="D223" s="27"/>
      <c r="E223" s="20"/>
      <c r="F223" s="32"/>
    </row>
    <row r="224">
      <c r="C224" s="20"/>
      <c r="D224" s="27"/>
      <c r="E224" s="20"/>
    </row>
    <row r="226">
      <c r="C226" s="20"/>
    </row>
    <row r="227">
      <c r="C227" s="20"/>
      <c r="E227" s="20"/>
      <c r="F227" s="20"/>
    </row>
    <row r="228">
      <c r="C228" s="20"/>
      <c r="D228" s="27"/>
      <c r="E228" s="20"/>
      <c r="F228" s="20"/>
    </row>
    <row r="229">
      <c r="C229" s="20"/>
      <c r="E229" s="20"/>
      <c r="F229" s="20"/>
    </row>
    <row r="233">
      <c r="C233" s="20"/>
      <c r="D233" s="27"/>
    </row>
    <row r="234">
      <c r="C234" s="20"/>
      <c r="D234" s="27"/>
    </row>
    <row r="235">
      <c r="C235" s="20"/>
      <c r="D235" s="27"/>
    </row>
    <row r="236">
      <c r="C236" s="20"/>
      <c r="D236" s="27"/>
    </row>
    <row r="237">
      <c r="C237" s="20"/>
      <c r="D237" s="27"/>
    </row>
    <row r="238">
      <c r="C238" s="20"/>
      <c r="D238" s="27"/>
    </row>
    <row r="239">
      <c r="C239" s="20"/>
      <c r="D239" s="27"/>
    </row>
    <row r="240">
      <c r="C240" s="20"/>
      <c r="D240" s="27"/>
    </row>
    <row r="241">
      <c r="C241" s="20"/>
      <c r="D241" s="27"/>
    </row>
    <row r="242">
      <c r="C242" s="20"/>
      <c r="D242" s="32"/>
    </row>
    <row r="243">
      <c r="C243" s="160"/>
      <c r="D243" s="158"/>
    </row>
    <row r="244">
      <c r="D244" s="23"/>
    </row>
    <row r="245">
      <c r="C245" s="20"/>
      <c r="D245" s="27"/>
    </row>
    <row r="246">
      <c r="C246" s="20"/>
      <c r="D246" s="27"/>
    </row>
    <row r="247">
      <c r="C247" s="20"/>
      <c r="D247" s="27"/>
    </row>
    <row r="248">
      <c r="C248" s="20"/>
      <c r="D248" s="27"/>
    </row>
    <row r="249">
      <c r="C249" s="160"/>
      <c r="D249" s="158"/>
    </row>
    <row r="250">
      <c r="D250" s="23"/>
    </row>
    <row r="251">
      <c r="D251" s="23"/>
    </row>
    <row r="252">
      <c r="C252" s="20"/>
      <c r="D252" s="27"/>
    </row>
    <row r="253">
      <c r="C253" s="20"/>
      <c r="D253" s="27"/>
    </row>
    <row r="254">
      <c r="C254" s="20"/>
      <c r="D254" s="27"/>
    </row>
    <row r="255">
      <c r="C255" s="20"/>
      <c r="D255" s="27"/>
    </row>
    <row r="256">
      <c r="C256" s="160"/>
      <c r="D256" s="146"/>
    </row>
    <row r="257">
      <c r="D257" s="23"/>
    </row>
    <row r="258">
      <c r="C258" s="20"/>
    </row>
    <row r="259">
      <c r="C259" s="20"/>
      <c r="D259" s="32"/>
    </row>
    <row r="260">
      <c r="C260" s="20"/>
      <c r="D260" s="9"/>
    </row>
    <row r="264">
      <c r="A264" s="9"/>
    </row>
    <row r="265">
      <c r="G265" s="9"/>
    </row>
    <row r="266">
      <c r="B266" s="23"/>
      <c r="C266" s="20"/>
      <c r="D266" s="23"/>
      <c r="G266" s="9"/>
      <c r="I266" s="20"/>
    </row>
    <row r="267">
      <c r="B267" s="27"/>
      <c r="C267" s="20"/>
      <c r="D267" s="27"/>
      <c r="E267" s="20"/>
      <c r="F267" s="23"/>
      <c r="H267" s="23"/>
      <c r="I267" s="20"/>
      <c r="J267" s="23"/>
    </row>
    <row r="268">
      <c r="B268" s="27"/>
      <c r="C268" s="20"/>
      <c r="D268" s="27"/>
      <c r="E268" s="20"/>
      <c r="F268" s="27"/>
      <c r="H268" s="23"/>
      <c r="I268" s="20"/>
      <c r="J268" s="23"/>
    </row>
    <row r="269">
      <c r="B269" s="27"/>
      <c r="C269" s="20"/>
      <c r="D269" s="27"/>
      <c r="E269" s="20"/>
      <c r="F269" s="27"/>
      <c r="H269" s="23"/>
      <c r="I269" s="20"/>
      <c r="J269" s="23"/>
    </row>
    <row r="270">
      <c r="B270" s="27"/>
      <c r="C270" s="20"/>
      <c r="D270" s="27"/>
      <c r="E270" s="20"/>
      <c r="F270" s="27"/>
      <c r="H270" s="23"/>
      <c r="I270" s="20"/>
      <c r="J270" s="23"/>
    </row>
    <row r="271">
      <c r="A271" s="9"/>
      <c r="B271" s="32"/>
      <c r="C271" s="20"/>
      <c r="D271" s="32"/>
      <c r="E271" s="20"/>
      <c r="F271" s="27"/>
      <c r="H271" s="20"/>
      <c r="I271" s="20"/>
      <c r="J271" s="20"/>
    </row>
    <row r="272">
      <c r="B272" s="32"/>
      <c r="C272" s="20"/>
      <c r="D272" s="32"/>
      <c r="E272" s="20"/>
      <c r="F272" s="27"/>
      <c r="H272" s="20"/>
      <c r="I272" s="20"/>
      <c r="J272" s="20"/>
    </row>
    <row r="273">
      <c r="B273" s="27"/>
      <c r="C273" s="20"/>
      <c r="D273" s="27"/>
      <c r="E273" s="20"/>
      <c r="F273" s="23"/>
      <c r="H273" s="23"/>
      <c r="I273" s="20"/>
      <c r="J273" s="23"/>
    </row>
    <row r="274">
      <c r="E274" s="20"/>
      <c r="F274" s="23"/>
      <c r="H274" s="23"/>
      <c r="I274" s="20"/>
      <c r="J274" s="23"/>
    </row>
    <row r="275">
      <c r="B275" s="23"/>
      <c r="C275" s="20"/>
      <c r="D275" s="23"/>
      <c r="E275" s="20"/>
      <c r="F275" s="27"/>
      <c r="H275" s="23"/>
      <c r="I275" s="20"/>
      <c r="J275" s="23"/>
    </row>
    <row r="276">
      <c r="B276" s="27"/>
      <c r="C276" s="20"/>
      <c r="D276" s="27"/>
      <c r="E276" s="20"/>
      <c r="F276" s="27"/>
      <c r="H276" s="20"/>
      <c r="I276" s="20"/>
      <c r="J276" s="20"/>
    </row>
    <row r="277">
      <c r="B277" s="27"/>
      <c r="C277" s="20"/>
      <c r="D277" s="27"/>
      <c r="E277" s="20"/>
      <c r="F277" s="27"/>
      <c r="G277" s="67"/>
    </row>
    <row r="278">
      <c r="B278" s="27"/>
      <c r="C278" s="20"/>
      <c r="D278" s="27"/>
      <c r="E278" s="20"/>
      <c r="F278" s="27"/>
      <c r="G278" s="67"/>
    </row>
    <row r="279">
      <c r="B279" s="27"/>
      <c r="C279" s="20"/>
      <c r="D279" s="27"/>
      <c r="F279" s="23"/>
      <c r="G279" s="9"/>
      <c r="I279" s="20"/>
    </row>
    <row r="280">
      <c r="A280" s="67"/>
      <c r="B280" s="32"/>
      <c r="C280" s="20"/>
      <c r="D280" s="32"/>
      <c r="E280" s="20"/>
      <c r="F280" s="23"/>
      <c r="G280" s="9"/>
      <c r="H280" s="20"/>
      <c r="I280" s="20"/>
      <c r="J280" s="20"/>
    </row>
    <row r="281">
      <c r="A281" s="67"/>
      <c r="B281" s="32"/>
      <c r="C281" s="20"/>
      <c r="D281" s="32"/>
      <c r="E281" s="20"/>
      <c r="F281" s="23"/>
      <c r="G281" s="9"/>
      <c r="H281" s="20"/>
      <c r="I281" s="20"/>
      <c r="J281" s="20"/>
    </row>
    <row r="282">
      <c r="A282" s="9"/>
      <c r="B282" s="32"/>
      <c r="C282" s="20"/>
      <c r="D282" s="32"/>
      <c r="E282" s="20"/>
      <c r="F282" s="23"/>
      <c r="G282" s="9"/>
      <c r="H282" s="20"/>
      <c r="I282" s="20"/>
      <c r="J282" s="20"/>
    </row>
    <row r="283">
      <c r="B283" s="32"/>
      <c r="C283" s="20"/>
      <c r="D283" s="32"/>
      <c r="E283" s="20"/>
      <c r="F283" s="23"/>
      <c r="G283" s="9"/>
      <c r="H283" s="27"/>
      <c r="I283" s="20"/>
      <c r="J283" s="27"/>
    </row>
    <row r="284">
      <c r="E284" s="20"/>
      <c r="F284" s="23"/>
      <c r="G284" s="9"/>
      <c r="H284" s="20"/>
      <c r="I284" s="20"/>
      <c r="J284" s="20"/>
    </row>
    <row r="285">
      <c r="B285" s="20"/>
      <c r="C285" s="20"/>
      <c r="D285" s="23"/>
      <c r="E285" s="20"/>
      <c r="F285" s="23"/>
      <c r="H285" s="23"/>
      <c r="I285" s="20"/>
      <c r="J285" s="23"/>
    </row>
    <row r="286">
      <c r="B286" s="23"/>
      <c r="C286" s="20"/>
      <c r="D286" s="23"/>
      <c r="E286" s="20"/>
      <c r="F286" s="23"/>
    </row>
    <row r="287">
      <c r="B287" s="23"/>
      <c r="C287" s="20"/>
      <c r="D287" s="23"/>
      <c r="F287" s="23"/>
      <c r="G287" s="67"/>
    </row>
    <row r="288">
      <c r="B288" s="23"/>
      <c r="D288" s="23"/>
      <c r="E288" s="20"/>
      <c r="F288" s="27"/>
      <c r="G288" s="9"/>
      <c r="H288" s="20"/>
      <c r="I288" s="20"/>
      <c r="J288" s="20"/>
    </row>
    <row r="289">
      <c r="B289" s="27"/>
      <c r="C289" s="20"/>
      <c r="D289" s="27"/>
      <c r="E289" s="20"/>
      <c r="F289" s="27"/>
      <c r="G289" s="9"/>
      <c r="H289" s="20"/>
      <c r="I289" s="20"/>
      <c r="J289" s="20"/>
    </row>
    <row r="290">
      <c r="B290" s="27"/>
      <c r="C290" s="20"/>
      <c r="D290" s="27"/>
      <c r="E290" s="20"/>
      <c r="F290" s="23"/>
      <c r="G290" s="9"/>
      <c r="H290" s="20"/>
      <c r="I290" s="20"/>
      <c r="J290" s="20"/>
    </row>
    <row r="291">
      <c r="B291" s="27"/>
      <c r="C291" s="20"/>
      <c r="D291" s="27"/>
      <c r="E291" s="20"/>
      <c r="G291" s="9"/>
      <c r="H291" s="20"/>
      <c r="I291" s="20"/>
      <c r="J291" s="20"/>
    </row>
    <row r="293">
      <c r="A293" s="67"/>
      <c r="G293" s="67"/>
    </row>
    <row r="294">
      <c r="E294" s="20"/>
      <c r="F294" s="32"/>
      <c r="H294" s="23"/>
      <c r="I294" s="20"/>
      <c r="J294" s="23"/>
    </row>
    <row r="295">
      <c r="B295" s="32"/>
      <c r="C295" s="20"/>
      <c r="D295" s="32"/>
      <c r="E295" s="20"/>
      <c r="H295" s="23"/>
      <c r="I295" s="20"/>
      <c r="J295" s="23"/>
    </row>
    <row r="296">
      <c r="A296" s="9"/>
      <c r="B296" s="27"/>
      <c r="C296" s="20"/>
      <c r="D296" s="27"/>
      <c r="E296" s="20"/>
    </row>
    <row r="297">
      <c r="B297" s="32"/>
      <c r="C297" s="20"/>
      <c r="D297" s="32"/>
      <c r="E297" s="20"/>
      <c r="G297" s="9"/>
    </row>
    <row r="298">
      <c r="A298" s="9"/>
      <c r="B298" s="27"/>
      <c r="C298" s="20"/>
      <c r="D298" s="27"/>
      <c r="E298" s="20"/>
      <c r="H298" s="23"/>
      <c r="I298" s="20"/>
      <c r="J298" s="23"/>
    </row>
    <row r="299">
      <c r="A299" s="67"/>
      <c r="E299" s="20"/>
      <c r="H299" s="23"/>
      <c r="I299" s="20"/>
      <c r="J299" s="23"/>
    </row>
    <row r="300">
      <c r="B300" s="27"/>
      <c r="C300" s="20"/>
      <c r="D300" s="27"/>
      <c r="E300" s="20"/>
      <c r="F300" s="20"/>
      <c r="H300" s="23"/>
      <c r="I300" s="20"/>
      <c r="J300" s="23"/>
    </row>
    <row r="301">
      <c r="B301" s="27"/>
      <c r="C301" s="20"/>
      <c r="D301" s="27"/>
      <c r="H301" s="23"/>
      <c r="I301" s="20"/>
      <c r="J301" s="23"/>
    </row>
    <row r="302">
      <c r="B302" s="20"/>
      <c r="C302" s="20"/>
      <c r="D302" s="20"/>
      <c r="E302" s="20"/>
      <c r="F302" s="32"/>
    </row>
    <row r="303">
      <c r="B303" s="27"/>
      <c r="C303" s="20"/>
      <c r="D303" s="27"/>
      <c r="E303" s="20"/>
      <c r="F303" s="27"/>
    </row>
    <row r="304">
      <c r="B304" s="27"/>
      <c r="C304" s="20"/>
      <c r="D304" s="27"/>
      <c r="E304" s="20"/>
      <c r="F304" s="32"/>
    </row>
    <row r="305">
      <c r="B305" s="23"/>
      <c r="C305" s="20"/>
      <c r="D305" s="23"/>
      <c r="E305" s="20"/>
      <c r="F305" s="27"/>
    </row>
    <row r="306">
      <c r="E306" s="20"/>
      <c r="F306" s="32"/>
    </row>
    <row r="307">
      <c r="B307" s="27"/>
      <c r="D307" s="27"/>
      <c r="E307" s="20"/>
      <c r="F307" s="32"/>
    </row>
    <row r="308">
      <c r="A308" s="9"/>
      <c r="C308" s="20"/>
      <c r="E308" s="20"/>
    </row>
    <row r="309">
      <c r="E309" s="20"/>
    </row>
    <row r="310">
      <c r="B310" s="27"/>
      <c r="C310" s="20"/>
      <c r="D310" s="27"/>
      <c r="E310" s="20"/>
    </row>
    <row r="311">
      <c r="B311" s="27"/>
      <c r="C311" s="20"/>
      <c r="D311" s="27"/>
      <c r="E311" s="20"/>
      <c r="F311" s="32"/>
    </row>
    <row r="312">
      <c r="B312" s="27"/>
      <c r="C312" s="20"/>
      <c r="D312" s="27"/>
      <c r="E312" s="20"/>
    </row>
    <row r="314">
      <c r="A314" s="9"/>
      <c r="C314" s="20"/>
    </row>
    <row r="315">
      <c r="C315" s="20"/>
      <c r="E315" s="20"/>
      <c r="F315" s="20"/>
    </row>
    <row r="316">
      <c r="B316" s="27"/>
      <c r="C316" s="20"/>
      <c r="D316" s="27"/>
      <c r="E316" s="20"/>
      <c r="F316" s="20"/>
    </row>
    <row r="317">
      <c r="A317" s="9"/>
      <c r="C317" s="20"/>
      <c r="E317" s="20"/>
      <c r="F317" s="20"/>
    </row>
    <row r="319">
      <c r="A319" s="9"/>
    </row>
    <row r="320">
      <c r="A320" s="67"/>
    </row>
    <row r="321">
      <c r="B321" s="27"/>
      <c r="C321" s="20"/>
      <c r="D321" s="27"/>
    </row>
    <row r="322">
      <c r="A322" s="150"/>
      <c r="B322" s="27"/>
      <c r="C322" s="20"/>
      <c r="D322" s="27"/>
    </row>
    <row r="323">
      <c r="B323" s="27"/>
      <c r="C323" s="20"/>
      <c r="D323" s="27"/>
    </row>
    <row r="324">
      <c r="B324" s="27"/>
      <c r="C324" s="20"/>
      <c r="D324" s="27"/>
    </row>
    <row r="325">
      <c r="A325" s="9"/>
      <c r="B325" s="27"/>
      <c r="C325" s="20"/>
      <c r="D325" s="27"/>
    </row>
    <row r="326">
      <c r="B326" s="27"/>
      <c r="C326" s="20"/>
      <c r="D326" s="27"/>
    </row>
    <row r="327">
      <c r="B327" s="27"/>
      <c r="C327" s="20"/>
      <c r="D327" s="27"/>
    </row>
    <row r="328">
      <c r="B328" s="27"/>
      <c r="C328" s="20"/>
      <c r="D328" s="27"/>
    </row>
    <row r="329">
      <c r="B329" s="27"/>
      <c r="C329" s="20"/>
      <c r="D329" s="27"/>
    </row>
    <row r="330">
      <c r="C330" s="20"/>
      <c r="D330" s="32"/>
    </row>
    <row r="331">
      <c r="A331" s="67"/>
      <c r="B331" s="158"/>
      <c r="C331" s="160"/>
      <c r="D331" s="158"/>
    </row>
    <row r="332">
      <c r="B332" s="23"/>
      <c r="D332" s="23"/>
    </row>
    <row r="333">
      <c r="B333" s="27"/>
      <c r="C333" s="20"/>
      <c r="D333" s="27"/>
    </row>
    <row r="334">
      <c r="B334" s="27"/>
      <c r="C334" s="20"/>
      <c r="D334" s="27"/>
    </row>
    <row r="335">
      <c r="B335" s="27"/>
      <c r="C335" s="20"/>
      <c r="D335" s="27"/>
    </row>
    <row r="336">
      <c r="B336" s="27"/>
      <c r="C336" s="20"/>
      <c r="D336" s="27"/>
    </row>
    <row r="337">
      <c r="A337" s="67"/>
      <c r="B337" s="158"/>
      <c r="C337" s="160"/>
      <c r="D337" s="158"/>
    </row>
    <row r="338">
      <c r="B338" s="23"/>
      <c r="D338" s="23"/>
    </row>
    <row r="339">
      <c r="B339" s="27"/>
      <c r="D339" s="23"/>
    </row>
    <row r="340">
      <c r="B340" s="27"/>
      <c r="C340" s="20"/>
      <c r="D340" s="27"/>
    </row>
    <row r="341">
      <c r="B341" s="27"/>
      <c r="C341" s="20"/>
      <c r="D341" s="27"/>
    </row>
    <row r="342">
      <c r="B342" s="27"/>
      <c r="C342" s="20"/>
      <c r="D342" s="27"/>
    </row>
    <row r="343">
      <c r="B343" s="27"/>
      <c r="C343" s="20"/>
      <c r="D343" s="27"/>
    </row>
    <row r="344">
      <c r="A344" s="67"/>
      <c r="B344" s="146"/>
      <c r="C344" s="160"/>
      <c r="D344" s="146"/>
    </row>
    <row r="345">
      <c r="B345" s="23"/>
      <c r="D345" s="23"/>
    </row>
    <row r="346">
      <c r="A346" s="9"/>
      <c r="C346" s="20"/>
    </row>
    <row r="347">
      <c r="B347" s="32"/>
      <c r="C347" s="20"/>
      <c r="D347" s="32"/>
    </row>
    <row r="348">
      <c r="B348" s="9"/>
      <c r="C348" s="20"/>
      <c r="D348" s="9"/>
    </row>
  </sheetData>
  <mergeCells count="1">
    <mergeCell ref="Q11:R11"/>
  </mergeCells>
  <dataValidations>
    <dataValidation type="list" allowBlank="1" showErrorMessage="1" sqref="B1 D1 F1 H1">
      <formula1>"Feito,Não,Atual"</formula1>
    </dataValidation>
    <dataValidation type="custom" allowBlank="1" showDropDown="1" sqref="K32:K40 M32:N40">
      <formula1>AND(ISNUMBER(K32),(NOT(OR(NOT(ISERROR(DATEVALUE(K32))), AND(ISNUMBER(K32), LEFT(CELL("format", K32))="D")))))</formula1>
    </dataValidation>
  </dataValidations>
  <drawing r:id="rId2"/>
  <legacyDrawing r:id="rId3"/>
  <tableParts count="2">
    <tablePart r:id="rId6"/>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2" width="18.0"/>
    <col customWidth="1" min="3" max="3" width="9.88"/>
    <col customWidth="1" min="4" max="4" width="15.63"/>
    <col customWidth="1" min="5" max="5" width="20.88"/>
    <col customWidth="1" min="6" max="6" width="16.0"/>
    <col customWidth="1" min="7" max="7" width="12.5"/>
    <col customWidth="1" min="8" max="8" width="15.63"/>
    <col customWidth="1" min="9" max="9" width="18.75"/>
    <col customWidth="1" min="10" max="10" width="22.5"/>
    <col customWidth="1" min="11" max="11" width="20.75"/>
    <col customWidth="1" min="12" max="12" width="22.0"/>
    <col customWidth="1" min="13" max="13" width="28.75"/>
    <col customWidth="1" min="14" max="14" width="28.13"/>
    <col customWidth="1" min="15" max="15" width="34.25"/>
    <col customWidth="1" min="16" max="16" width="19.0"/>
    <col customWidth="1" min="17" max="17" width="22.88"/>
    <col customWidth="1" min="18" max="18" width="22.25"/>
    <col customWidth="1" min="19" max="19" width="26.0"/>
    <col customWidth="1" min="20" max="20" width="21.25"/>
    <col customWidth="1" min="21" max="21" width="24.38"/>
  </cols>
  <sheetData>
    <row r="1">
      <c r="A1" s="1"/>
      <c r="B1" s="2" t="s">
        <v>1</v>
      </c>
      <c r="C1" s="3">
        <v>46058.0</v>
      </c>
      <c r="D1" s="2" t="s">
        <v>2</v>
      </c>
      <c r="E1" s="4">
        <v>46233.0</v>
      </c>
      <c r="F1" s="2" t="s">
        <v>3</v>
      </c>
      <c r="G1" s="3">
        <v>46058.0</v>
      </c>
      <c r="H1" s="2" t="s">
        <v>3</v>
      </c>
      <c r="I1" s="3">
        <v>46058.0</v>
      </c>
      <c r="J1" s="5" t="s">
        <v>4</v>
      </c>
      <c r="K1" s="181">
        <f t="array" ref="K1">IFERROR(INDEX('Indicadores_Ações'!$A$10:$L$23, MATCH($J$2, 'Indicadores_Ações'!$A$10:$A$23, 0), MATCH('Indicadores_Ações'!$B$9, 'Indicadores_Ações'!$A$9:$L$9, 0)),"")</f>
        <v>46203</v>
      </c>
      <c r="L1" s="79"/>
      <c r="M1" s="79"/>
      <c r="N1" s="9"/>
      <c r="O1" s="9"/>
      <c r="P1" s="9"/>
      <c r="Q1" s="9"/>
    </row>
    <row r="2">
      <c r="A2" s="10" t="s">
        <v>5</v>
      </c>
      <c r="B2" s="9"/>
      <c r="D2" s="9"/>
      <c r="J2" s="11" t="s">
        <v>238</v>
      </c>
      <c r="K2" s="170">
        <f>IFERROR(__xludf.DUMMYFUNCTION("(GOOGLEFINANCE(""BVMF:"" &amp; J2))"),77.84)</f>
        <v>77.84</v>
      </c>
      <c r="L2" s="13">
        <f t="array" ref="L2">IFERROR(INDEX(Indicador_Ações[], MATCH($J$2, Indicador_Ações[Stock], 0), MATCH(Indicador_Ações[[#HEADERS],[qtd_acao]], Indicador_Ações[#HEADERS], 0)),"")</f>
        <v>4439160000</v>
      </c>
      <c r="M2" s="15" t="s">
        <v>10</v>
      </c>
    </row>
    <row r="3">
      <c r="A3" s="9" t="s">
        <v>11</v>
      </c>
      <c r="B3" s="9" t="s">
        <v>12</v>
      </c>
      <c r="C3" s="9" t="s">
        <v>13</v>
      </c>
      <c r="D3" s="9" t="s">
        <v>14</v>
      </c>
      <c r="E3" s="9" t="s">
        <v>15</v>
      </c>
      <c r="F3" s="9" t="s">
        <v>16</v>
      </c>
      <c r="G3" s="9" t="s">
        <v>17</v>
      </c>
      <c r="H3" s="9" t="s">
        <v>18</v>
      </c>
      <c r="J3" s="17" t="s">
        <v>19</v>
      </c>
      <c r="K3" s="178">
        <v>1000000.0</v>
      </c>
      <c r="L3" s="19">
        <f>IFERROR(K23/K14,0)</f>
        <v>0.1861979465</v>
      </c>
      <c r="M3" s="51" t="s">
        <v>241</v>
      </c>
      <c r="N3" s="9" t="s">
        <v>21</v>
      </c>
      <c r="P3" s="21"/>
      <c r="Q3" s="22"/>
      <c r="R3" s="21"/>
      <c r="S3" s="22"/>
      <c r="T3" s="21"/>
      <c r="U3" s="22"/>
      <c r="V3" s="21"/>
    </row>
    <row r="4">
      <c r="A4" s="9" t="s">
        <v>24</v>
      </c>
      <c r="B4" s="23">
        <f>B5+B6</f>
        <v>457173</v>
      </c>
      <c r="C4" s="20">
        <f t="shared" ref="C4:C6" si="1">IFERROR(SUM((D4/B4)-1),0)</f>
        <v>0.01091053059</v>
      </c>
      <c r="D4" s="23">
        <f>D5+D6</f>
        <v>462161</v>
      </c>
      <c r="E4" s="20">
        <f t="shared" ref="E4:E6" si="2">IFERROR(SUM((F4/D4)-1),0)</f>
        <v>0.0493161474</v>
      </c>
      <c r="F4" s="23">
        <f>F5+F6</f>
        <v>484953</v>
      </c>
      <c r="G4" s="20">
        <f t="shared" ref="G4:G6" si="3">IFERROR(SUM((H4/F4)-1),0)</f>
        <v>-0.01826774966</v>
      </c>
      <c r="H4" s="23">
        <f>H5+H6</f>
        <v>476094</v>
      </c>
      <c r="J4" s="179" t="s">
        <v>25</v>
      </c>
      <c r="K4" s="26">
        <f t="array" ref="K4">IFERROR(INDEX(Indicador_Ações[], MATCH($J$2, Indicador_Ações[Stock], 0), MATCH(Indicador_Ações[[#HEADERS],[ativo]], Indicador_Ações[#HEADERS], 0)),"")</f>
        <v>462161000000</v>
      </c>
      <c r="L4" s="19">
        <f>IFERROR(K19/K14,0)</f>
        <v>0.3425888136</v>
      </c>
      <c r="M4" s="22" t="s">
        <v>26</v>
      </c>
      <c r="N4" s="9" t="s">
        <v>27</v>
      </c>
      <c r="O4" s="32">
        <v>0.0</v>
      </c>
      <c r="P4" s="28"/>
      <c r="Q4" s="19"/>
      <c r="R4" s="28"/>
      <c r="S4" s="19"/>
      <c r="T4" s="28"/>
      <c r="U4" s="19"/>
      <c r="V4" s="28"/>
    </row>
    <row r="5">
      <c r="A5" s="9" t="s">
        <v>28</v>
      </c>
      <c r="B5" s="27">
        <v>87427.0</v>
      </c>
      <c r="C5" s="20">
        <f t="shared" si="1"/>
        <v>0.04556944651</v>
      </c>
      <c r="D5" s="27">
        <v>91411.0</v>
      </c>
      <c r="E5" s="20">
        <f t="shared" si="2"/>
        <v>-0.04079377755</v>
      </c>
      <c r="F5" s="27">
        <v>87682.0</v>
      </c>
      <c r="G5" s="20">
        <f t="shared" si="3"/>
        <v>0.147841062</v>
      </c>
      <c r="H5" s="27">
        <v>100645.0</v>
      </c>
      <c r="J5" s="22" t="s">
        <v>29</v>
      </c>
      <c r="K5" s="29">
        <f>K2*L2</f>
        <v>345544214400</v>
      </c>
      <c r="L5" s="19">
        <f>IFERROR(K16/K14,0)</f>
        <v>0.3324223067</v>
      </c>
      <c r="M5" s="22" t="s">
        <v>30</v>
      </c>
      <c r="N5" s="9" t="s">
        <v>32</v>
      </c>
      <c r="O5" s="27">
        <v>9143.0</v>
      </c>
      <c r="P5" s="30"/>
      <c r="Q5" s="19"/>
      <c r="R5" s="31"/>
      <c r="S5" s="19"/>
      <c r="T5" s="30"/>
      <c r="U5" s="19"/>
      <c r="V5" s="30"/>
    </row>
    <row r="6">
      <c r="A6" s="9" t="s">
        <v>33</v>
      </c>
      <c r="B6" s="27">
        <v>369746.0</v>
      </c>
      <c r="C6" s="20">
        <f t="shared" si="1"/>
        <v>0.002715377584</v>
      </c>
      <c r="D6" s="27">
        <v>370750.0</v>
      </c>
      <c r="E6" s="20">
        <f t="shared" si="2"/>
        <v>0.07153337829</v>
      </c>
      <c r="F6" s="27">
        <v>397271.0</v>
      </c>
      <c r="G6" s="20">
        <f t="shared" si="3"/>
        <v>-0.05492975828</v>
      </c>
      <c r="H6" s="27">
        <v>375449.0</v>
      </c>
      <c r="J6" s="25" t="s">
        <v>34</v>
      </c>
      <c r="K6" s="26">
        <f>SUM(K5,K10)</f>
        <v>413736214400</v>
      </c>
      <c r="L6" s="19">
        <f>IFERROR(K17/K14,0)</f>
        <v>0.417372483</v>
      </c>
      <c r="M6" s="51" t="s">
        <v>255</v>
      </c>
      <c r="N6" s="9" t="s">
        <v>39</v>
      </c>
      <c r="O6" s="23">
        <f>SUM(O4:O5)</f>
        <v>9143</v>
      </c>
      <c r="P6" s="28"/>
    </row>
    <row r="7">
      <c r="B7" s="27"/>
      <c r="C7" s="20"/>
      <c r="D7" s="27"/>
      <c r="E7" s="20"/>
      <c r="F7" s="27"/>
      <c r="G7" s="20"/>
      <c r="H7" s="27"/>
      <c r="J7" s="22" t="s">
        <v>36</v>
      </c>
      <c r="K7" s="29">
        <f t="array" ref="K7">IFERROR(INDEX(Indicador_Ações[], MATCH($J$2, Indicador_Ações[Stock], 0), MATCH(Indicador_Ações[[#HEADERS],[disponibilidades]], Indicador_Ações[#HEADERS], 0)),"")</f>
        <v>29842000000</v>
      </c>
      <c r="L7" s="28">
        <f>K23/L2</f>
        <v>9.146775516</v>
      </c>
      <c r="M7" s="9" t="s">
        <v>259</v>
      </c>
      <c r="N7" s="9" t="s">
        <v>44</v>
      </c>
      <c r="O7" s="44">
        <f>ABS(SUM(B55,D55,F55,H55)/SUM(B54,D54,F54,H54))</f>
        <v>0.5575244446</v>
      </c>
      <c r="P7" s="52"/>
    </row>
    <row r="8">
      <c r="A8" s="9" t="s">
        <v>42</v>
      </c>
      <c r="B8" s="27">
        <v>32020.0</v>
      </c>
      <c r="C8" s="20">
        <f t="shared" ref="C8:C11" si="4">IFERROR(SUM((D8/B8)-1),0)</f>
        <v>0.0126171143</v>
      </c>
      <c r="D8" s="27">
        <v>32424.0</v>
      </c>
      <c r="E8" s="20">
        <f t="shared" ref="E8:E11" si="5">IFERROR(SUM((F8/D8)-1),0)</f>
        <v>-0.08688008882</v>
      </c>
      <c r="F8" s="27">
        <v>29607.0</v>
      </c>
      <c r="G8" s="20">
        <f t="shared" ref="G8:G11" si="6">IFERROR(SUM((H8/F8)-1),0)</f>
        <v>0.1033201608</v>
      </c>
      <c r="H8" s="27">
        <v>32666.0</v>
      </c>
      <c r="J8" s="25" t="s">
        <v>43</v>
      </c>
      <c r="K8" s="45">
        <f t="array" ref="K8">IFERROR(INDEX(Indicador_Ações[], MATCH($J$2, Indicador_Ações[Stock], 0), MATCH(Indicador_Ações[[#HEADERS],[patrimonio_liquido]], Indicador_Ações[#HEADERS], 0)),"")</f>
        <v>196635000000</v>
      </c>
      <c r="L8" s="142">
        <f t="array" ref="L8">IFERROR(INDEX(O6*K3,0)/L2,"")</f>
        <v>2.059623893</v>
      </c>
      <c r="M8" s="9" t="s">
        <v>46</v>
      </c>
      <c r="N8" s="9" t="s">
        <v>50</v>
      </c>
      <c r="O8" s="21">
        <f>K16*(1-O7)</f>
        <v>32075495486</v>
      </c>
      <c r="P8" s="47"/>
      <c r="Q8" s="118"/>
      <c r="R8" s="47"/>
    </row>
    <row r="9">
      <c r="A9" s="43" t="s">
        <v>47</v>
      </c>
      <c r="B9" s="42">
        <v>26540.0</v>
      </c>
      <c r="C9" s="48">
        <f t="shared" si="4"/>
        <v>0.08782969103</v>
      </c>
      <c r="D9" s="42">
        <v>28871.0</v>
      </c>
      <c r="E9" s="48">
        <f t="shared" si="5"/>
        <v>0.08728481868</v>
      </c>
      <c r="F9" s="42">
        <v>31391.0</v>
      </c>
      <c r="G9" s="48">
        <f t="shared" si="6"/>
        <v>0.2921856583</v>
      </c>
      <c r="H9" s="42">
        <v>40563.0</v>
      </c>
      <c r="J9" s="22" t="s">
        <v>48</v>
      </c>
      <c r="K9" s="50">
        <f t="array" ref="K9">IFERROR(INDEX(Indicador_Ações[], MATCH($J$2, Indicador_Ações[Stock], 0), MATCH(Indicador_Ações[[#HEADERS],[divida_bruta]], Indicador_Ações[#HEADERS], 0)),"")</f>
        <v>98034000000</v>
      </c>
      <c r="L9" s="20">
        <f>L8/L7</f>
        <v>0.2251748596</v>
      </c>
      <c r="M9" s="9" t="s">
        <v>234</v>
      </c>
      <c r="N9" s="23"/>
      <c r="O9" s="21"/>
      <c r="P9" s="28"/>
      <c r="Q9" s="19"/>
      <c r="R9" s="28"/>
    </row>
    <row r="10">
      <c r="A10" s="9" t="s">
        <v>51</v>
      </c>
      <c r="B10" s="27">
        <v>1012.0</v>
      </c>
      <c r="C10" s="20">
        <f t="shared" si="4"/>
        <v>-0.04051383399</v>
      </c>
      <c r="D10" s="27">
        <v>971.0</v>
      </c>
      <c r="E10" s="20">
        <f t="shared" si="5"/>
        <v>0.03192584964</v>
      </c>
      <c r="F10" s="27">
        <v>1002.0</v>
      </c>
      <c r="G10" s="20">
        <f t="shared" si="6"/>
        <v>0.06387225549</v>
      </c>
      <c r="H10" s="27">
        <v>1066.0</v>
      </c>
      <c r="J10" s="25" t="s">
        <v>52</v>
      </c>
      <c r="K10" s="45">
        <f>K9-K7</f>
        <v>68192000000</v>
      </c>
      <c r="L10" s="28">
        <f>IFERROR(K14/K4,0)</f>
        <v>0.4718463912</v>
      </c>
      <c r="M10" s="22" t="s">
        <v>53</v>
      </c>
      <c r="N10" s="20"/>
      <c r="O10" s="51"/>
      <c r="P10" s="53"/>
      <c r="Q10" s="19"/>
      <c r="R10" s="53"/>
    </row>
    <row r="11">
      <c r="A11" s="9" t="s">
        <v>54</v>
      </c>
      <c r="B11" s="27">
        <f>SUM(B9,B10)</f>
        <v>27552</v>
      </c>
      <c r="C11" s="20">
        <f t="shared" si="4"/>
        <v>0.0831155633</v>
      </c>
      <c r="D11" s="27">
        <f>SUM(D9,D10)</f>
        <v>29842</v>
      </c>
      <c r="E11" s="20">
        <f t="shared" si="5"/>
        <v>0.08548354668</v>
      </c>
      <c r="F11" s="27">
        <f>SUM(F9,F10)</f>
        <v>32393</v>
      </c>
      <c r="G11" s="20">
        <f t="shared" si="6"/>
        <v>0.2851233291</v>
      </c>
      <c r="H11" s="27">
        <f>SUM(H9,H10)</f>
        <v>41629</v>
      </c>
      <c r="J11" s="22" t="s">
        <v>56</v>
      </c>
      <c r="K11" s="29">
        <f>SUM(K8,K9)</f>
        <v>294669000000</v>
      </c>
      <c r="L11" s="19">
        <f>IFERROR(K23/K8,0)</f>
        <v>0.206494266</v>
      </c>
      <c r="M11" s="21" t="s">
        <v>57</v>
      </c>
      <c r="N11" s="142"/>
      <c r="P11" s="53"/>
      <c r="Q11" s="19"/>
      <c r="R11" s="53"/>
    </row>
    <row r="12">
      <c r="A12" s="56"/>
      <c r="B12" s="57"/>
      <c r="C12" s="58"/>
      <c r="D12" s="57"/>
      <c r="E12" s="58"/>
      <c r="F12" s="57"/>
      <c r="G12" s="58"/>
      <c r="H12" s="57"/>
      <c r="J12" s="25" t="s">
        <v>58</v>
      </c>
      <c r="K12" s="59">
        <f>K9/K11</f>
        <v>0.3326919357</v>
      </c>
      <c r="L12" s="19">
        <f>O8/K11</f>
        <v>0.1088526295</v>
      </c>
      <c r="M12" s="22" t="s">
        <v>59</v>
      </c>
      <c r="N12" s="23"/>
      <c r="P12" s="53"/>
      <c r="Q12" s="19"/>
      <c r="R12" s="53"/>
    </row>
    <row r="13">
      <c r="A13" s="9" t="s">
        <v>60</v>
      </c>
      <c r="B13" s="23">
        <f>SUM(B14+B15)</f>
        <v>261258</v>
      </c>
      <c r="C13" s="20">
        <f t="shared" ref="C13:C19" si="7">IFERROR(SUM((D13/B13)-1),0)</f>
        <v>-0.002158785568</v>
      </c>
      <c r="D13" s="23">
        <f>SUM(D14+D15)</f>
        <v>260694</v>
      </c>
      <c r="E13" s="20">
        <f t="shared" ref="E13:E19" si="8">IFERROR(SUM((F13/D13)-1),0)</f>
        <v>-0.001818223665</v>
      </c>
      <c r="F13" s="23">
        <f>SUM(F14+F15)</f>
        <v>260220</v>
      </c>
      <c r="G13" s="20">
        <f t="shared" ref="G13:G19" si="9">IFERROR(SUM((H13/F13)-1),0)</f>
        <v>0.1035585274</v>
      </c>
      <c r="H13" s="23">
        <f>SUM(H14+H15)</f>
        <v>287168</v>
      </c>
      <c r="J13" s="17" t="s">
        <v>61</v>
      </c>
      <c r="K13" s="17"/>
      <c r="L13" s="19">
        <f>IFERROR(K23/K4,0)</f>
        <v>0.08785682911</v>
      </c>
      <c r="M13" s="51" t="s">
        <v>305</v>
      </c>
      <c r="N13" s="20"/>
      <c r="P13" s="53"/>
      <c r="Q13" s="19"/>
      <c r="R13" s="53"/>
    </row>
    <row r="14">
      <c r="A14" s="9" t="s">
        <v>63</v>
      </c>
      <c r="B14" s="27">
        <v>70512.0</v>
      </c>
      <c r="C14" s="20">
        <f t="shared" si="7"/>
        <v>0.08780065804</v>
      </c>
      <c r="D14" s="27">
        <v>76703.0</v>
      </c>
      <c r="E14" s="20">
        <f t="shared" si="8"/>
        <v>-0.07617694223</v>
      </c>
      <c r="F14" s="27">
        <v>70860.0</v>
      </c>
      <c r="G14" s="20">
        <f t="shared" si="9"/>
        <v>0.2322890206</v>
      </c>
      <c r="H14" s="27">
        <v>87320.0</v>
      </c>
      <c r="J14" s="24" t="s">
        <v>67</v>
      </c>
      <c r="K14" s="45">
        <f t="array" ref="K14">IFERROR(INDEX(Indicador_Ações[], MATCH($J$2, Indicador_Ações[Stock], 0), MATCH(Indicador_Ações[[#HEADERS],[receita_liquida_12m]], Indicador_Ações[#HEADERS], 0)),"")</f>
        <v>218069000000</v>
      </c>
      <c r="L14" s="28">
        <f>K6/K17</f>
        <v>4.545752553</v>
      </c>
      <c r="M14" s="51" t="s">
        <v>310</v>
      </c>
      <c r="N14" s="20"/>
    </row>
    <row r="15">
      <c r="A15" s="9" t="s">
        <v>66</v>
      </c>
      <c r="B15" s="27">
        <v>190746.0</v>
      </c>
      <c r="C15" s="20">
        <f t="shared" si="7"/>
        <v>-0.03541358665</v>
      </c>
      <c r="D15" s="27">
        <v>183991.0</v>
      </c>
      <c r="E15" s="20">
        <f t="shared" si="8"/>
        <v>0.02918077515</v>
      </c>
      <c r="F15" s="27">
        <v>189360.0</v>
      </c>
      <c r="G15" s="20">
        <f t="shared" si="9"/>
        <v>0.05538656527</v>
      </c>
      <c r="H15" s="27">
        <v>199848.0</v>
      </c>
      <c r="J15" s="62" t="s">
        <v>71</v>
      </c>
      <c r="K15" s="63">
        <f t="array" ref="K15">IFERROR(INDEX(Indicador_Ações[], MATCH($J$2, Indicador_Ações[Stock], 0), MATCH(Indicador_Ações[[#HEADERS],[cagr_receita_5a]], Indicador_Ações[#HEADERS], 0)),"")</f>
        <v>-2.4</v>
      </c>
      <c r="L15" s="19">
        <f>K17/K6</f>
        <v>0.2199855774</v>
      </c>
      <c r="M15" s="51" t="s">
        <v>314</v>
      </c>
      <c r="N15" s="124"/>
      <c r="O15" s="118"/>
      <c r="P15" s="183"/>
      <c r="Q15" s="21"/>
    </row>
    <row r="16">
      <c r="A16" s="9" t="s">
        <v>70</v>
      </c>
      <c r="B16" s="27">
        <v>3117.0</v>
      </c>
      <c r="C16" s="20">
        <f t="shared" si="7"/>
        <v>0.815527751</v>
      </c>
      <c r="D16" s="27">
        <v>5659.0</v>
      </c>
      <c r="E16" s="20">
        <f t="shared" si="8"/>
        <v>-0.5585792543</v>
      </c>
      <c r="F16" s="27">
        <v>2498.0</v>
      </c>
      <c r="G16" s="20">
        <f t="shared" si="9"/>
        <v>0.1397117694</v>
      </c>
      <c r="H16" s="27">
        <v>2847.0</v>
      </c>
      <c r="J16" s="9" t="s">
        <v>76</v>
      </c>
      <c r="K16" s="29">
        <f t="array" ref="K16">IFERROR(INDEX(Indicador_Ações[], MATCH($J$2, Indicador_Ações[Stock], 0), MATCH(Indicador_Ações[[#HEADERS],[ebit_12m]], Indicador_Ações[#HEADERS], 0)),"")</f>
        <v>72491000000</v>
      </c>
      <c r="L16" s="182">
        <f>IFERROR(K10/K17,0)</f>
        <v>0.7492309045</v>
      </c>
      <c r="M16" s="191" t="s">
        <v>318</v>
      </c>
      <c r="N16" s="23"/>
      <c r="Q16" s="22"/>
      <c r="R16" s="28"/>
    </row>
    <row r="17">
      <c r="A17" s="9" t="s">
        <v>73</v>
      </c>
      <c r="B17" s="27">
        <v>91856.0</v>
      </c>
      <c r="C17" s="20">
        <f t="shared" si="7"/>
        <v>-0.03006880334</v>
      </c>
      <c r="D17" s="27">
        <v>89094.0</v>
      </c>
      <c r="E17" s="20">
        <f t="shared" si="8"/>
        <v>0.03710687588</v>
      </c>
      <c r="F17" s="27">
        <v>92400.0</v>
      </c>
      <c r="G17" s="20">
        <f t="shared" si="9"/>
        <v>0.04904761905</v>
      </c>
      <c r="H17" s="27">
        <v>96932.0</v>
      </c>
      <c r="J17" s="51" t="s">
        <v>320</v>
      </c>
      <c r="K17" s="50">
        <f>SUM(B53,D53,F53,H53)*K3</f>
        <v>91016000000</v>
      </c>
      <c r="L17" s="184">
        <f>SUM(B5,D5,F5,H5)/SUM(B14,D14,F14,H14)</f>
        <v>1.202262643</v>
      </c>
      <c r="M17" s="190" t="s">
        <v>249</v>
      </c>
      <c r="N17" s="145"/>
      <c r="Q17" s="22"/>
      <c r="R17" s="28"/>
    </row>
    <row r="18">
      <c r="A18" s="67" t="s">
        <v>323</v>
      </c>
      <c r="B18" s="27">
        <v>837.0</v>
      </c>
      <c r="C18" s="20">
        <f t="shared" si="7"/>
        <v>0.04540023895</v>
      </c>
      <c r="D18" s="27">
        <v>875.0</v>
      </c>
      <c r="E18" s="20">
        <f t="shared" si="8"/>
        <v>3.256</v>
      </c>
      <c r="F18" s="27">
        <v>3724.0</v>
      </c>
      <c r="G18" s="20">
        <f t="shared" si="9"/>
        <v>-0.01235230934</v>
      </c>
      <c r="H18" s="27">
        <v>3678.0</v>
      </c>
      <c r="J18" s="22" t="s">
        <v>80</v>
      </c>
      <c r="K18" s="50">
        <f>SUM(B33,D33,F33,H33)*K3</f>
        <v>-138887000000</v>
      </c>
      <c r="L18" s="68">
        <f>SUM(B44,D44,F44,H44)/ABS(SUM(B47,D47,F47,H47))</f>
        <v>3.610306134</v>
      </c>
      <c r="M18" s="69" t="s">
        <v>78</v>
      </c>
      <c r="N18" s="145"/>
      <c r="Q18" s="118"/>
      <c r="R18" s="28"/>
    </row>
    <row r="19">
      <c r="A19" s="67" t="s">
        <v>325</v>
      </c>
      <c r="B19" s="27">
        <v>2510.0</v>
      </c>
      <c r="C19" s="20">
        <f t="shared" si="7"/>
        <v>-0.04143426295</v>
      </c>
      <c r="D19" s="27">
        <v>2406.0</v>
      </c>
      <c r="E19" s="20">
        <f t="shared" si="8"/>
        <v>-1</v>
      </c>
      <c r="F19" s="27">
        <v>0.0</v>
      </c>
      <c r="G19" s="20">
        <f t="shared" si="9"/>
        <v>0</v>
      </c>
      <c r="H19" s="27">
        <v>0.0</v>
      </c>
      <c r="J19" s="25" t="s">
        <v>86</v>
      </c>
      <c r="K19" s="45">
        <f>IFERROR(SUM(B34,D34,F34,H34),"")*K3</f>
        <v>74708000000</v>
      </c>
      <c r="L19" s="184">
        <f>IFERROR(K4/K8,0)</f>
        <v>2.350349633</v>
      </c>
      <c r="M19" s="194" t="s">
        <v>82</v>
      </c>
      <c r="N19" s="145"/>
      <c r="Q19" s="118"/>
      <c r="R19" s="28"/>
    </row>
    <row r="20">
      <c r="A20" s="70" t="s">
        <v>79</v>
      </c>
      <c r="B20" s="32"/>
      <c r="C20" s="20"/>
      <c r="D20" s="32"/>
      <c r="E20" s="20"/>
      <c r="F20" s="32"/>
      <c r="G20" s="20"/>
      <c r="H20" s="32"/>
      <c r="J20" s="22" t="s">
        <v>93</v>
      </c>
      <c r="K20" s="50">
        <f>IFERROR(SUM(B42,D42,F42,H42),"")*K3</f>
        <v>-41569000000</v>
      </c>
      <c r="L20" s="185">
        <f>K10/K8</f>
        <v>0.3467948229</v>
      </c>
      <c r="M20" s="194" t="s">
        <v>87</v>
      </c>
      <c r="N20" s="124"/>
      <c r="Q20" s="118"/>
      <c r="R20" s="28"/>
    </row>
    <row r="21">
      <c r="A21" s="9" t="s">
        <v>327</v>
      </c>
      <c r="B21" s="23">
        <f>SUM(B17,B16)</f>
        <v>94973</v>
      </c>
      <c r="C21" s="20">
        <f t="shared" ref="C21:C23" si="10">IFERROR(SUM((D21/B21)-1),0)</f>
        <v>-0.002316447833</v>
      </c>
      <c r="D21" s="23">
        <f>SUM(D17,D16)</f>
        <v>94753</v>
      </c>
      <c r="E21" s="20">
        <f t="shared" ref="E21:E23" si="11">IFERROR(SUM((F21/D21)-1),0)</f>
        <v>0.001530294555</v>
      </c>
      <c r="F21" s="23">
        <f>SUM(F17,F16)</f>
        <v>94898</v>
      </c>
      <c r="G21" s="20">
        <f t="shared" ref="G21:G23" si="12">IFERROR(SUM((H21/F21)-1),0)</f>
        <v>0.05143417143</v>
      </c>
      <c r="H21" s="23">
        <f>SUM(H17,H16)</f>
        <v>99779</v>
      </c>
      <c r="J21" s="187" t="s">
        <v>90</v>
      </c>
      <c r="K21" s="188">
        <f>'Indicadores_Ações'!$B$4</f>
        <v>0.04443024618</v>
      </c>
      <c r="M21" s="214" t="s">
        <v>89</v>
      </c>
      <c r="N21" s="22"/>
      <c r="Q21" s="22"/>
      <c r="R21" s="28"/>
    </row>
    <row r="22">
      <c r="A22" s="72" t="s">
        <v>48</v>
      </c>
      <c r="B22" s="27">
        <f>SUM(B18,B19,B21)</f>
        <v>98320</v>
      </c>
      <c r="C22" s="20">
        <f t="shared" si="10"/>
        <v>-0.002908868999</v>
      </c>
      <c r="D22" s="27">
        <f>SUM(D18,D19,D21)</f>
        <v>98034</v>
      </c>
      <c r="E22" s="20">
        <f t="shared" si="11"/>
        <v>0.005997919089</v>
      </c>
      <c r="F22" s="27">
        <f>SUM(F18,F19,F21)</f>
        <v>98622</v>
      </c>
      <c r="G22" s="20">
        <f t="shared" si="12"/>
        <v>0.04902557239</v>
      </c>
      <c r="H22" s="27">
        <f>SUM(H18,H19,H21)</f>
        <v>103457</v>
      </c>
      <c r="J22" s="9" t="s">
        <v>96</v>
      </c>
      <c r="K22" s="29">
        <f t="array" ref="K22">IFERROR(INDEX(Indicador_Ações[], MATCH($J$2, Indicador_Ações[Stock], 0), MATCH(Indicador_Ações[[#HEADERS],[lucro_liquido_12m]], Indicador_Ações[#HEADERS], 0)),"")</f>
        <v>10369000000</v>
      </c>
      <c r="L22" s="28">
        <f>'Indicadores_Ações'!$B$3</f>
        <v>0.139</v>
      </c>
      <c r="M22" s="21" t="s">
        <v>91</v>
      </c>
      <c r="O22" s="22"/>
      <c r="P22" s="19"/>
      <c r="Q22" s="22"/>
      <c r="R22" s="28"/>
    </row>
    <row r="23">
      <c r="A23" s="9" t="s">
        <v>52</v>
      </c>
      <c r="B23" s="27">
        <f>SUM(B22-B11)</f>
        <v>70768</v>
      </c>
      <c r="C23" s="20">
        <f t="shared" si="10"/>
        <v>-0.03640063305</v>
      </c>
      <c r="D23" s="27">
        <f>SUM(D22-D11)</f>
        <v>68192</v>
      </c>
      <c r="E23" s="20">
        <f t="shared" si="11"/>
        <v>-0.0287863679</v>
      </c>
      <c r="F23" s="27">
        <f>SUM(F22-F11)</f>
        <v>66229</v>
      </c>
      <c r="G23" s="20">
        <f t="shared" si="12"/>
        <v>-0.06645125247</v>
      </c>
      <c r="H23" s="27">
        <f>SUM(H22-H11)</f>
        <v>61828</v>
      </c>
      <c r="J23" s="9" t="s">
        <v>340</v>
      </c>
      <c r="K23" s="29">
        <f>SUM(B57,D57,F57,H57)*K3</f>
        <v>40604000000</v>
      </c>
      <c r="L23" s="145">
        <f>K24</f>
        <v>0.85</v>
      </c>
      <c r="M23" s="118" t="s">
        <v>95</v>
      </c>
      <c r="O23" s="22"/>
      <c r="P23" s="28"/>
    </row>
    <row r="24">
      <c r="J24" s="24" t="s">
        <v>100</v>
      </c>
      <c r="K24" s="86">
        <f t="array" ref="K24">IFERROR(INDEX(Indicador_Ações[], MATCH($J$2, Indicador_Ações[Stock], 0), MATCH(Indicador_Ações[[#HEADERS],[beta_ibov_3a]], Indicador_Ações[#HEADERS], 0)),"")</f>
        <v>0.85</v>
      </c>
      <c r="L24" s="28">
        <f>L22+0.02</f>
        <v>0.159</v>
      </c>
      <c r="M24" s="118" t="s">
        <v>98</v>
      </c>
      <c r="O24" s="22"/>
      <c r="P24" s="28"/>
    </row>
    <row r="25">
      <c r="A25" s="9" t="s">
        <v>92</v>
      </c>
      <c r="B25" s="23">
        <f>B4-B13</f>
        <v>195915</v>
      </c>
      <c r="C25" s="20">
        <f t="shared" ref="C25:C28" si="13">IFERROR(SUM((D25/B25)-1),0)</f>
        <v>0.02833882041</v>
      </c>
      <c r="D25" s="23">
        <f>D4-D13</f>
        <v>201467</v>
      </c>
      <c r="E25" s="20">
        <f t="shared" ref="E25:E28" si="14">IFERROR(SUM((F25/D25)-1),0)</f>
        <v>0.1154829327</v>
      </c>
      <c r="F25" s="23">
        <f>F4-F13</f>
        <v>224733</v>
      </c>
      <c r="G25" s="20">
        <f t="shared" ref="G25:G28" si="15">IFERROR(SUM((H25/F25)-1),0)</f>
        <v>-0.1593312954</v>
      </c>
      <c r="H25" s="23">
        <f>H4-H13</f>
        <v>188926</v>
      </c>
      <c r="L25" s="78">
        <f>L22+L23*(L24-L22)</f>
        <v>0.156</v>
      </c>
      <c r="M25" s="17" t="s">
        <v>101</v>
      </c>
      <c r="O25" s="22"/>
      <c r="P25" s="28"/>
    </row>
    <row r="26">
      <c r="A26" s="9" t="s">
        <v>99</v>
      </c>
      <c r="B26" s="27">
        <v>3634.0</v>
      </c>
      <c r="C26" s="20">
        <f t="shared" si="13"/>
        <v>0</v>
      </c>
      <c r="D26" s="27">
        <v>3634.0</v>
      </c>
      <c r="E26" s="20">
        <f t="shared" si="14"/>
        <v>0</v>
      </c>
      <c r="F26" s="27">
        <v>3634.0</v>
      </c>
      <c r="G26" s="20">
        <f t="shared" si="15"/>
        <v>0</v>
      </c>
      <c r="H26" s="27">
        <v>3634.0</v>
      </c>
      <c r="J26" s="22"/>
      <c r="K26" s="22"/>
      <c r="L26" s="22"/>
      <c r="M26" s="22"/>
      <c r="N26" s="22"/>
      <c r="O26" s="27"/>
      <c r="P26" s="50"/>
    </row>
    <row r="27" ht="22.5" customHeight="1">
      <c r="A27" s="9" t="s">
        <v>102</v>
      </c>
      <c r="B27" s="27">
        <v>89212.0</v>
      </c>
      <c r="C27" s="20">
        <f t="shared" si="13"/>
        <v>-0.00560462718</v>
      </c>
      <c r="D27" s="27">
        <v>88712.0</v>
      </c>
      <c r="E27" s="20">
        <f t="shared" si="14"/>
        <v>0</v>
      </c>
      <c r="F27" s="27">
        <v>88712.0</v>
      </c>
      <c r="G27" s="20">
        <f t="shared" si="15"/>
        <v>0</v>
      </c>
      <c r="H27" s="27">
        <v>88712.0</v>
      </c>
      <c r="J27" s="82" t="s">
        <v>104</v>
      </c>
      <c r="K27" s="82" t="s">
        <v>105</v>
      </c>
      <c r="L27" s="82" t="s">
        <v>11</v>
      </c>
      <c r="M27" s="82" t="s">
        <v>106</v>
      </c>
      <c r="N27" s="82" t="s">
        <v>107</v>
      </c>
      <c r="O27" s="84" t="s">
        <v>108</v>
      </c>
      <c r="P27" s="19"/>
      <c r="Q27" s="84" t="s">
        <v>11</v>
      </c>
      <c r="R27" s="102" t="s">
        <v>110</v>
      </c>
    </row>
    <row r="28" ht="22.5" customHeight="1">
      <c r="A28" s="9" t="s">
        <v>113</v>
      </c>
      <c r="B28" s="27">
        <v>9953.0</v>
      </c>
      <c r="C28" s="20">
        <f t="shared" si="13"/>
        <v>0.6879332864</v>
      </c>
      <c r="D28" s="27">
        <v>16800.0</v>
      </c>
      <c r="E28" s="20">
        <f t="shared" si="14"/>
        <v>0</v>
      </c>
      <c r="F28" s="27">
        <v>16800.0</v>
      </c>
      <c r="G28" s="20">
        <f t="shared" si="15"/>
        <v>0</v>
      </c>
      <c r="H28" s="27">
        <v>16800.0</v>
      </c>
      <c r="J28" s="87" t="s">
        <v>112</v>
      </c>
      <c r="K28" s="88">
        <f>K2</f>
        <v>77.84</v>
      </c>
      <c r="L28" s="89">
        <v>1.0</v>
      </c>
      <c r="M28" s="90">
        <f>K33</f>
        <v>40604000000</v>
      </c>
      <c r="N28" s="91"/>
      <c r="O28" s="92">
        <v>4.0</v>
      </c>
      <c r="P28" s="19"/>
      <c r="Q28" s="103">
        <v>0.0</v>
      </c>
      <c r="R28" s="104">
        <f>-K6</f>
        <v>-413736214400</v>
      </c>
    </row>
    <row r="29" ht="22.5" customHeight="1">
      <c r="A29" s="80"/>
      <c r="B29" s="80"/>
      <c r="C29" s="80"/>
      <c r="D29" s="80"/>
      <c r="E29" s="80"/>
      <c r="F29" s="80"/>
      <c r="G29" s="80"/>
      <c r="H29" s="80"/>
      <c r="J29" s="97" t="s">
        <v>10</v>
      </c>
      <c r="K29" s="98">
        <f>L2</f>
        <v>4439160000</v>
      </c>
      <c r="L29" s="99">
        <v>2.0</v>
      </c>
      <c r="M29" s="100">
        <f t="shared" ref="M29:M34" si="16">M28*(1+O28/100)</f>
        <v>42228160000</v>
      </c>
      <c r="N29" s="100">
        <f>M29/(1+K34)^L28</f>
        <v>36529550173</v>
      </c>
      <c r="O29" s="92">
        <v>4.0</v>
      </c>
      <c r="P29" s="19"/>
      <c r="Q29" s="103">
        <v>1.0</v>
      </c>
      <c r="R29" s="106">
        <f t="shared" ref="R29:R33" si="17">M29</f>
        <v>42228160000</v>
      </c>
    </row>
    <row r="30" ht="22.5" customHeight="1">
      <c r="A30" s="81" t="s">
        <v>103</v>
      </c>
      <c r="J30" s="87" t="s">
        <v>116</v>
      </c>
      <c r="K30" s="88">
        <f>K5</f>
        <v>345544214400</v>
      </c>
      <c r="L30" s="89">
        <v>3.0</v>
      </c>
      <c r="M30" s="100">
        <f t="shared" si="16"/>
        <v>43917286400</v>
      </c>
      <c r="N30" s="90">
        <f>M30/(1+K34)^L29</f>
        <v>32863955173</v>
      </c>
      <c r="O30" s="92">
        <v>4.0</v>
      </c>
      <c r="P30" s="19"/>
      <c r="Q30" s="103">
        <v>2.0</v>
      </c>
      <c r="R30" s="106">
        <f t="shared" si="17"/>
        <v>43917286400</v>
      </c>
    </row>
    <row r="31" ht="22.5" customHeight="1">
      <c r="A31" s="9" t="s">
        <v>111</v>
      </c>
      <c r="B31" s="9" t="s">
        <v>12</v>
      </c>
      <c r="C31" s="9" t="s">
        <v>13</v>
      </c>
      <c r="D31" s="9" t="s">
        <v>14</v>
      </c>
      <c r="E31" s="9" t="s">
        <v>15</v>
      </c>
      <c r="F31" s="9" t="s">
        <v>16</v>
      </c>
      <c r="G31" s="9" t="s">
        <v>17</v>
      </c>
      <c r="H31" s="9" t="s">
        <v>18</v>
      </c>
      <c r="J31" s="97" t="s">
        <v>118</v>
      </c>
      <c r="K31" s="92">
        <f>SUM(O28:O36)/6</f>
        <v>4</v>
      </c>
      <c r="L31" s="99">
        <v>4.0</v>
      </c>
      <c r="M31" s="100">
        <f t="shared" si="16"/>
        <v>45673977856</v>
      </c>
      <c r="N31" s="100">
        <f>M31/(1+K34)^L30</f>
        <v>29566188045</v>
      </c>
      <c r="O31" s="92">
        <v>4.0</v>
      </c>
      <c r="Q31" s="103">
        <v>3.0</v>
      </c>
      <c r="R31" s="106">
        <f t="shared" si="17"/>
        <v>45673977856</v>
      </c>
      <c r="S31" s="22"/>
      <c r="T31" s="22"/>
      <c r="U31" s="22"/>
      <c r="V31" s="22"/>
    </row>
    <row r="32" ht="22.5" customHeight="1">
      <c r="A32" s="72" t="s">
        <v>123</v>
      </c>
      <c r="B32" s="27">
        <v>48680.0</v>
      </c>
      <c r="C32" s="20">
        <f t="shared" ref="C32:C34" si="18">IFERROR(SUM((D32/B32)-1),0)</f>
        <v>0.088989318</v>
      </c>
      <c r="D32" s="27">
        <v>53012.0</v>
      </c>
      <c r="E32" s="20">
        <f t="shared" ref="E32:E34" si="19">IFERROR(SUM((F32/D32)-1),0)</f>
        <v>0.06958801781</v>
      </c>
      <c r="F32" s="27">
        <v>56701.0</v>
      </c>
      <c r="G32" s="20">
        <f t="shared" ref="G32:G34" si="20">IFERROR(SUM((H32/F32)-1),0)</f>
        <v>-0.02643692351</v>
      </c>
      <c r="H32" s="27">
        <f t="shared" ref="H32:H33" si="21">IFERROR(B91- SUM(B32,D32,F32),"")</f>
        <v>55202</v>
      </c>
      <c r="J32" s="87" t="s">
        <v>120</v>
      </c>
      <c r="K32" s="88">
        <v>0.01</v>
      </c>
      <c r="L32" s="89">
        <v>5.0</v>
      </c>
      <c r="M32" s="100">
        <f t="shared" si="16"/>
        <v>47500936970</v>
      </c>
      <c r="N32" s="90">
        <f>M32/(1+K34)^L31</f>
        <v>26599338725</v>
      </c>
      <c r="O32" s="92">
        <v>4.0</v>
      </c>
      <c r="Q32" s="93">
        <v>4.0</v>
      </c>
      <c r="R32" s="106">
        <f t="shared" si="17"/>
        <v>47500936970</v>
      </c>
      <c r="S32" s="22"/>
      <c r="T32" s="22"/>
      <c r="U32" s="22"/>
      <c r="V32" s="22"/>
    </row>
    <row r="33" ht="22.5" customHeight="1">
      <c r="A33" s="9" t="s">
        <v>126</v>
      </c>
      <c r="B33" s="32">
        <v>-32423.0</v>
      </c>
      <c r="C33" s="20">
        <f t="shared" si="18"/>
        <v>0.1360145576</v>
      </c>
      <c r="D33" s="32">
        <v>-36833.0</v>
      </c>
      <c r="E33" s="20">
        <f t="shared" si="19"/>
        <v>-0.02052507263</v>
      </c>
      <c r="F33" s="32">
        <v>-36077.0</v>
      </c>
      <c r="G33" s="20">
        <f t="shared" si="20"/>
        <v>-0.06993375281</v>
      </c>
      <c r="H33" s="27">
        <f t="shared" si="21"/>
        <v>-33554</v>
      </c>
      <c r="J33" s="103" t="s">
        <v>372</v>
      </c>
      <c r="K33" s="98">
        <f>K23</f>
        <v>40604000000</v>
      </c>
      <c r="L33" s="99">
        <v>6.0</v>
      </c>
      <c r="M33" s="100">
        <f t="shared" si="16"/>
        <v>49400974449</v>
      </c>
      <c r="N33" s="100">
        <f>M33/(1+K34)^L32</f>
        <v>23930200930</v>
      </c>
      <c r="O33" s="92">
        <v>4.0</v>
      </c>
      <c r="Q33" s="93">
        <v>5.0</v>
      </c>
      <c r="R33" s="106">
        <f t="shared" si="17"/>
        <v>49400974449</v>
      </c>
      <c r="S33" s="107"/>
      <c r="T33" s="107"/>
      <c r="U33" s="107"/>
      <c r="V33" s="107"/>
    </row>
    <row r="34" ht="22.5" customHeight="1">
      <c r="A34" s="72" t="s">
        <v>130</v>
      </c>
      <c r="B34" s="27">
        <f>B32+B33</f>
        <v>16257</v>
      </c>
      <c r="C34" s="20">
        <f t="shared" si="18"/>
        <v>-0.004797933198</v>
      </c>
      <c r="D34" s="27">
        <f>D32+D33</f>
        <v>16179</v>
      </c>
      <c r="E34" s="20">
        <f t="shared" si="19"/>
        <v>0.274738859</v>
      </c>
      <c r="F34" s="27">
        <f>F32+F33</f>
        <v>20624</v>
      </c>
      <c r="G34" s="20">
        <f t="shared" si="20"/>
        <v>0.04965089216</v>
      </c>
      <c r="H34" s="27">
        <f>H32+H33</f>
        <v>21648</v>
      </c>
      <c r="J34" s="110" t="s">
        <v>125</v>
      </c>
      <c r="K34" s="105">
        <f>L25</f>
        <v>0.156</v>
      </c>
      <c r="L34" s="89">
        <v>7.0</v>
      </c>
      <c r="M34" s="100">
        <f t="shared" si="16"/>
        <v>51377013427</v>
      </c>
      <c r="N34" s="90">
        <f>M34/(1+K34)^L33</f>
        <v>21528900490</v>
      </c>
      <c r="O34" s="92"/>
      <c r="Q34" s="93">
        <v>6.0</v>
      </c>
      <c r="R34" s="106">
        <f>M34+M35</f>
        <v>406793339189</v>
      </c>
      <c r="S34" s="107"/>
      <c r="T34" s="107"/>
      <c r="U34" s="107"/>
      <c r="V34" s="107"/>
    </row>
    <row r="35" ht="22.5" customHeight="1">
      <c r="A35" s="67" t="s">
        <v>137</v>
      </c>
      <c r="C35" s="20"/>
      <c r="E35" s="20"/>
      <c r="G35" s="20"/>
      <c r="J35" s="97" t="s">
        <v>128</v>
      </c>
      <c r="K35" s="98">
        <f>K36/K29</f>
        <v>67.54718004</v>
      </c>
      <c r="L35" s="99" t="s">
        <v>131</v>
      </c>
      <c r="M35" s="100">
        <f>IFERROR( M34 * (1 + K32) / (K34  -K32  ), 0 )
</f>
        <v>355416325762</v>
      </c>
      <c r="N35" s="100">
        <f>M35/(1+K34)^L34</f>
        <v>128834606195</v>
      </c>
      <c r="O35" s="92"/>
      <c r="Q35" s="93" t="s">
        <v>132</v>
      </c>
      <c r="R35" s="119">
        <f>IFERROR(IRR(R28:R34),0)</f>
        <v>0.09310251942</v>
      </c>
      <c r="S35" s="107"/>
      <c r="T35" s="107"/>
      <c r="U35" s="107"/>
      <c r="V35" s="107"/>
    </row>
    <row r="36" ht="22.5" customHeight="1">
      <c r="A36" s="9" t="s">
        <v>384</v>
      </c>
      <c r="B36" s="27">
        <v>-800.0</v>
      </c>
      <c r="C36" s="20">
        <f t="shared" ref="C36:C42" si="22">IFERROR(SUM((D36/B36)-1),0)</f>
        <v>0.11</v>
      </c>
      <c r="D36" s="27">
        <v>-888.0</v>
      </c>
      <c r="E36" s="20">
        <f t="shared" ref="E36:E42" si="23">IFERROR(SUM((F36/D36)-1),0)</f>
        <v>-0.03378378378</v>
      </c>
      <c r="F36" s="27">
        <v>-858.0</v>
      </c>
      <c r="G36" s="20">
        <f t="shared" ref="G36:G42" si="24">IFERROR(SUM((H36/F36)-1),0)</f>
        <v>0.1888111888</v>
      </c>
      <c r="H36" s="27">
        <f>IFERROR(B95- SUM(B36,D36,F36),"")</f>
        <v>-1020</v>
      </c>
      <c r="J36" s="87" t="s">
        <v>136</v>
      </c>
      <c r="K36" s="88">
        <f>N36</f>
        <v>299852739731</v>
      </c>
      <c r="L36" s="116"/>
      <c r="M36" s="90"/>
      <c r="N36" s="90">
        <f>SUM(N28:N35)</f>
        <v>299852739731</v>
      </c>
      <c r="O36" s="92"/>
      <c r="Q36" s="107"/>
      <c r="R36" s="107"/>
      <c r="S36" s="107"/>
      <c r="T36" s="107"/>
      <c r="U36" s="107"/>
      <c r="V36" s="107"/>
    </row>
    <row r="37">
      <c r="A37" s="9" t="s">
        <v>151</v>
      </c>
      <c r="B37" s="20">
        <f>ABS(B36)/B32</f>
        <v>0.01643385374</v>
      </c>
      <c r="C37" s="20">
        <f t="shared" si="22"/>
        <v>0.01929374481</v>
      </c>
      <c r="D37" s="20">
        <f>ABS(D36)/D32</f>
        <v>0.01675092432</v>
      </c>
      <c r="E37" s="20">
        <f t="shared" si="23"/>
        <v>-0.09664637213</v>
      </c>
      <c r="F37" s="20">
        <f>ABS(F36)/F32</f>
        <v>0.01513200825</v>
      </c>
      <c r="G37" s="20">
        <f t="shared" si="24"/>
        <v>0.2210931346</v>
      </c>
      <c r="H37" s="20">
        <f>ABS(H36)/H32</f>
        <v>0.01847759139</v>
      </c>
      <c r="Q37" s="107"/>
      <c r="R37" s="107"/>
      <c r="S37" s="107"/>
      <c r="T37" s="107"/>
      <c r="U37" s="107"/>
      <c r="V37" s="107"/>
    </row>
    <row r="38">
      <c r="A38" s="9" t="s">
        <v>389</v>
      </c>
      <c r="B38" s="27">
        <v>-685.0</v>
      </c>
      <c r="C38" s="20">
        <f t="shared" si="22"/>
        <v>0.3664233577</v>
      </c>
      <c r="D38" s="27">
        <v>-936.0</v>
      </c>
      <c r="E38" s="20">
        <f t="shared" si="23"/>
        <v>-0.1239316239</v>
      </c>
      <c r="F38" s="27">
        <v>-820.0</v>
      </c>
      <c r="G38" s="20">
        <f t="shared" si="24"/>
        <v>0.7158536585</v>
      </c>
      <c r="H38" s="27">
        <f t="shared" ref="H38:H41" si="25">IFERROR(B97- SUM(B38,D38,F38),"")</f>
        <v>-1407</v>
      </c>
      <c r="Q38" s="107"/>
      <c r="R38" s="107"/>
      <c r="S38" s="107"/>
      <c r="T38" s="107"/>
      <c r="U38" s="107"/>
      <c r="V38" s="107"/>
    </row>
    <row r="39">
      <c r="A39" s="9" t="s">
        <v>391</v>
      </c>
      <c r="B39" s="27">
        <v>-258.0</v>
      </c>
      <c r="C39" s="20">
        <f t="shared" si="22"/>
        <v>0.9689922481</v>
      </c>
      <c r="D39" s="27">
        <v>-508.0</v>
      </c>
      <c r="E39" s="20">
        <f t="shared" si="23"/>
        <v>-0.4586614173</v>
      </c>
      <c r="F39" s="27">
        <v>-275.0</v>
      </c>
      <c r="G39" s="20">
        <f t="shared" si="24"/>
        <v>0.6945454545</v>
      </c>
      <c r="H39" s="27">
        <f t="shared" si="25"/>
        <v>-466</v>
      </c>
      <c r="Q39" s="107"/>
      <c r="R39" s="107"/>
      <c r="S39" s="107"/>
      <c r="T39" s="107"/>
      <c r="U39" s="107"/>
      <c r="V39" s="107"/>
    </row>
    <row r="40">
      <c r="A40" s="9" t="s">
        <v>339</v>
      </c>
      <c r="B40" s="27">
        <v>-1405.0</v>
      </c>
      <c r="C40" s="20">
        <f t="shared" si="22"/>
        <v>1.204270463</v>
      </c>
      <c r="D40" s="27">
        <v>-3097.0</v>
      </c>
      <c r="E40" s="20">
        <f t="shared" si="23"/>
        <v>-0.3555053277</v>
      </c>
      <c r="F40" s="27">
        <v>-1996.0</v>
      </c>
      <c r="G40" s="20">
        <f t="shared" si="24"/>
        <v>-0.49749499</v>
      </c>
      <c r="H40" s="27">
        <f t="shared" si="25"/>
        <v>-1003</v>
      </c>
      <c r="Q40" s="22"/>
      <c r="R40" s="22"/>
      <c r="S40" s="22"/>
      <c r="T40" s="22"/>
      <c r="U40" s="22"/>
      <c r="V40" s="22"/>
    </row>
    <row r="41">
      <c r="A41" s="9" t="s">
        <v>338</v>
      </c>
      <c r="B41" s="27">
        <v>-628.0</v>
      </c>
      <c r="C41" s="20">
        <f t="shared" si="22"/>
        <v>-1.136942675</v>
      </c>
      <c r="D41" s="27">
        <v>86.0</v>
      </c>
      <c r="E41" s="20">
        <f t="shared" si="23"/>
        <v>-18.06976744</v>
      </c>
      <c r="F41" s="27">
        <v>-1468.0</v>
      </c>
      <c r="G41" s="20">
        <f t="shared" si="24"/>
        <v>14.76089918</v>
      </c>
      <c r="H41" s="27">
        <f t="shared" si="25"/>
        <v>-23137</v>
      </c>
    </row>
    <row r="42">
      <c r="A42" s="72" t="s">
        <v>164</v>
      </c>
      <c r="B42" s="120">
        <f>SUM(B36,B38,B41,B39,B40)</f>
        <v>-3776</v>
      </c>
      <c r="C42" s="111">
        <f t="shared" si="22"/>
        <v>0.4149894068</v>
      </c>
      <c r="D42" s="120">
        <f>SUM(D36,D38,D41,D39,D40)</f>
        <v>-5343</v>
      </c>
      <c r="E42" s="111">
        <f t="shared" si="23"/>
        <v>0.01384989706</v>
      </c>
      <c r="F42" s="120">
        <f>SUM(F36,F38,F41,F39,F40)</f>
        <v>-5417</v>
      </c>
      <c r="G42" s="111">
        <f t="shared" si="24"/>
        <v>3.990400591</v>
      </c>
      <c r="H42" s="120">
        <f>SUM(H36,H38,H41,H39,H40)</f>
        <v>-27033</v>
      </c>
      <c r="T42" s="107"/>
      <c r="U42" s="107"/>
    </row>
    <row r="43">
      <c r="T43" s="107"/>
      <c r="U43" s="107"/>
    </row>
    <row r="44">
      <c r="A44" s="72" t="s">
        <v>143</v>
      </c>
      <c r="B44" s="23">
        <f>SUM(B34,B42)</f>
        <v>12481</v>
      </c>
      <c r="C44" s="20">
        <f>IFERROR(SUM((D44/B44)-1),0)</f>
        <v>-0.1318003365</v>
      </c>
      <c r="D44" s="23">
        <f>SUM(D34,D42)</f>
        <v>10836</v>
      </c>
      <c r="E44" s="20">
        <f>IFERROR(SUM((F44/D44)-1),0)</f>
        <v>0.4033776301</v>
      </c>
      <c r="F44" s="23">
        <f>SUM(F34,F42)</f>
        <v>15207</v>
      </c>
      <c r="G44" s="20">
        <f>IFERROR(SUM((H44/F44)-1),0)</f>
        <v>-1.354113237</v>
      </c>
      <c r="H44" s="23">
        <f>SUM(H34,H42)</f>
        <v>-5385</v>
      </c>
      <c r="T44" s="107"/>
      <c r="U44" s="107"/>
    </row>
    <row r="45">
      <c r="C45" s="20"/>
      <c r="E45" s="20"/>
      <c r="G45" s="20"/>
      <c r="T45" s="107"/>
      <c r="U45" s="107"/>
    </row>
    <row r="46">
      <c r="A46" s="9" t="s">
        <v>127</v>
      </c>
      <c r="B46" s="27">
        <v>674.0</v>
      </c>
      <c r="C46" s="20">
        <f t="shared" ref="C46:C48" si="26">IFERROR(SUM((D46/B46)-1),0)</f>
        <v>-0.08902077151</v>
      </c>
      <c r="D46" s="27">
        <v>614.0</v>
      </c>
      <c r="E46" s="20">
        <f t="shared" ref="E46:E48" si="27">IFERROR(SUM((F46/D46)-1),0)</f>
        <v>0.3273615635</v>
      </c>
      <c r="F46" s="27">
        <v>815.0</v>
      </c>
      <c r="G46" s="20">
        <f t="shared" ref="G46:G48" si="28">IFERROR(SUM((H46/F46)-1),0)</f>
        <v>-0.1411042945</v>
      </c>
      <c r="H46" s="27">
        <f t="shared" ref="H46:H49" si="29">IFERROR(B105- SUM(B46,D46,F46),"")</f>
        <v>700</v>
      </c>
      <c r="T46" s="107"/>
      <c r="U46" s="107"/>
    </row>
    <row r="47">
      <c r="A47" s="9" t="s">
        <v>135</v>
      </c>
      <c r="B47" s="27">
        <v>-2199.0</v>
      </c>
      <c r="C47" s="20">
        <f t="shared" si="26"/>
        <v>-0.06230104593</v>
      </c>
      <c r="D47" s="27">
        <v>-2062.0</v>
      </c>
      <c r="E47" s="20">
        <f t="shared" si="27"/>
        <v>0.04849660524</v>
      </c>
      <c r="F47" s="27">
        <v>-2162.0</v>
      </c>
      <c r="G47" s="20">
        <f t="shared" si="28"/>
        <v>0.2747456059</v>
      </c>
      <c r="H47" s="27">
        <f t="shared" si="29"/>
        <v>-2756</v>
      </c>
      <c r="T47" s="107"/>
      <c r="U47" s="107"/>
    </row>
    <row r="48">
      <c r="A48" s="9" t="s">
        <v>399</v>
      </c>
      <c r="B48" s="27">
        <v>1736.0</v>
      </c>
      <c r="C48" s="20">
        <f t="shared" si="26"/>
        <v>-1.576036866</v>
      </c>
      <c r="D48" s="27">
        <v>-1000.0</v>
      </c>
      <c r="E48" s="20">
        <f t="shared" si="27"/>
        <v>-0.49</v>
      </c>
      <c r="F48" s="27">
        <v>-510.0</v>
      </c>
      <c r="G48" s="20">
        <f t="shared" si="28"/>
        <v>-2.71372549</v>
      </c>
      <c r="H48" s="27">
        <f t="shared" si="29"/>
        <v>874</v>
      </c>
    </row>
    <row r="49">
      <c r="A49" s="9" t="s">
        <v>352</v>
      </c>
      <c r="B49" s="9">
        <v>187.0</v>
      </c>
      <c r="D49" s="9">
        <v>506.0</v>
      </c>
      <c r="F49" s="9">
        <v>877.0</v>
      </c>
      <c r="H49" s="27">
        <f t="shared" si="29"/>
        <v>-2740</v>
      </c>
    </row>
    <row r="50">
      <c r="A50" s="72" t="s">
        <v>138</v>
      </c>
      <c r="B50" s="109">
        <f>B46+B47+B48+B49</f>
        <v>398</v>
      </c>
      <c r="C50" s="111">
        <f t="shared" ref="C50:C57" si="30">IFERROR(SUM((D50/B50)-1),0)</f>
        <v>-5.879396985</v>
      </c>
      <c r="D50" s="109">
        <f>D46+D47+D48+D49</f>
        <v>-1942</v>
      </c>
      <c r="E50" s="111">
        <f t="shared" ref="E50:E57" si="31">IFERROR(SUM((F50/D50)-1),0)</f>
        <v>-0.4953656025</v>
      </c>
      <c r="F50" s="109">
        <f>F46+F47+F48+F49</f>
        <v>-980</v>
      </c>
      <c r="G50" s="111">
        <f t="shared" ref="G50:G57" si="32">IFERROR(SUM((H50/F50)-1),0)</f>
        <v>3.002040816</v>
      </c>
      <c r="H50" s="109">
        <f>H46+H47+H48+H49</f>
        <v>-3922</v>
      </c>
    </row>
    <row r="51">
      <c r="A51" s="141" t="s">
        <v>403</v>
      </c>
      <c r="B51" s="57">
        <v>4435.0</v>
      </c>
      <c r="C51" s="58">
        <f t="shared" si="30"/>
        <v>0.03788049605</v>
      </c>
      <c r="D51" s="57">
        <v>4603.0</v>
      </c>
      <c r="E51" s="58">
        <f t="shared" si="31"/>
        <v>-0.1014555725</v>
      </c>
      <c r="F51" s="57">
        <v>4136.0</v>
      </c>
      <c r="G51" s="58">
        <f t="shared" si="32"/>
        <v>0.124032882</v>
      </c>
      <c r="H51" s="57">
        <v>4649.0</v>
      </c>
    </row>
    <row r="52">
      <c r="A52" s="141" t="s">
        <v>404</v>
      </c>
      <c r="B52" s="57">
        <v>20105.0</v>
      </c>
      <c r="C52" s="58">
        <f t="shared" si="30"/>
        <v>-0.0790350659</v>
      </c>
      <c r="D52" s="57">
        <v>18516.0</v>
      </c>
      <c r="E52" s="58">
        <f t="shared" si="31"/>
        <v>0.2834845539</v>
      </c>
      <c r="F52" s="57">
        <v>23765.0</v>
      </c>
      <c r="G52" s="58">
        <f t="shared" si="32"/>
        <v>0.04308857564</v>
      </c>
      <c r="H52" s="57">
        <v>24789.0</v>
      </c>
      <c r="Q52" s="23"/>
    </row>
    <row r="53">
      <c r="A53" s="141" t="s">
        <v>406</v>
      </c>
      <c r="B53" s="57">
        <v>20444.0</v>
      </c>
      <c r="C53" s="58">
        <f t="shared" si="30"/>
        <v>0.003277245158</v>
      </c>
      <c r="D53" s="57">
        <v>20511.0</v>
      </c>
      <c r="E53" s="58">
        <f t="shared" si="31"/>
        <v>0.1670810784</v>
      </c>
      <c r="F53" s="57">
        <v>23938.0</v>
      </c>
      <c r="G53" s="58">
        <f t="shared" si="32"/>
        <v>0.09127746679</v>
      </c>
      <c r="H53" s="57">
        <v>26123.0</v>
      </c>
      <c r="P53" s="20"/>
      <c r="Q53" s="9"/>
    </row>
    <row r="54">
      <c r="A54" s="9" t="s">
        <v>150</v>
      </c>
      <c r="B54" s="23">
        <f>B44+B50</f>
        <v>12879</v>
      </c>
      <c r="C54" s="20">
        <f t="shared" si="30"/>
        <v>-0.3094184331</v>
      </c>
      <c r="D54" s="23">
        <f>D44+D50</f>
        <v>8894</v>
      </c>
      <c r="E54" s="20">
        <f t="shared" si="31"/>
        <v>0.5996177198</v>
      </c>
      <c r="F54" s="23">
        <f>F44+F50</f>
        <v>14227</v>
      </c>
      <c r="G54" s="20">
        <f t="shared" si="32"/>
        <v>-1.654178674</v>
      </c>
      <c r="H54" s="23">
        <f>H44+H50</f>
        <v>-9307</v>
      </c>
      <c r="J54" s="9"/>
      <c r="K54" s="9"/>
      <c r="L54" s="20"/>
      <c r="M54" s="9"/>
      <c r="N54" s="20"/>
      <c r="O54" s="9"/>
      <c r="P54" s="20"/>
      <c r="Q54" s="23"/>
    </row>
    <row r="55">
      <c r="A55" s="9" t="s">
        <v>152</v>
      </c>
      <c r="B55" s="27">
        <v>-2680.0</v>
      </c>
      <c r="C55" s="20">
        <f t="shared" si="30"/>
        <v>-0.3085820896</v>
      </c>
      <c r="D55" s="27">
        <v>-1853.0</v>
      </c>
      <c r="E55" s="20">
        <f t="shared" si="31"/>
        <v>-1.239611441</v>
      </c>
      <c r="F55" s="27">
        <v>444.0</v>
      </c>
      <c r="G55" s="20">
        <f t="shared" si="32"/>
        <v>-25.30855856</v>
      </c>
      <c r="H55" s="27">
        <f>IFERROR(B114- SUM(B55,D55,F55),"")</f>
        <v>-10793</v>
      </c>
      <c r="K55" s="23"/>
      <c r="L55" s="20"/>
      <c r="M55" s="23"/>
      <c r="N55" s="20"/>
      <c r="O55" s="23"/>
      <c r="P55" s="20"/>
    </row>
    <row r="56">
      <c r="A56" s="72" t="s">
        <v>156</v>
      </c>
      <c r="B56" s="27">
        <f>B54+B55</f>
        <v>10199</v>
      </c>
      <c r="C56" s="20">
        <f t="shared" si="30"/>
        <v>-0.3096381998</v>
      </c>
      <c r="D56" s="27">
        <f>D54+D55</f>
        <v>7041</v>
      </c>
      <c r="E56" s="20">
        <f t="shared" si="31"/>
        <v>1.08365289</v>
      </c>
      <c r="F56" s="27">
        <f>F54+F55</f>
        <v>14671</v>
      </c>
      <c r="G56" s="20">
        <f t="shared" si="32"/>
        <v>-2.370049758</v>
      </c>
      <c r="H56" s="27">
        <f>H54+H55</f>
        <v>-20100</v>
      </c>
      <c r="L56" s="20"/>
      <c r="N56" s="20"/>
      <c r="P56" s="20"/>
      <c r="Q56" s="20"/>
    </row>
    <row r="57">
      <c r="A57" s="141" t="s">
        <v>409</v>
      </c>
      <c r="B57" s="57">
        <v>9953.0</v>
      </c>
      <c r="C57" s="58">
        <f t="shared" si="30"/>
        <v>-0.2139053552</v>
      </c>
      <c r="D57" s="57">
        <v>7824.0</v>
      </c>
      <c r="E57" s="58">
        <f t="shared" si="31"/>
        <v>0.908103272</v>
      </c>
      <c r="F57" s="57">
        <v>14929.0</v>
      </c>
      <c r="G57" s="58">
        <f t="shared" si="32"/>
        <v>-0.4709625561</v>
      </c>
      <c r="H57" s="57">
        <v>7898.0</v>
      </c>
      <c r="K57" s="20"/>
      <c r="L57" s="20"/>
      <c r="M57" s="20"/>
      <c r="N57" s="20"/>
      <c r="O57" s="20"/>
      <c r="P57" s="20"/>
      <c r="Q57" s="20"/>
    </row>
    <row r="58">
      <c r="A58" s="80"/>
      <c r="B58" s="80"/>
      <c r="C58" s="80"/>
      <c r="D58" s="80"/>
      <c r="E58" s="80"/>
      <c r="F58" s="80"/>
      <c r="G58" s="80"/>
      <c r="H58" s="80"/>
      <c r="K58" s="20"/>
      <c r="L58" s="20"/>
      <c r="M58" s="20"/>
      <c r="N58" s="20"/>
      <c r="O58" s="20"/>
      <c r="P58" s="20"/>
      <c r="Q58" s="23"/>
    </row>
    <row r="59">
      <c r="A59" s="10" t="s">
        <v>160</v>
      </c>
      <c r="K59" s="23"/>
      <c r="L59" s="20"/>
      <c r="M59" s="23"/>
      <c r="N59" s="20"/>
      <c r="O59" s="23"/>
      <c r="P59" s="20"/>
      <c r="Q59" s="23"/>
    </row>
    <row r="60">
      <c r="A60" s="67" t="s">
        <v>162</v>
      </c>
      <c r="B60" s="9" t="s">
        <v>12</v>
      </c>
      <c r="C60" s="9" t="s">
        <v>13</v>
      </c>
      <c r="D60" s="9" t="s">
        <v>14</v>
      </c>
      <c r="E60" s="9" t="s">
        <v>15</v>
      </c>
      <c r="F60" s="9" t="s">
        <v>16</v>
      </c>
      <c r="G60" s="9" t="s">
        <v>17</v>
      </c>
      <c r="H60" s="9" t="s">
        <v>18</v>
      </c>
      <c r="K60" s="23"/>
      <c r="L60" s="20"/>
      <c r="M60" s="23"/>
      <c r="N60" s="20"/>
      <c r="O60" s="23"/>
      <c r="P60" s="20"/>
      <c r="Q60" s="23"/>
    </row>
    <row r="61">
      <c r="A61" s="9" t="s">
        <v>163</v>
      </c>
      <c r="B61" s="27">
        <v>12881.0</v>
      </c>
      <c r="C61" s="20">
        <f t="shared" ref="C61:C62" si="33">IFERROR(SUM((D61/B61)-1),0)</f>
        <v>1.240819812</v>
      </c>
      <c r="D61" s="27">
        <v>28864.0</v>
      </c>
      <c r="E61" s="20">
        <f t="shared" ref="E61:E62" si="34">IFERROR(SUM((F61/D61)-1),0)</f>
        <v>0.7530141353</v>
      </c>
      <c r="F61" s="27">
        <v>50599.0</v>
      </c>
      <c r="G61" s="20">
        <f t="shared" ref="G61:G62" si="35">IFERROR(SUM((H61/F61)-1),0)</f>
        <v>0.4680724916</v>
      </c>
      <c r="H61" s="27">
        <v>74283.0</v>
      </c>
      <c r="K61" s="23"/>
      <c r="L61" s="20"/>
      <c r="M61" s="23"/>
      <c r="N61" s="20"/>
      <c r="O61" s="23"/>
      <c r="P61" s="20"/>
    </row>
    <row r="62">
      <c r="A62" s="129" t="s">
        <v>169</v>
      </c>
      <c r="B62" s="27">
        <v>9777.0</v>
      </c>
      <c r="C62" s="20">
        <f t="shared" si="33"/>
        <v>1.26306638</v>
      </c>
      <c r="D62" s="27">
        <v>22126.0</v>
      </c>
      <c r="E62" s="20">
        <f t="shared" si="34"/>
        <v>0.5375576245</v>
      </c>
      <c r="F62" s="27">
        <v>34020.0</v>
      </c>
      <c r="G62" s="20">
        <f t="shared" si="35"/>
        <v>0.4334215168</v>
      </c>
      <c r="H62" s="27">
        <v>48765.0</v>
      </c>
      <c r="L62" s="20"/>
      <c r="N62" s="20"/>
      <c r="P62" s="20"/>
    </row>
    <row r="63">
      <c r="L63" s="20"/>
      <c r="N63" s="20"/>
      <c r="P63" s="20"/>
      <c r="Q63" s="20"/>
    </row>
    <row r="64">
      <c r="A64" s="9" t="s">
        <v>172</v>
      </c>
      <c r="B64" s="23"/>
      <c r="C64" s="20"/>
      <c r="D64" s="23"/>
      <c r="E64" s="20"/>
      <c r="F64" s="23"/>
      <c r="G64" s="20"/>
      <c r="H64" s="23"/>
      <c r="K64" s="20"/>
      <c r="L64" s="20"/>
      <c r="M64" s="20"/>
      <c r="N64" s="20"/>
      <c r="O64" s="20"/>
      <c r="P64" s="20"/>
      <c r="Q64" s="20"/>
    </row>
    <row r="65">
      <c r="A65" s="9" t="s">
        <v>185</v>
      </c>
      <c r="B65" s="27">
        <v>-6244.0</v>
      </c>
      <c r="C65" s="20">
        <f t="shared" ref="C65:C72" si="36">IFERROR(SUM((D65/B65)-1),0)</f>
        <v>1.007046765</v>
      </c>
      <c r="D65" s="27">
        <v>-12532.0</v>
      </c>
      <c r="E65" s="20">
        <f t="shared" ref="E65:E68" si="37">IFERROR(SUM((F65/D65)-1),0)</f>
        <v>0.7203159911</v>
      </c>
      <c r="F65" s="27">
        <v>-21559.0</v>
      </c>
      <c r="G65" s="20">
        <f t="shared" ref="G65:G68" si="38">IFERROR(SUM((H65/F65)-1),0)</f>
        <v>0.5487731342</v>
      </c>
      <c r="H65" s="27">
        <v>-33390.0</v>
      </c>
      <c r="K65" s="20"/>
      <c r="L65" s="20"/>
      <c r="M65" s="20"/>
      <c r="N65" s="20"/>
      <c r="O65" s="20"/>
      <c r="P65" s="20"/>
      <c r="Q65" s="20"/>
    </row>
    <row r="66">
      <c r="A66" s="9" t="s">
        <v>172</v>
      </c>
      <c r="B66" s="27">
        <f>SUM(B65)</f>
        <v>-6244</v>
      </c>
      <c r="C66" s="20">
        <f t="shared" si="36"/>
        <v>1.007046765</v>
      </c>
      <c r="D66" s="27">
        <f>SUM(D65)</f>
        <v>-12532</v>
      </c>
      <c r="E66" s="20">
        <f t="shared" si="37"/>
        <v>0.7203159911</v>
      </c>
      <c r="F66" s="27">
        <f>SUM(F65)</f>
        <v>-21559</v>
      </c>
      <c r="G66" s="20">
        <f t="shared" si="38"/>
        <v>0.5487731342</v>
      </c>
      <c r="H66" s="27">
        <f>SUM(H65)</f>
        <v>-33390</v>
      </c>
      <c r="K66" s="20"/>
      <c r="L66" s="20"/>
      <c r="M66" s="20"/>
      <c r="N66" s="20"/>
      <c r="O66" s="20"/>
      <c r="P66" s="20"/>
    </row>
    <row r="67">
      <c r="A67" s="9" t="s">
        <v>417</v>
      </c>
      <c r="B67" s="27">
        <v>-675.0</v>
      </c>
      <c r="C67" s="20">
        <f t="shared" si="36"/>
        <v>5.34962963</v>
      </c>
      <c r="D67" s="27">
        <v>-4286.0</v>
      </c>
      <c r="E67" s="20">
        <f t="shared" si="37"/>
        <v>1.747550163</v>
      </c>
      <c r="F67" s="27">
        <v>-11776.0</v>
      </c>
      <c r="G67" s="20">
        <f t="shared" si="38"/>
        <v>0.08067255435</v>
      </c>
      <c r="H67" s="27">
        <v>-12726.0</v>
      </c>
      <c r="K67" s="9"/>
      <c r="L67" s="22"/>
      <c r="M67" s="51"/>
    </row>
    <row r="68">
      <c r="A68" s="9" t="s">
        <v>418</v>
      </c>
      <c r="B68" s="27">
        <v>0.0</v>
      </c>
      <c r="C68" s="20">
        <f t="shared" si="36"/>
        <v>0</v>
      </c>
      <c r="D68" s="27">
        <v>0.0</v>
      </c>
      <c r="E68" s="20">
        <f t="shared" si="37"/>
        <v>0</v>
      </c>
      <c r="F68" s="27">
        <v>5332.0</v>
      </c>
      <c r="G68" s="20">
        <f t="shared" si="38"/>
        <v>-0.1234058515</v>
      </c>
      <c r="H68" s="27">
        <v>4674.0</v>
      </c>
      <c r="J68" s="22"/>
      <c r="K68" s="50"/>
      <c r="L68" s="19"/>
      <c r="M68" s="28"/>
    </row>
    <row r="69">
      <c r="A69" s="9" t="s">
        <v>193</v>
      </c>
      <c r="B69" s="27">
        <v>146.0</v>
      </c>
      <c r="C69" s="20">
        <f t="shared" si="36"/>
        <v>1.219178082</v>
      </c>
      <c r="D69" s="27">
        <v>324.0</v>
      </c>
      <c r="E69" s="20">
        <f>IFERROR(SUM((F70/D69)-1),0)</f>
        <v>2.361111111</v>
      </c>
      <c r="F69" s="27">
        <v>766.0</v>
      </c>
      <c r="G69" s="20">
        <f>IFERROR(SUM((H69/F70)-1),0)</f>
        <v>0.5785123967</v>
      </c>
      <c r="H69" s="27">
        <v>1719.0</v>
      </c>
      <c r="J69" s="22"/>
      <c r="K69" s="29"/>
      <c r="L69" s="19"/>
      <c r="M69" s="53"/>
    </row>
    <row r="70">
      <c r="A70" s="9" t="s">
        <v>377</v>
      </c>
      <c r="B70" s="27">
        <v>306.0</v>
      </c>
      <c r="C70" s="20">
        <f t="shared" si="36"/>
        <v>0.9673202614</v>
      </c>
      <c r="D70" s="27">
        <v>602.0</v>
      </c>
      <c r="E70" s="20">
        <f>IFERROR(SUM((#REF!/D70)-1),0)</f>
        <v>0</v>
      </c>
      <c r="F70" s="27">
        <v>1089.0</v>
      </c>
      <c r="G70" s="20">
        <f>IFERROR(SUM((H70/#REF!)-1),0)</f>
        <v>0</v>
      </c>
      <c r="H70" s="27">
        <v>1865.0</v>
      </c>
      <c r="J70" s="22"/>
      <c r="K70" s="50"/>
      <c r="L70" s="19"/>
      <c r="M70" s="28"/>
    </row>
    <row r="71">
      <c r="A71" s="9" t="s">
        <v>420</v>
      </c>
      <c r="B71" s="27">
        <v>-220.0</v>
      </c>
      <c r="C71" s="20">
        <f t="shared" si="36"/>
        <v>-0.9545454545</v>
      </c>
      <c r="D71" s="27">
        <v>-10.0</v>
      </c>
      <c r="E71" s="20">
        <f t="shared" ref="E71:E72" si="39">IFERROR(SUM((F71/D71)-1),0)</f>
        <v>3.8</v>
      </c>
      <c r="F71" s="27">
        <v>-48.0</v>
      </c>
      <c r="G71" s="20">
        <f t="shared" ref="G71:G72" si="40">IFERROR(SUM((H71/F71)-1),0)</f>
        <v>11.60416667</v>
      </c>
      <c r="H71" s="27">
        <v>-605.0</v>
      </c>
      <c r="J71" s="22"/>
      <c r="K71" s="154"/>
      <c r="L71" s="19"/>
      <c r="M71" s="28"/>
    </row>
    <row r="72">
      <c r="A72" s="129" t="s">
        <v>192</v>
      </c>
      <c r="B72" s="130">
        <f>SUM(B66:B71)</f>
        <v>-6687</v>
      </c>
      <c r="C72" s="111">
        <f t="shared" si="36"/>
        <v>1.378046957</v>
      </c>
      <c r="D72" s="130">
        <f>SUM(D66:D71)</f>
        <v>-15902</v>
      </c>
      <c r="E72" s="111">
        <f t="shared" si="39"/>
        <v>0.6473399572</v>
      </c>
      <c r="F72" s="130">
        <f>SUM(F66:F71)</f>
        <v>-26196</v>
      </c>
      <c r="G72" s="111">
        <f t="shared" si="40"/>
        <v>0.4682775996</v>
      </c>
      <c r="H72" s="130">
        <f>SUM(H66:H71)</f>
        <v>-38463</v>
      </c>
      <c r="J72" s="9"/>
    </row>
    <row r="73">
      <c r="J73" s="22"/>
      <c r="K73" s="50"/>
      <c r="N73" s="20"/>
      <c r="P73" s="29"/>
    </row>
    <row r="74">
      <c r="A74" s="9" t="s">
        <v>194</v>
      </c>
      <c r="B74" s="27"/>
      <c r="C74" s="20"/>
      <c r="D74" s="23"/>
      <c r="E74" s="20"/>
      <c r="F74" s="27"/>
      <c r="G74" s="20"/>
      <c r="H74" s="27"/>
      <c r="J74" s="22"/>
      <c r="K74" s="19"/>
      <c r="P74" s="29"/>
    </row>
    <row r="75">
      <c r="A75" s="9" t="s">
        <v>229</v>
      </c>
      <c r="B75" s="27">
        <v>5016.0</v>
      </c>
      <c r="C75" s="20">
        <f t="shared" ref="C75:C81" si="41">IFERROR(SUM((D75/B75)-1),0)</f>
        <v>0.1618819777</v>
      </c>
      <c r="D75" s="27">
        <v>5828.0</v>
      </c>
      <c r="E75" s="20">
        <f t="shared" ref="E75:E81" si="42">IFERROR(SUM((F75/D75)-1),0)</f>
        <v>3.162834592</v>
      </c>
      <c r="F75" s="27">
        <v>24261.0</v>
      </c>
      <c r="G75" s="20">
        <f t="shared" ref="G75:G81" si="43">IFERROR(SUM((H75/F75)-1),0)</f>
        <v>0.09323605787</v>
      </c>
      <c r="H75" s="27">
        <v>26523.0</v>
      </c>
      <c r="J75" s="22"/>
      <c r="K75" s="50"/>
      <c r="P75" s="20"/>
    </row>
    <row r="76">
      <c r="A76" s="9" t="s">
        <v>199</v>
      </c>
      <c r="B76" s="27">
        <v>-5864.0</v>
      </c>
      <c r="C76" s="20">
        <f t="shared" si="41"/>
        <v>0.07077080491</v>
      </c>
      <c r="D76" s="27">
        <v>-6279.0</v>
      </c>
      <c r="E76" s="20">
        <f t="shared" si="42"/>
        <v>0.3014811276</v>
      </c>
      <c r="F76" s="27">
        <v>-8172.0</v>
      </c>
      <c r="G76" s="20">
        <f t="shared" si="43"/>
        <v>0.01554087127</v>
      </c>
      <c r="H76" s="27">
        <v>-8299.0</v>
      </c>
      <c r="J76" s="22"/>
      <c r="K76" s="19"/>
      <c r="N76" s="20"/>
      <c r="P76" s="197"/>
    </row>
    <row r="77">
      <c r="A77" s="9" t="s">
        <v>205</v>
      </c>
      <c r="B77" s="32">
        <v>-186.0</v>
      </c>
      <c r="C77" s="20">
        <f t="shared" si="41"/>
        <v>1.38172043</v>
      </c>
      <c r="D77" s="32">
        <v>-443.0</v>
      </c>
      <c r="E77" s="20">
        <f t="shared" si="42"/>
        <v>0.3318284424</v>
      </c>
      <c r="F77" s="32">
        <v>-590.0</v>
      </c>
      <c r="G77" s="20">
        <f t="shared" si="43"/>
        <v>0.6457627119</v>
      </c>
      <c r="H77" s="32">
        <v>-971.0</v>
      </c>
      <c r="J77" s="22"/>
      <c r="K77" s="50"/>
    </row>
    <row r="78">
      <c r="A78" s="9" t="s">
        <v>39</v>
      </c>
      <c r="B78" s="32">
        <v>-14465.0</v>
      </c>
      <c r="C78" s="20">
        <f t="shared" si="41"/>
        <v>0</v>
      </c>
      <c r="D78" s="32">
        <v>-14465.0</v>
      </c>
      <c r="E78" s="20">
        <f t="shared" si="42"/>
        <v>0.3450397511</v>
      </c>
      <c r="F78" s="32">
        <v>-19456.0</v>
      </c>
      <c r="G78" s="20">
        <f t="shared" si="43"/>
        <v>0.02646998355</v>
      </c>
      <c r="H78" s="32">
        <v>-19971.0</v>
      </c>
      <c r="J78" s="22"/>
      <c r="K78" s="19"/>
    </row>
    <row r="79">
      <c r="A79" s="9" t="s">
        <v>426</v>
      </c>
      <c r="B79" s="27">
        <v>-386.0</v>
      </c>
      <c r="C79" s="20">
        <f t="shared" si="41"/>
        <v>1.82642487</v>
      </c>
      <c r="D79" s="27">
        <v>-1091.0</v>
      </c>
      <c r="E79" s="20">
        <f t="shared" si="42"/>
        <v>-1</v>
      </c>
      <c r="F79" s="27">
        <v>0.0</v>
      </c>
      <c r="G79" s="20">
        <f t="shared" si="43"/>
        <v>0</v>
      </c>
      <c r="H79" s="27">
        <v>0.0</v>
      </c>
      <c r="Q79" s="23"/>
      <c r="R79" s="32"/>
    </row>
    <row r="80">
      <c r="A80" s="9" t="s">
        <v>427</v>
      </c>
      <c r="B80" s="27">
        <v>0.0</v>
      </c>
      <c r="C80" s="20">
        <f t="shared" si="41"/>
        <v>0</v>
      </c>
      <c r="D80" s="27">
        <v>0.0</v>
      </c>
      <c r="E80" s="20">
        <f t="shared" si="42"/>
        <v>0</v>
      </c>
      <c r="F80" s="27">
        <v>0.0</v>
      </c>
      <c r="G80" s="20">
        <f t="shared" si="43"/>
        <v>0</v>
      </c>
      <c r="H80" s="27">
        <v>3957.0</v>
      </c>
      <c r="Q80" s="27"/>
      <c r="R80" s="23"/>
      <c r="S80" s="20"/>
      <c r="T80" s="32"/>
      <c r="U80" s="20"/>
      <c r="V80" s="32"/>
    </row>
    <row r="81">
      <c r="A81" s="129" t="s">
        <v>208</v>
      </c>
      <c r="B81" s="140">
        <f>SUM(B75:B80)</f>
        <v>-15885</v>
      </c>
      <c r="C81" s="111">
        <f t="shared" si="41"/>
        <v>0.03556814605</v>
      </c>
      <c r="D81" s="140">
        <f>SUM(D75:D80)</f>
        <v>-16450</v>
      </c>
      <c r="E81" s="111">
        <f t="shared" si="42"/>
        <v>-0.7594528875</v>
      </c>
      <c r="F81" s="140">
        <f>SUM(F75:F80)</f>
        <v>-3957</v>
      </c>
      <c r="G81" s="111">
        <f t="shared" si="43"/>
        <v>-1.313115997</v>
      </c>
      <c r="H81" s="140">
        <f>SUM(H75:H80)</f>
        <v>1239</v>
      </c>
      <c r="Q81" s="20"/>
      <c r="R81" s="32"/>
      <c r="S81" s="20"/>
      <c r="T81" s="23"/>
      <c r="U81" s="20"/>
      <c r="V81" s="23"/>
    </row>
    <row r="82">
      <c r="S82" s="20"/>
      <c r="T82" s="32"/>
      <c r="U82" s="20"/>
      <c r="V82" s="32"/>
    </row>
    <row r="83">
      <c r="A83" s="72" t="s">
        <v>210</v>
      </c>
      <c r="B83" s="120">
        <f>SUM(B62,B72,B81)</f>
        <v>-12795</v>
      </c>
      <c r="C83" s="111">
        <f t="shared" ref="C83:C88" si="44">IFERROR(SUM((D83/B83)-1),0)</f>
        <v>-0.2007815553</v>
      </c>
      <c r="D83" s="120">
        <f>SUM(D62,D72,D81)</f>
        <v>-10226</v>
      </c>
      <c r="E83" s="111">
        <f t="shared" ref="E83:E88" si="45">IFERROR(SUM((F83/D83)-1),0)</f>
        <v>-1.378153726</v>
      </c>
      <c r="F83" s="120">
        <f>SUM(F62,F72,F81)</f>
        <v>3867</v>
      </c>
      <c r="G83" s="111">
        <f t="shared" ref="G83:G88" si="46">IFERROR(SUM((H83/F83)-1),0)</f>
        <v>1.984484096</v>
      </c>
      <c r="H83" s="120">
        <f>SUM(H62,H72,H81)</f>
        <v>11541</v>
      </c>
      <c r="V83" s="27"/>
    </row>
    <row r="84">
      <c r="A84" s="9" t="s">
        <v>212</v>
      </c>
      <c r="B84" s="27">
        <v>40563.0</v>
      </c>
      <c r="C84" s="20">
        <f t="shared" si="44"/>
        <v>0</v>
      </c>
      <c r="D84" s="27">
        <v>40563.0</v>
      </c>
      <c r="E84" s="20">
        <f t="shared" si="45"/>
        <v>-0.243867564</v>
      </c>
      <c r="F84" s="27">
        <v>30671.0</v>
      </c>
      <c r="G84" s="20">
        <f t="shared" si="46"/>
        <v>0</v>
      </c>
      <c r="H84" s="27">
        <v>30671.0</v>
      </c>
      <c r="V84" s="27"/>
    </row>
    <row r="85">
      <c r="A85" s="9" t="s">
        <v>386</v>
      </c>
      <c r="B85" s="27">
        <v>-1228.0</v>
      </c>
      <c r="C85" s="20">
        <f t="shared" si="44"/>
        <v>0.1938110749</v>
      </c>
      <c r="D85" s="27">
        <v>-1466.0</v>
      </c>
      <c r="E85" s="20">
        <f t="shared" si="45"/>
        <v>0.6978171896</v>
      </c>
      <c r="F85" s="27">
        <v>-2489.0</v>
      </c>
      <c r="G85" s="20">
        <f t="shared" si="46"/>
        <v>-0.3374849337</v>
      </c>
      <c r="H85" s="27">
        <v>-1649.0</v>
      </c>
      <c r="V85" s="27"/>
    </row>
    <row r="86">
      <c r="A86" s="9" t="s">
        <v>428</v>
      </c>
      <c r="B86" s="27">
        <v>0.0</v>
      </c>
      <c r="C86" s="20">
        <f t="shared" si="44"/>
        <v>0</v>
      </c>
      <c r="D86" s="27">
        <v>0.0</v>
      </c>
      <c r="E86" s="20">
        <f t="shared" si="45"/>
        <v>0</v>
      </c>
      <c r="F86" s="27">
        <v>-658.0</v>
      </c>
      <c r="G86" s="20">
        <f t="shared" si="46"/>
        <v>-1</v>
      </c>
      <c r="H86" s="27">
        <v>0.0</v>
      </c>
      <c r="V86" s="27"/>
    </row>
    <row r="87">
      <c r="A87" s="9" t="s">
        <v>429</v>
      </c>
      <c r="B87" s="27">
        <v>0.0</v>
      </c>
      <c r="C87" s="20">
        <f t="shared" si="44"/>
        <v>0</v>
      </c>
      <c r="D87" s="27">
        <v>0.0</v>
      </c>
      <c r="E87" s="20">
        <f t="shared" si="45"/>
        <v>0</v>
      </c>
      <c r="F87" s="27">
        <v>0.0</v>
      </c>
      <c r="G87" s="20">
        <f t="shared" si="46"/>
        <v>0</v>
      </c>
      <c r="H87" s="27">
        <v>0.0</v>
      </c>
      <c r="U87" s="9"/>
      <c r="V87" s="32"/>
    </row>
    <row r="88">
      <c r="A88" s="43" t="s">
        <v>214</v>
      </c>
      <c r="B88" s="42">
        <f>SUM(B83:B87)</f>
        <v>26540</v>
      </c>
      <c r="C88" s="48">
        <f t="shared" si="44"/>
        <v>0.08782969103</v>
      </c>
      <c r="D88" s="42">
        <f>SUM(D83:D87)</f>
        <v>28871</v>
      </c>
      <c r="E88" s="48">
        <f t="shared" si="45"/>
        <v>0.08728481868</v>
      </c>
      <c r="F88" s="42">
        <f>SUM(F83:F87)</f>
        <v>31391</v>
      </c>
      <c r="G88" s="48">
        <f t="shared" si="46"/>
        <v>0.2921856583</v>
      </c>
      <c r="H88" s="42">
        <f>SUM(H83:H87)</f>
        <v>40563</v>
      </c>
      <c r="L88" s="23"/>
      <c r="V88" s="32"/>
    </row>
    <row r="89">
      <c r="A89" s="238"/>
      <c r="B89" s="238"/>
      <c r="C89" s="239"/>
      <c r="D89" s="240"/>
      <c r="E89" s="239"/>
      <c r="F89" s="241"/>
      <c r="G89" s="238"/>
      <c r="H89" s="80"/>
      <c r="V89" s="27"/>
    </row>
    <row r="90">
      <c r="A90" s="81" t="s">
        <v>230</v>
      </c>
      <c r="B90" s="32"/>
      <c r="C90" s="20"/>
      <c r="D90" s="32"/>
      <c r="E90" s="20"/>
      <c r="F90" s="23"/>
      <c r="G90" s="67"/>
      <c r="H90" s="32"/>
    </row>
    <row r="91">
      <c r="A91" s="72" t="s">
        <v>123</v>
      </c>
      <c r="B91" s="27">
        <v>213595.0</v>
      </c>
      <c r="F91" s="23"/>
      <c r="G91" s="67"/>
      <c r="H91" s="32"/>
      <c r="I91" s="20"/>
      <c r="V91" s="23"/>
    </row>
    <row r="92">
      <c r="A92" s="9" t="s">
        <v>126</v>
      </c>
      <c r="B92" s="32">
        <v>-138887.0</v>
      </c>
      <c r="C92" s="20"/>
      <c r="D92" s="32"/>
      <c r="E92" s="20"/>
      <c r="F92" s="23"/>
      <c r="G92" s="9"/>
      <c r="H92" s="32"/>
      <c r="I92" s="20"/>
      <c r="V92" s="27"/>
    </row>
    <row r="93">
      <c r="A93" s="72" t="s">
        <v>130</v>
      </c>
      <c r="B93" s="27">
        <f>B91+B92</f>
        <v>74708</v>
      </c>
      <c r="E93" s="20"/>
      <c r="F93" s="23"/>
      <c r="H93" s="32"/>
      <c r="I93" s="20"/>
      <c r="J93" s="23"/>
      <c r="V93" s="27"/>
    </row>
    <row r="94">
      <c r="A94" s="67" t="s">
        <v>137</v>
      </c>
      <c r="C94" s="20"/>
      <c r="D94" s="23"/>
      <c r="E94" s="20"/>
      <c r="F94" s="23"/>
      <c r="I94" s="20"/>
      <c r="J94" s="23"/>
      <c r="V94" s="27"/>
    </row>
    <row r="95">
      <c r="A95" s="9" t="s">
        <v>384</v>
      </c>
      <c r="B95" s="27">
        <v>-3566.0</v>
      </c>
      <c r="C95" s="20"/>
      <c r="D95" s="23"/>
      <c r="E95" s="20"/>
      <c r="F95" s="23"/>
      <c r="H95" s="20"/>
      <c r="I95" s="20"/>
      <c r="J95" s="23"/>
    </row>
    <row r="96">
      <c r="A96" s="9" t="s">
        <v>151</v>
      </c>
      <c r="B96" s="20">
        <f>ABS(B95)/B91</f>
        <v>0.01669514736</v>
      </c>
      <c r="C96" s="20"/>
      <c r="D96" s="23"/>
      <c r="F96" s="23"/>
      <c r="H96" s="23"/>
      <c r="I96" s="20"/>
      <c r="J96" s="20"/>
    </row>
    <row r="97">
      <c r="A97" s="9" t="s">
        <v>389</v>
      </c>
      <c r="B97" s="27">
        <v>-3848.0</v>
      </c>
      <c r="D97" s="23"/>
      <c r="E97" s="20"/>
      <c r="F97" s="27"/>
      <c r="H97" s="23"/>
      <c r="I97" s="20"/>
      <c r="J97" s="20"/>
    </row>
    <row r="98">
      <c r="A98" s="9" t="s">
        <v>391</v>
      </c>
      <c r="B98" s="27">
        <v>-1507.0</v>
      </c>
      <c r="C98" s="20"/>
      <c r="D98" s="27"/>
      <c r="E98" s="20"/>
      <c r="F98" s="27"/>
      <c r="H98" s="23"/>
      <c r="I98" s="20"/>
      <c r="J98" s="23"/>
    </row>
    <row r="99">
      <c r="A99" s="9" t="s">
        <v>339</v>
      </c>
      <c r="B99" s="27">
        <v>-7501.0</v>
      </c>
      <c r="C99" s="20"/>
      <c r="D99" s="27"/>
      <c r="E99" s="20"/>
      <c r="F99" s="23"/>
      <c r="H99" s="27"/>
      <c r="I99" s="20"/>
      <c r="J99" s="23"/>
    </row>
    <row r="100">
      <c r="A100" s="9" t="s">
        <v>338</v>
      </c>
      <c r="B100" s="27">
        <v>-25147.0</v>
      </c>
      <c r="C100" s="20"/>
      <c r="D100" s="27"/>
      <c r="E100" s="20"/>
      <c r="H100" s="27"/>
      <c r="I100" s="20"/>
      <c r="J100" s="23"/>
    </row>
    <row r="101">
      <c r="A101" s="72" t="s">
        <v>164</v>
      </c>
      <c r="B101" s="120">
        <f>SUM(B95,B97,B100,B98,B99)</f>
        <v>-41569</v>
      </c>
      <c r="H101" s="27"/>
      <c r="I101" s="20"/>
      <c r="J101" s="20"/>
    </row>
    <row r="103">
      <c r="A103" s="72" t="s">
        <v>143</v>
      </c>
      <c r="B103" s="23">
        <f>SUM(B93,B101)</f>
        <v>33139</v>
      </c>
      <c r="E103" s="20"/>
      <c r="F103" s="32"/>
      <c r="G103" s="67"/>
    </row>
    <row r="104">
      <c r="C104" s="20"/>
      <c r="D104" s="32"/>
      <c r="E104" s="20"/>
      <c r="I104" s="20"/>
    </row>
    <row r="105">
      <c r="A105" s="9" t="s">
        <v>127</v>
      </c>
      <c r="B105" s="27">
        <v>2803.0</v>
      </c>
      <c r="C105" s="20"/>
      <c r="D105" s="27"/>
      <c r="E105" s="20"/>
      <c r="H105" s="32"/>
      <c r="I105" s="20"/>
      <c r="J105" s="20"/>
    </row>
    <row r="106">
      <c r="A106" s="9" t="s">
        <v>135</v>
      </c>
      <c r="B106" s="27">
        <v>-9179.0</v>
      </c>
      <c r="C106" s="20"/>
      <c r="D106" s="32"/>
      <c r="E106" s="20"/>
      <c r="G106" s="9"/>
      <c r="H106" s="27"/>
      <c r="I106" s="20"/>
      <c r="J106" s="20"/>
    </row>
    <row r="107">
      <c r="A107" s="9" t="s">
        <v>399</v>
      </c>
      <c r="B107" s="27">
        <v>1100.0</v>
      </c>
      <c r="C107" s="20"/>
      <c r="D107" s="27"/>
      <c r="E107" s="20"/>
      <c r="H107" s="32"/>
      <c r="I107" s="20"/>
      <c r="J107" s="20"/>
    </row>
    <row r="108">
      <c r="A108" s="9" t="s">
        <v>352</v>
      </c>
      <c r="B108" s="32">
        <v>-1170.0</v>
      </c>
      <c r="E108" s="20"/>
      <c r="G108" s="9"/>
      <c r="H108" s="27"/>
      <c r="I108" s="20"/>
      <c r="J108" s="27"/>
    </row>
    <row r="109">
      <c r="A109" s="72" t="s">
        <v>138</v>
      </c>
      <c r="B109" s="109">
        <f>B105+B106+B107+B108</f>
        <v>-6446</v>
      </c>
      <c r="C109" s="20"/>
      <c r="D109" s="27"/>
      <c r="E109" s="20"/>
      <c r="F109" s="20"/>
      <c r="G109" s="67"/>
      <c r="I109" s="20"/>
      <c r="J109" s="20"/>
    </row>
    <row r="110">
      <c r="C110" s="20"/>
      <c r="D110" s="27"/>
      <c r="H110" s="27"/>
      <c r="I110" s="20"/>
      <c r="J110" s="23"/>
    </row>
    <row r="111">
      <c r="C111" s="20"/>
      <c r="D111" s="20"/>
      <c r="E111" s="20"/>
      <c r="F111" s="32"/>
      <c r="H111" s="27"/>
    </row>
    <row r="112">
      <c r="A112" s="72" t="s">
        <v>146</v>
      </c>
      <c r="B112" s="244">
        <v>85890.0</v>
      </c>
      <c r="C112" s="20"/>
      <c r="D112" s="27"/>
      <c r="E112" s="20"/>
      <c r="F112" s="27"/>
      <c r="H112" s="20"/>
    </row>
    <row r="113">
      <c r="A113" s="9" t="s">
        <v>150</v>
      </c>
      <c r="B113" s="23">
        <f>B103+B109</f>
        <v>26693</v>
      </c>
      <c r="C113" s="20"/>
      <c r="D113" s="27"/>
      <c r="E113" s="20"/>
      <c r="F113" s="32"/>
      <c r="H113" s="27"/>
      <c r="I113" s="20"/>
      <c r="J113" s="20"/>
    </row>
    <row r="114">
      <c r="A114" s="9" t="s">
        <v>152</v>
      </c>
      <c r="B114" s="27">
        <v>-14882.0</v>
      </c>
      <c r="C114" s="20"/>
      <c r="D114" s="23"/>
      <c r="E114" s="20"/>
      <c r="F114" s="27"/>
      <c r="H114" s="27"/>
      <c r="I114" s="20"/>
      <c r="J114" s="20"/>
    </row>
    <row r="115">
      <c r="A115" s="72" t="s">
        <v>156</v>
      </c>
      <c r="B115" s="27">
        <f>B113+B114</f>
        <v>11811</v>
      </c>
      <c r="H115" s="23"/>
      <c r="I115" s="20"/>
      <c r="J115" s="20"/>
    </row>
    <row r="116">
      <c r="I116" s="20"/>
      <c r="J116" s="20"/>
    </row>
    <row r="119">
      <c r="I119" s="20"/>
      <c r="J119" s="23"/>
    </row>
    <row r="120">
      <c r="I120" s="20"/>
      <c r="J120" s="23"/>
    </row>
    <row r="123">
      <c r="I123" s="20"/>
      <c r="J123" s="23"/>
    </row>
    <row r="124">
      <c r="I124" s="20"/>
      <c r="J124" s="23"/>
    </row>
    <row r="125">
      <c r="I125" s="20"/>
      <c r="J125" s="23"/>
    </row>
    <row r="126">
      <c r="I126" s="20"/>
      <c r="J126" s="23"/>
    </row>
    <row r="153">
      <c r="B153" s="27"/>
      <c r="C153" s="20"/>
      <c r="D153" s="27"/>
    </row>
    <row r="154">
      <c r="C154" s="20"/>
      <c r="D154" s="32"/>
      <c r="H154" s="27"/>
    </row>
    <row r="155">
      <c r="A155" s="67"/>
      <c r="B155" s="158"/>
      <c r="C155" s="160"/>
      <c r="D155" s="158"/>
    </row>
    <row r="156">
      <c r="B156" s="23"/>
      <c r="D156" s="23"/>
      <c r="G156" s="67"/>
      <c r="H156" s="158"/>
    </row>
    <row r="157">
      <c r="B157" s="27"/>
      <c r="C157" s="20"/>
      <c r="D157" s="27"/>
      <c r="H157" s="23"/>
    </row>
    <row r="158">
      <c r="B158" s="27"/>
      <c r="C158" s="20"/>
      <c r="D158" s="27"/>
      <c r="H158" s="27"/>
    </row>
    <row r="159">
      <c r="B159" s="27"/>
      <c r="C159" s="20"/>
      <c r="D159" s="27"/>
      <c r="H159" s="27"/>
    </row>
    <row r="160">
      <c r="B160" s="27"/>
      <c r="C160" s="20"/>
      <c r="D160" s="27"/>
      <c r="H160" s="27"/>
    </row>
    <row r="161">
      <c r="A161" s="67"/>
      <c r="B161" s="158"/>
      <c r="C161" s="160"/>
      <c r="D161" s="158"/>
      <c r="H161" s="27"/>
    </row>
    <row r="162">
      <c r="B162" s="23"/>
      <c r="D162" s="23"/>
      <c r="G162" s="67"/>
      <c r="H162" s="158"/>
    </row>
    <row r="163">
      <c r="B163" s="27"/>
      <c r="D163" s="23"/>
      <c r="H163" s="23"/>
    </row>
    <row r="164">
      <c r="B164" s="27"/>
      <c r="C164" s="20"/>
      <c r="D164" s="27"/>
      <c r="H164" s="27"/>
    </row>
    <row r="165">
      <c r="B165" s="27"/>
      <c r="C165" s="20"/>
      <c r="D165" s="27"/>
      <c r="H165" s="27"/>
    </row>
    <row r="166">
      <c r="B166" s="27"/>
      <c r="C166" s="20"/>
      <c r="D166" s="27"/>
      <c r="H166" s="27"/>
    </row>
    <row r="167">
      <c r="B167" s="27"/>
      <c r="C167" s="20"/>
      <c r="D167" s="27"/>
      <c r="H167" s="27"/>
    </row>
    <row r="168">
      <c r="A168" s="67"/>
      <c r="B168" s="146"/>
      <c r="C168" s="160"/>
      <c r="D168" s="146"/>
      <c r="H168" s="27"/>
    </row>
    <row r="169">
      <c r="B169" s="23"/>
      <c r="D169" s="23"/>
      <c r="G169" s="67"/>
      <c r="H169" s="146"/>
    </row>
    <row r="170">
      <c r="A170" s="9"/>
      <c r="C170" s="20"/>
      <c r="H170" s="23"/>
    </row>
    <row r="171">
      <c r="B171" s="32"/>
      <c r="C171" s="20"/>
      <c r="D171" s="32"/>
      <c r="G171" s="9"/>
    </row>
    <row r="172">
      <c r="A172" s="9"/>
      <c r="B172" s="9"/>
      <c r="C172" s="20"/>
      <c r="D172" s="9"/>
      <c r="H172" s="32"/>
    </row>
    <row r="173">
      <c r="G173" s="9"/>
      <c r="H173" s="9"/>
    </row>
    <row r="177">
      <c r="C177" s="20"/>
      <c r="D177" s="23"/>
      <c r="G177" s="9"/>
    </row>
    <row r="178">
      <c r="C178" s="20"/>
      <c r="D178" s="27"/>
      <c r="E178" s="20"/>
      <c r="F178" s="23"/>
      <c r="G178" s="9"/>
      <c r="I178" s="20"/>
    </row>
    <row r="179">
      <c r="C179" s="20"/>
      <c r="D179" s="27"/>
      <c r="E179" s="20"/>
      <c r="F179" s="27"/>
      <c r="H179" s="23"/>
      <c r="I179" s="20"/>
      <c r="J179" s="23"/>
    </row>
    <row r="180">
      <c r="C180" s="20"/>
      <c r="D180" s="27"/>
      <c r="E180" s="20"/>
      <c r="F180" s="27"/>
      <c r="H180" s="23"/>
      <c r="I180" s="20"/>
      <c r="J180" s="23"/>
    </row>
    <row r="181">
      <c r="C181" s="20"/>
      <c r="D181" s="27"/>
      <c r="E181" s="20"/>
      <c r="F181" s="27"/>
      <c r="H181" s="23"/>
      <c r="I181" s="20"/>
      <c r="J181" s="23"/>
    </row>
    <row r="182">
      <c r="C182" s="20"/>
      <c r="D182" s="32"/>
      <c r="E182" s="20"/>
      <c r="F182" s="27"/>
      <c r="H182" s="23"/>
      <c r="I182" s="20"/>
      <c r="J182" s="23"/>
    </row>
    <row r="183">
      <c r="C183" s="20"/>
      <c r="D183" s="32"/>
      <c r="E183" s="20"/>
      <c r="F183" s="27"/>
      <c r="H183" s="20"/>
      <c r="I183" s="20"/>
      <c r="J183" s="20"/>
    </row>
    <row r="184">
      <c r="C184" s="20"/>
      <c r="D184" s="27"/>
      <c r="E184" s="20"/>
      <c r="F184" s="23"/>
      <c r="H184" s="20"/>
      <c r="I184" s="20"/>
      <c r="J184" s="20"/>
    </row>
    <row r="185">
      <c r="E185" s="20"/>
      <c r="F185" s="23"/>
      <c r="H185" s="23"/>
      <c r="I185" s="20"/>
      <c r="J185" s="23"/>
    </row>
    <row r="186">
      <c r="C186" s="20"/>
      <c r="D186" s="23"/>
      <c r="E186" s="20"/>
      <c r="F186" s="27"/>
      <c r="H186" s="23"/>
      <c r="I186" s="20"/>
      <c r="J186" s="23"/>
    </row>
    <row r="187">
      <c r="C187" s="20"/>
      <c r="D187" s="27"/>
      <c r="E187" s="20"/>
      <c r="F187" s="27"/>
      <c r="H187" s="23"/>
      <c r="I187" s="20"/>
      <c r="J187" s="23"/>
    </row>
    <row r="188">
      <c r="C188" s="20"/>
      <c r="D188" s="27"/>
      <c r="E188" s="20"/>
      <c r="F188" s="27"/>
      <c r="H188" s="20"/>
      <c r="I188" s="20"/>
      <c r="J188" s="20"/>
    </row>
    <row r="189">
      <c r="C189" s="20"/>
      <c r="D189" s="27"/>
      <c r="E189" s="20"/>
      <c r="F189" s="27"/>
      <c r="G189" s="67"/>
    </row>
    <row r="190">
      <c r="C190" s="20"/>
      <c r="D190" s="27"/>
      <c r="F190" s="23"/>
      <c r="G190" s="67"/>
    </row>
    <row r="191">
      <c r="C191" s="20"/>
      <c r="D191" s="32"/>
      <c r="E191" s="20"/>
      <c r="F191" s="23"/>
      <c r="G191" s="9"/>
      <c r="I191" s="20"/>
    </row>
    <row r="192">
      <c r="C192" s="20"/>
      <c r="D192" s="32"/>
      <c r="E192" s="20"/>
      <c r="F192" s="23"/>
      <c r="G192" s="9"/>
      <c r="H192" s="20"/>
      <c r="I192" s="20"/>
      <c r="J192" s="20"/>
    </row>
    <row r="193">
      <c r="C193" s="20"/>
      <c r="D193" s="32"/>
      <c r="E193" s="20"/>
      <c r="F193" s="23"/>
      <c r="G193" s="9"/>
      <c r="H193" s="20"/>
      <c r="I193" s="20"/>
      <c r="J193" s="20"/>
    </row>
    <row r="194">
      <c r="C194" s="20"/>
      <c r="D194" s="32"/>
      <c r="E194" s="20"/>
      <c r="F194" s="23"/>
      <c r="G194" s="9"/>
      <c r="H194" s="20"/>
      <c r="I194" s="20"/>
      <c r="J194" s="20"/>
    </row>
    <row r="195">
      <c r="E195" s="20"/>
      <c r="F195" s="23"/>
      <c r="G195" s="9"/>
      <c r="H195" s="27"/>
      <c r="I195" s="20"/>
      <c r="J195" s="27"/>
    </row>
    <row r="196">
      <c r="C196" s="20"/>
      <c r="D196" s="23"/>
      <c r="E196" s="20"/>
      <c r="F196" s="23"/>
      <c r="G196" s="9"/>
      <c r="H196" s="20"/>
      <c r="I196" s="20"/>
      <c r="J196" s="20"/>
    </row>
    <row r="197">
      <c r="C197" s="20"/>
      <c r="D197" s="23"/>
      <c r="E197" s="20"/>
      <c r="F197" s="23"/>
      <c r="H197" s="23"/>
      <c r="I197" s="20"/>
      <c r="J197" s="23"/>
    </row>
    <row r="198">
      <c r="C198" s="20"/>
      <c r="D198" s="23"/>
      <c r="F198" s="23"/>
    </row>
    <row r="199">
      <c r="D199" s="23"/>
      <c r="E199" s="20"/>
      <c r="F199" s="27"/>
      <c r="G199" s="67"/>
    </row>
    <row r="200">
      <c r="C200" s="20"/>
      <c r="D200" s="27"/>
      <c r="E200" s="20"/>
      <c r="F200" s="27"/>
      <c r="G200" s="9"/>
      <c r="H200" s="20"/>
      <c r="I200" s="20"/>
      <c r="J200" s="20"/>
    </row>
    <row r="201">
      <c r="C201" s="20"/>
      <c r="D201" s="27"/>
      <c r="E201" s="20"/>
      <c r="F201" s="23"/>
      <c r="G201" s="9"/>
      <c r="H201" s="20"/>
      <c r="I201" s="20"/>
      <c r="J201" s="20"/>
    </row>
    <row r="202">
      <c r="C202" s="20"/>
      <c r="D202" s="27"/>
      <c r="E202" s="20"/>
      <c r="G202" s="9"/>
      <c r="H202" s="20"/>
      <c r="I202" s="20"/>
      <c r="J202" s="20"/>
    </row>
    <row r="203">
      <c r="G203" s="9"/>
      <c r="H203" s="20"/>
      <c r="I203" s="20"/>
      <c r="J203" s="20"/>
    </row>
    <row r="205">
      <c r="E205" s="20"/>
      <c r="F205" s="32"/>
      <c r="G205" s="67"/>
    </row>
    <row r="206">
      <c r="C206" s="20"/>
      <c r="D206" s="32"/>
      <c r="E206" s="20"/>
      <c r="H206" s="23"/>
      <c r="I206" s="20"/>
      <c r="J206" s="23"/>
    </row>
    <row r="207">
      <c r="C207" s="20"/>
      <c r="D207" s="27"/>
      <c r="E207" s="20"/>
      <c r="H207" s="23"/>
      <c r="I207" s="20"/>
      <c r="J207" s="23"/>
    </row>
    <row r="208">
      <c r="C208" s="20"/>
      <c r="D208" s="32"/>
      <c r="E208" s="20"/>
    </row>
    <row r="209">
      <c r="C209" s="20"/>
      <c r="D209" s="27"/>
      <c r="E209" s="20"/>
      <c r="G209" s="9"/>
    </row>
    <row r="210">
      <c r="E210" s="20"/>
      <c r="H210" s="23"/>
      <c r="I210" s="20"/>
      <c r="J210" s="23"/>
    </row>
    <row r="211">
      <c r="C211" s="20"/>
      <c r="D211" s="27"/>
      <c r="E211" s="20"/>
      <c r="F211" s="20"/>
      <c r="H211" s="23"/>
      <c r="I211" s="20"/>
      <c r="J211" s="23"/>
    </row>
    <row r="212">
      <c r="C212" s="20"/>
      <c r="D212" s="27"/>
      <c r="H212" s="23"/>
      <c r="I212" s="20"/>
      <c r="J212" s="23"/>
    </row>
    <row r="213">
      <c r="C213" s="20"/>
      <c r="D213" s="20"/>
      <c r="E213" s="20"/>
      <c r="F213" s="32"/>
      <c r="H213" s="23"/>
      <c r="I213" s="20"/>
      <c r="J213" s="23"/>
    </row>
    <row r="214">
      <c r="C214" s="20"/>
      <c r="D214" s="27"/>
      <c r="E214" s="20"/>
      <c r="F214" s="27"/>
    </row>
    <row r="215">
      <c r="C215" s="20"/>
      <c r="D215" s="27"/>
      <c r="E215" s="20"/>
      <c r="F215" s="32"/>
    </row>
    <row r="216">
      <c r="C216" s="20"/>
      <c r="D216" s="23"/>
      <c r="E216" s="20"/>
      <c r="F216" s="27"/>
    </row>
    <row r="217">
      <c r="E217" s="20"/>
      <c r="F217" s="32"/>
    </row>
    <row r="218">
      <c r="D218" s="27"/>
      <c r="E218" s="20"/>
      <c r="F218" s="32"/>
    </row>
    <row r="219">
      <c r="C219" s="20"/>
      <c r="E219" s="20"/>
    </row>
    <row r="220">
      <c r="E220" s="20"/>
    </row>
    <row r="221">
      <c r="C221" s="20"/>
      <c r="D221" s="27"/>
      <c r="E221" s="20"/>
    </row>
    <row r="222">
      <c r="C222" s="20"/>
      <c r="D222" s="27"/>
      <c r="E222" s="20"/>
      <c r="F222" s="32"/>
    </row>
    <row r="223">
      <c r="C223" s="20"/>
      <c r="D223" s="27"/>
      <c r="E223" s="20"/>
    </row>
    <row r="225">
      <c r="C225" s="20"/>
    </row>
    <row r="226">
      <c r="C226" s="20"/>
      <c r="E226" s="20"/>
      <c r="F226" s="20"/>
    </row>
    <row r="227">
      <c r="C227" s="20"/>
      <c r="D227" s="27"/>
      <c r="E227" s="20"/>
      <c r="F227" s="20"/>
    </row>
    <row r="228">
      <c r="C228" s="20"/>
      <c r="E228" s="20"/>
      <c r="F228" s="20"/>
    </row>
    <row r="232">
      <c r="C232" s="20"/>
      <c r="D232" s="27"/>
    </row>
    <row r="233">
      <c r="C233" s="20"/>
      <c r="D233" s="27"/>
    </row>
    <row r="234">
      <c r="C234" s="20"/>
      <c r="D234" s="27"/>
    </row>
    <row r="235">
      <c r="C235" s="20"/>
      <c r="D235" s="27"/>
    </row>
    <row r="236">
      <c r="C236" s="20"/>
      <c r="D236" s="27"/>
    </row>
    <row r="237">
      <c r="C237" s="20"/>
      <c r="D237" s="27"/>
    </row>
    <row r="238">
      <c r="C238" s="20"/>
      <c r="D238" s="27"/>
    </row>
    <row r="239">
      <c r="C239" s="20"/>
      <c r="D239" s="27"/>
    </row>
    <row r="240">
      <c r="C240" s="20"/>
      <c r="D240" s="27"/>
    </row>
    <row r="241">
      <c r="C241" s="20"/>
      <c r="D241" s="32"/>
    </row>
    <row r="242">
      <c r="C242" s="160"/>
      <c r="D242" s="158"/>
    </row>
    <row r="243">
      <c r="D243" s="23"/>
    </row>
    <row r="244">
      <c r="C244" s="20"/>
      <c r="D244" s="27"/>
    </row>
    <row r="245">
      <c r="C245" s="20"/>
      <c r="D245" s="27"/>
    </row>
    <row r="246">
      <c r="C246" s="20"/>
      <c r="D246" s="27"/>
    </row>
    <row r="247">
      <c r="C247" s="20"/>
      <c r="D247" s="27"/>
    </row>
    <row r="248">
      <c r="C248" s="160"/>
      <c r="D248" s="158"/>
    </row>
    <row r="249">
      <c r="D249" s="23"/>
    </row>
    <row r="250">
      <c r="D250" s="23"/>
    </row>
    <row r="251">
      <c r="C251" s="20"/>
      <c r="D251" s="27"/>
    </row>
    <row r="252">
      <c r="C252" s="20"/>
      <c r="D252" s="27"/>
    </row>
    <row r="253">
      <c r="C253" s="20"/>
      <c r="D253" s="27"/>
    </row>
    <row r="254">
      <c r="C254" s="20"/>
      <c r="D254" s="27"/>
    </row>
    <row r="255">
      <c r="C255" s="160"/>
      <c r="D255" s="146"/>
    </row>
    <row r="256">
      <c r="D256" s="23"/>
    </row>
    <row r="257">
      <c r="C257" s="20"/>
    </row>
    <row r="258">
      <c r="C258" s="20"/>
      <c r="D258" s="32"/>
    </row>
    <row r="259">
      <c r="C259" s="20"/>
      <c r="D259" s="9"/>
    </row>
    <row r="263">
      <c r="A263" s="9"/>
    </row>
    <row r="265">
      <c r="B265" s="23"/>
      <c r="C265" s="20"/>
      <c r="D265" s="23"/>
      <c r="G265" s="9"/>
    </row>
    <row r="266">
      <c r="B266" s="27"/>
      <c r="C266" s="20"/>
      <c r="D266" s="27"/>
      <c r="E266" s="20"/>
      <c r="F266" s="23"/>
      <c r="G266" s="9"/>
      <c r="I266" s="20"/>
    </row>
    <row r="267">
      <c r="B267" s="27"/>
      <c r="C267" s="20"/>
      <c r="D267" s="27"/>
      <c r="E267" s="20"/>
      <c r="F267" s="27"/>
      <c r="H267" s="23"/>
      <c r="I267" s="20"/>
      <c r="J267" s="23"/>
    </row>
    <row r="268">
      <c r="B268" s="27"/>
      <c r="C268" s="20"/>
      <c r="D268" s="27"/>
      <c r="E268" s="20"/>
      <c r="F268" s="27"/>
      <c r="H268" s="23"/>
      <c r="I268" s="20"/>
      <c r="J268" s="23"/>
    </row>
    <row r="269">
      <c r="B269" s="27"/>
      <c r="C269" s="20"/>
      <c r="D269" s="27"/>
      <c r="E269" s="20"/>
      <c r="F269" s="27"/>
      <c r="H269" s="23"/>
      <c r="I269" s="20"/>
      <c r="J269" s="23"/>
    </row>
    <row r="270">
      <c r="A270" s="9"/>
      <c r="B270" s="32"/>
      <c r="C270" s="20"/>
      <c r="D270" s="32"/>
      <c r="E270" s="20"/>
      <c r="F270" s="27"/>
      <c r="H270" s="23"/>
      <c r="I270" s="20"/>
      <c r="J270" s="23"/>
    </row>
    <row r="271">
      <c r="B271" s="32"/>
      <c r="C271" s="20"/>
      <c r="D271" s="32"/>
      <c r="E271" s="20"/>
      <c r="F271" s="27"/>
      <c r="H271" s="20"/>
      <c r="I271" s="20"/>
      <c r="J271" s="20"/>
    </row>
    <row r="272">
      <c r="B272" s="27"/>
      <c r="C272" s="20"/>
      <c r="D272" s="27"/>
      <c r="E272" s="20"/>
      <c r="F272" s="23"/>
      <c r="H272" s="20"/>
      <c r="I272" s="20"/>
      <c r="J272" s="20"/>
    </row>
    <row r="273">
      <c r="E273" s="20"/>
      <c r="F273" s="23"/>
      <c r="H273" s="23"/>
      <c r="I273" s="20"/>
      <c r="J273" s="23"/>
    </row>
    <row r="274">
      <c r="B274" s="23"/>
      <c r="C274" s="20"/>
      <c r="D274" s="23"/>
      <c r="E274" s="20"/>
      <c r="F274" s="27"/>
      <c r="H274" s="23"/>
      <c r="I274" s="20"/>
      <c r="J274" s="23"/>
    </row>
    <row r="275">
      <c r="B275" s="27"/>
      <c r="C275" s="20"/>
      <c r="D275" s="27"/>
      <c r="E275" s="20"/>
      <c r="F275" s="27"/>
      <c r="H275" s="23"/>
      <c r="I275" s="20"/>
      <c r="J275" s="23"/>
    </row>
    <row r="276">
      <c r="B276" s="27"/>
      <c r="C276" s="20"/>
      <c r="D276" s="27"/>
      <c r="E276" s="20"/>
      <c r="F276" s="27"/>
      <c r="H276" s="20"/>
      <c r="I276" s="20"/>
      <c r="J276" s="20"/>
    </row>
    <row r="277">
      <c r="B277" s="27"/>
      <c r="C277" s="20"/>
      <c r="D277" s="27"/>
      <c r="E277" s="20"/>
      <c r="F277" s="27"/>
      <c r="G277" s="67"/>
    </row>
    <row r="278">
      <c r="B278" s="27"/>
      <c r="C278" s="20"/>
      <c r="D278" s="27"/>
      <c r="F278" s="23"/>
      <c r="G278" s="67"/>
    </row>
    <row r="279">
      <c r="A279" s="67"/>
      <c r="B279" s="32"/>
      <c r="C279" s="20"/>
      <c r="D279" s="32"/>
      <c r="E279" s="20"/>
      <c r="F279" s="23"/>
      <c r="G279" s="9"/>
      <c r="I279" s="20"/>
    </row>
    <row r="280">
      <c r="A280" s="67"/>
      <c r="B280" s="32"/>
      <c r="C280" s="20"/>
      <c r="D280" s="32"/>
      <c r="E280" s="20"/>
      <c r="F280" s="23"/>
      <c r="G280" s="9"/>
      <c r="H280" s="20"/>
      <c r="I280" s="20"/>
      <c r="J280" s="20"/>
    </row>
    <row r="281">
      <c r="A281" s="9"/>
      <c r="B281" s="32"/>
      <c r="C281" s="20"/>
      <c r="D281" s="32"/>
      <c r="E281" s="20"/>
      <c r="F281" s="23"/>
      <c r="G281" s="9"/>
      <c r="H281" s="20"/>
      <c r="I281" s="20"/>
      <c r="J281" s="20"/>
    </row>
    <row r="282">
      <c r="B282" s="32"/>
      <c r="C282" s="20"/>
      <c r="D282" s="32"/>
      <c r="E282" s="20"/>
      <c r="F282" s="23"/>
      <c r="G282" s="9"/>
      <c r="H282" s="20"/>
      <c r="I282" s="20"/>
      <c r="J282" s="20"/>
    </row>
    <row r="283">
      <c r="E283" s="20"/>
      <c r="F283" s="23"/>
      <c r="G283" s="9"/>
      <c r="H283" s="27"/>
      <c r="I283" s="20"/>
      <c r="J283" s="27"/>
    </row>
    <row r="284">
      <c r="B284" s="20"/>
      <c r="C284" s="20"/>
      <c r="D284" s="23"/>
      <c r="E284" s="20"/>
      <c r="F284" s="23"/>
      <c r="G284" s="9"/>
      <c r="H284" s="20"/>
      <c r="I284" s="20"/>
      <c r="J284" s="20"/>
    </row>
    <row r="285">
      <c r="B285" s="23"/>
      <c r="C285" s="20"/>
      <c r="D285" s="23"/>
      <c r="E285" s="20"/>
      <c r="F285" s="23"/>
      <c r="H285" s="23"/>
      <c r="I285" s="20"/>
      <c r="J285" s="23"/>
    </row>
    <row r="286">
      <c r="B286" s="23"/>
      <c r="C286" s="20"/>
      <c r="D286" s="23"/>
      <c r="F286" s="23"/>
    </row>
    <row r="287">
      <c r="B287" s="23"/>
      <c r="D287" s="23"/>
      <c r="E287" s="20"/>
      <c r="F287" s="27"/>
      <c r="G287" s="67"/>
    </row>
    <row r="288">
      <c r="B288" s="27"/>
      <c r="C288" s="20"/>
      <c r="D288" s="27"/>
      <c r="E288" s="20"/>
      <c r="F288" s="27"/>
      <c r="G288" s="9"/>
      <c r="H288" s="20"/>
      <c r="I288" s="20"/>
      <c r="J288" s="20"/>
    </row>
    <row r="289">
      <c r="B289" s="27"/>
      <c r="C289" s="20"/>
      <c r="D289" s="27"/>
      <c r="E289" s="20"/>
      <c r="F289" s="23"/>
      <c r="G289" s="9"/>
      <c r="H289" s="20"/>
      <c r="I289" s="20"/>
      <c r="J289" s="20"/>
    </row>
    <row r="290">
      <c r="B290" s="27"/>
      <c r="C290" s="20"/>
      <c r="D290" s="27"/>
      <c r="E290" s="20"/>
      <c r="G290" s="9"/>
      <c r="H290" s="20"/>
      <c r="I290" s="20"/>
      <c r="J290" s="20"/>
    </row>
    <row r="291">
      <c r="G291" s="9"/>
      <c r="H291" s="20"/>
      <c r="I291" s="20"/>
      <c r="J291" s="20"/>
    </row>
    <row r="292">
      <c r="A292" s="67"/>
    </row>
    <row r="293">
      <c r="E293" s="20"/>
      <c r="F293" s="32"/>
      <c r="G293" s="67"/>
    </row>
    <row r="294">
      <c r="B294" s="32"/>
      <c r="C294" s="20"/>
      <c r="D294" s="32"/>
      <c r="E294" s="20"/>
      <c r="H294" s="23"/>
      <c r="I294" s="20"/>
      <c r="J294" s="23"/>
    </row>
    <row r="295">
      <c r="A295" s="9"/>
      <c r="B295" s="27"/>
      <c r="C295" s="20"/>
      <c r="D295" s="27"/>
      <c r="E295" s="20"/>
      <c r="H295" s="23"/>
      <c r="I295" s="20"/>
      <c r="J295" s="23"/>
    </row>
    <row r="296">
      <c r="B296" s="32"/>
      <c r="C296" s="20"/>
      <c r="D296" s="32"/>
      <c r="E296" s="20"/>
    </row>
    <row r="297">
      <c r="A297" s="9"/>
      <c r="B297" s="27"/>
      <c r="C297" s="20"/>
      <c r="D297" s="27"/>
      <c r="E297" s="20"/>
      <c r="G297" s="9"/>
    </row>
    <row r="298">
      <c r="A298" s="67"/>
      <c r="E298" s="20"/>
      <c r="H298" s="23"/>
      <c r="I298" s="20"/>
      <c r="J298" s="23"/>
    </row>
    <row r="299">
      <c r="B299" s="27"/>
      <c r="C299" s="20"/>
      <c r="D299" s="27"/>
      <c r="E299" s="20"/>
      <c r="F299" s="20"/>
      <c r="H299" s="23"/>
      <c r="I299" s="20"/>
      <c r="J299" s="23"/>
    </row>
    <row r="300">
      <c r="B300" s="27"/>
      <c r="C300" s="20"/>
      <c r="D300" s="27"/>
      <c r="H300" s="23"/>
      <c r="I300" s="20"/>
      <c r="J300" s="23"/>
    </row>
    <row r="301">
      <c r="B301" s="20"/>
      <c r="C301" s="20"/>
      <c r="D301" s="20"/>
      <c r="E301" s="20"/>
      <c r="F301" s="32"/>
      <c r="H301" s="23"/>
      <c r="I301" s="20"/>
      <c r="J301" s="23"/>
    </row>
    <row r="302">
      <c r="B302" s="27"/>
      <c r="C302" s="20"/>
      <c r="D302" s="27"/>
      <c r="E302" s="20"/>
      <c r="F302" s="27"/>
    </row>
    <row r="303">
      <c r="B303" s="27"/>
      <c r="C303" s="20"/>
      <c r="D303" s="27"/>
      <c r="E303" s="20"/>
      <c r="F303" s="32"/>
    </row>
    <row r="304">
      <c r="B304" s="23"/>
      <c r="C304" s="20"/>
      <c r="D304" s="23"/>
      <c r="E304" s="20"/>
      <c r="F304" s="27"/>
    </row>
    <row r="305">
      <c r="E305" s="20"/>
      <c r="F305" s="32"/>
    </row>
    <row r="306">
      <c r="B306" s="27"/>
      <c r="D306" s="27"/>
      <c r="E306" s="20"/>
      <c r="F306" s="32"/>
    </row>
    <row r="307">
      <c r="A307" s="9"/>
      <c r="C307" s="20"/>
      <c r="E307" s="20"/>
    </row>
    <row r="308">
      <c r="E308" s="20"/>
    </row>
    <row r="309">
      <c r="B309" s="27"/>
      <c r="C309" s="20"/>
      <c r="D309" s="27"/>
      <c r="E309" s="20"/>
    </row>
    <row r="310">
      <c r="B310" s="27"/>
      <c r="C310" s="20"/>
      <c r="D310" s="27"/>
      <c r="E310" s="20"/>
      <c r="F310" s="32"/>
    </row>
    <row r="311">
      <c r="B311" s="27"/>
      <c r="C311" s="20"/>
      <c r="D311" s="27"/>
      <c r="E311" s="20"/>
    </row>
    <row r="313">
      <c r="A313" s="9"/>
      <c r="C313" s="20"/>
    </row>
    <row r="314">
      <c r="C314" s="20"/>
      <c r="E314" s="20"/>
      <c r="F314" s="20"/>
    </row>
    <row r="315">
      <c r="B315" s="27"/>
      <c r="C315" s="20"/>
      <c r="D315" s="27"/>
      <c r="E315" s="20"/>
      <c r="F315" s="20"/>
    </row>
    <row r="316">
      <c r="A316" s="9"/>
      <c r="C316" s="20"/>
      <c r="E316" s="20"/>
      <c r="F316" s="20"/>
    </row>
    <row r="318">
      <c r="A318" s="9"/>
    </row>
    <row r="319">
      <c r="A319" s="67"/>
    </row>
    <row r="320">
      <c r="B320" s="27"/>
      <c r="C320" s="20"/>
      <c r="D320" s="27"/>
    </row>
    <row r="321">
      <c r="A321" s="150"/>
      <c r="B321" s="27"/>
      <c r="C321" s="20"/>
      <c r="D321" s="27"/>
    </row>
    <row r="322">
      <c r="B322" s="27"/>
      <c r="C322" s="20"/>
      <c r="D322" s="27"/>
    </row>
    <row r="323">
      <c r="B323" s="27"/>
      <c r="C323" s="20"/>
      <c r="D323" s="27"/>
    </row>
    <row r="324">
      <c r="A324" s="9"/>
      <c r="B324" s="27"/>
      <c r="C324" s="20"/>
      <c r="D324" s="27"/>
    </row>
    <row r="325">
      <c r="B325" s="27"/>
      <c r="C325" s="20"/>
      <c r="D325" s="27"/>
    </row>
    <row r="326">
      <c r="B326" s="27"/>
      <c r="C326" s="20"/>
      <c r="D326" s="27"/>
    </row>
    <row r="327">
      <c r="B327" s="27"/>
      <c r="C327" s="20"/>
      <c r="D327" s="27"/>
    </row>
    <row r="328">
      <c r="B328" s="27"/>
      <c r="C328" s="20"/>
      <c r="D328" s="27"/>
    </row>
    <row r="329">
      <c r="C329" s="20"/>
      <c r="D329" s="32"/>
    </row>
    <row r="330">
      <c r="A330" s="67"/>
      <c r="B330" s="158"/>
      <c r="C330" s="160"/>
      <c r="D330" s="158"/>
    </row>
    <row r="331">
      <c r="B331" s="23"/>
      <c r="D331" s="23"/>
    </row>
    <row r="332">
      <c r="B332" s="27"/>
      <c r="C332" s="20"/>
      <c r="D332" s="27"/>
    </row>
    <row r="333">
      <c r="B333" s="27"/>
      <c r="C333" s="20"/>
      <c r="D333" s="27"/>
    </row>
    <row r="334">
      <c r="B334" s="27"/>
      <c r="C334" s="20"/>
      <c r="D334" s="27"/>
    </row>
    <row r="335">
      <c r="B335" s="27"/>
      <c r="C335" s="20"/>
      <c r="D335" s="27"/>
    </row>
    <row r="336">
      <c r="A336" s="67"/>
      <c r="B336" s="158"/>
      <c r="C336" s="160"/>
      <c r="D336" s="158"/>
    </row>
    <row r="337">
      <c r="B337" s="23"/>
      <c r="D337" s="23"/>
    </row>
    <row r="338">
      <c r="B338" s="27"/>
      <c r="D338" s="23"/>
    </row>
    <row r="339">
      <c r="B339" s="27"/>
      <c r="C339" s="20"/>
      <c r="D339" s="27"/>
    </row>
    <row r="340">
      <c r="B340" s="27"/>
      <c r="C340" s="20"/>
      <c r="D340" s="27"/>
    </row>
    <row r="341">
      <c r="B341" s="27"/>
      <c r="C341" s="20"/>
      <c r="D341" s="27"/>
    </row>
    <row r="342">
      <c r="B342" s="27"/>
      <c r="C342" s="20"/>
      <c r="D342" s="27"/>
    </row>
    <row r="343">
      <c r="A343" s="67"/>
      <c r="B343" s="146"/>
      <c r="C343" s="160"/>
      <c r="D343" s="146"/>
    </row>
    <row r="344">
      <c r="B344" s="23"/>
      <c r="D344" s="23"/>
    </row>
    <row r="345">
      <c r="A345" s="9"/>
      <c r="C345" s="20"/>
    </row>
    <row r="346">
      <c r="B346" s="32"/>
      <c r="C346" s="20"/>
      <c r="D346" s="32"/>
    </row>
    <row r="347">
      <c r="B347" s="9"/>
      <c r="C347" s="20"/>
      <c r="D347" s="9"/>
    </row>
  </sheetData>
  <mergeCells count="1">
    <mergeCell ref="Q15:R15"/>
  </mergeCells>
  <dataValidations>
    <dataValidation type="list" allowBlank="1" showErrorMessage="1" sqref="B1 D1 F1 H1">
      <formula1>"Feito,Não,Atual"</formula1>
    </dataValidation>
    <dataValidation type="custom" allowBlank="1" showDropDown="1" sqref="K28:K36 M28:N36">
      <formula1>AND(ISNUMBER(K28),(NOT(OR(NOT(ISERROR(DATEVALUE(K28))), AND(ISNUMBER(K28), LEFT(CELL("format", K28))="D")))))</formula1>
    </dataValidation>
  </dataValidations>
  <drawing r:id="rId2"/>
  <legacyDrawing r:id="rId3"/>
  <tableParts count="2">
    <tablePart r:id="rId6"/>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63"/>
    <col customWidth="1" min="2" max="2" width="18.0"/>
    <col customWidth="1" min="3" max="3" width="9.88"/>
    <col customWidth="1" min="4" max="5" width="19.38"/>
    <col customWidth="1" min="6" max="6" width="16.0"/>
    <col customWidth="1" min="7" max="7" width="12.5"/>
    <col customWidth="1" min="8" max="8" width="15.63"/>
    <col customWidth="1" min="9" max="9" width="9.13"/>
    <col customWidth="1" min="10" max="10" width="42.25"/>
    <col customWidth="1" min="11" max="11" width="20.75"/>
    <col customWidth="1" min="12" max="12" width="19.5"/>
    <col customWidth="1" min="13" max="13" width="35.38"/>
    <col customWidth="1" min="14" max="14" width="20.63"/>
    <col customWidth="1" min="15" max="15" width="19.38"/>
    <col customWidth="1" min="16" max="16" width="21.63"/>
    <col customWidth="1" min="17" max="17" width="24.5"/>
    <col customWidth="1" min="18" max="18" width="22.63"/>
    <col customWidth="1" min="20" max="20" width="20.63"/>
    <col customWidth="1" min="21" max="21" width="18.13"/>
  </cols>
  <sheetData>
    <row r="1">
      <c r="A1" s="1"/>
      <c r="B1" s="2" t="s">
        <v>1</v>
      </c>
      <c r="C1" s="3">
        <v>46058.0</v>
      </c>
      <c r="D1" s="2" t="s">
        <v>2</v>
      </c>
      <c r="E1" s="4">
        <v>46246.0</v>
      </c>
      <c r="F1" s="2" t="s">
        <v>3</v>
      </c>
      <c r="G1" s="3">
        <v>46058.0</v>
      </c>
      <c r="H1" s="2" t="s">
        <v>3</v>
      </c>
      <c r="I1" s="3">
        <v>46058.0</v>
      </c>
      <c r="J1" s="5" t="s">
        <v>4</v>
      </c>
      <c r="K1" s="181">
        <f t="array" ref="K1">IFERROR(INDEX('Indicadores_Ações'!$A$10:$L$23, MATCH($J$2, 'Indicadores_Ações'!$A$10:$A$23, 0), MATCH('Indicadores_Ações'!$B$9, 'Indicadores_Ações'!$A$9:$L$9, 0)),"")</f>
        <v>46203</v>
      </c>
      <c r="L1" s="79"/>
      <c r="M1" s="79"/>
    </row>
    <row r="2">
      <c r="A2" s="10" t="s">
        <v>235</v>
      </c>
      <c r="B2" s="9"/>
      <c r="C2" s="9" t="s">
        <v>236</v>
      </c>
      <c r="D2" s="9"/>
      <c r="J2" s="11" t="s">
        <v>237</v>
      </c>
      <c r="K2" s="170">
        <f>IFERROR(__xludf.DUMMYFUNCTION("(GOOGLEFINANCE(""BVMF:"" &amp; J2))"),22.43)</f>
        <v>22.43</v>
      </c>
      <c r="L2" s="13">
        <f t="array" ref="L2">IFERROR(INDEX(Indicador_Ações[], MATCH($J$2, Indicador_Ações[Stock], 0), MATCH(Indicador_Ações[[#HEADERS],[qtd_acao]], Indicador_Ações[#HEADERS], 0)),"")</f>
        <v>5730830000</v>
      </c>
      <c r="M2" s="15" t="s">
        <v>10</v>
      </c>
    </row>
    <row r="3">
      <c r="A3" s="9" t="s">
        <v>11</v>
      </c>
      <c r="B3" s="9" t="s">
        <v>12</v>
      </c>
      <c r="C3" s="9" t="s">
        <v>13</v>
      </c>
      <c r="D3" s="9" t="s">
        <v>14</v>
      </c>
      <c r="E3" s="9" t="s">
        <v>15</v>
      </c>
      <c r="F3" s="9" t="s">
        <v>16</v>
      </c>
      <c r="G3" s="9" t="s">
        <v>17</v>
      </c>
      <c r="H3" s="9" t="s">
        <v>18</v>
      </c>
      <c r="J3" s="17" t="s">
        <v>19</v>
      </c>
      <c r="K3" s="178">
        <v>1000.0</v>
      </c>
      <c r="L3" s="20">
        <f>K13/K4</f>
        <v>0.04148510236</v>
      </c>
      <c r="M3" s="9" t="s">
        <v>239</v>
      </c>
      <c r="N3" s="21" t="s">
        <v>91</v>
      </c>
      <c r="O3" s="28">
        <f>'Indicadores_Ações'!$B$3</f>
        <v>0.139</v>
      </c>
    </row>
    <row r="4">
      <c r="A4" s="131" t="s">
        <v>240</v>
      </c>
      <c r="B4" s="132">
        <f>SUM(B5:B7)</f>
        <v>440832926</v>
      </c>
      <c r="C4" s="20">
        <f t="shared" ref="C4:C7" si="1">IFERROR(SUM((D4/B4)-1),0)</f>
        <v>-0.2411777109</v>
      </c>
      <c r="D4" s="132">
        <f>SUM(D5:D7)</f>
        <v>334513850</v>
      </c>
      <c r="E4" s="20">
        <f t="shared" ref="E4:E7" si="2">IFERROR(SUM((F4/D4)-1),0)</f>
        <v>0.4924096327</v>
      </c>
      <c r="F4" s="132">
        <f>SUM(F5:F7)</f>
        <v>499231692</v>
      </c>
      <c r="G4" s="20">
        <f t="shared" ref="G4:G7" si="3">IFERROR(SUM((H4/F4)-1),0)</f>
        <v>-0.3405120242</v>
      </c>
      <c r="H4" s="132">
        <f>SUM(H5:H7)</f>
        <v>329237298</v>
      </c>
      <c r="J4" s="179" t="s">
        <v>25</v>
      </c>
      <c r="K4" s="26">
        <f t="array" ref="K4">IFERROR(INDEX(Indicador_Ações[], MATCH($J$2, Indicador_Ações[Stock], 0), MATCH(Indicador_Ações[[#HEADERS],[ativo]], Indicador_Ações[#HEADERS], 0)),"")</f>
        <v>2541610000000</v>
      </c>
      <c r="L4" s="20">
        <f>K27/SUM(K15,K20)</f>
        <v>0.04269863548</v>
      </c>
      <c r="M4" s="9" t="s">
        <v>20</v>
      </c>
      <c r="N4" s="118" t="s">
        <v>95</v>
      </c>
      <c r="O4" s="145">
        <f>K28</f>
        <v>1</v>
      </c>
    </row>
    <row r="5">
      <c r="A5" s="9" t="s">
        <v>242</v>
      </c>
      <c r="B5" s="27">
        <v>2.3946939E7</v>
      </c>
      <c r="C5" s="20">
        <f t="shared" si="1"/>
        <v>0.130128573</v>
      </c>
      <c r="D5" s="27">
        <v>2.706312E7</v>
      </c>
      <c r="E5" s="20">
        <f t="shared" si="2"/>
        <v>-0.123062788</v>
      </c>
      <c r="F5" s="27">
        <v>2.3732657E7</v>
      </c>
      <c r="G5" s="20">
        <f t="shared" si="3"/>
        <v>-0.1683253586</v>
      </c>
      <c r="H5" s="27">
        <v>1.9737849E7</v>
      </c>
      <c r="J5" s="51" t="s">
        <v>243</v>
      </c>
      <c r="K5" s="29">
        <f>K2*L2</f>
        <v>128542516900</v>
      </c>
      <c r="L5" s="20">
        <f>K21/SUM(K15,K20)</f>
        <v>0.04389056585</v>
      </c>
      <c r="M5" s="9" t="s">
        <v>244</v>
      </c>
      <c r="N5" s="118" t="s">
        <v>98</v>
      </c>
      <c r="O5" s="28">
        <f>O3+0.02</f>
        <v>0.159</v>
      </c>
    </row>
    <row r="6">
      <c r="A6" s="9" t="s">
        <v>245</v>
      </c>
      <c r="B6" s="27">
        <v>1.18584591E8</v>
      </c>
      <c r="C6" s="20">
        <f t="shared" si="1"/>
        <v>-0.005204529482</v>
      </c>
      <c r="D6" s="27">
        <v>1.17967414E8</v>
      </c>
      <c r="E6" s="20">
        <f t="shared" si="2"/>
        <v>0.02179306058</v>
      </c>
      <c r="F6" s="27">
        <v>1.20538285E8</v>
      </c>
      <c r="G6" s="20">
        <f t="shared" si="3"/>
        <v>-0.004331835317</v>
      </c>
      <c r="H6" s="27">
        <v>1.20016133E8</v>
      </c>
      <c r="J6" s="25" t="s">
        <v>43</v>
      </c>
      <c r="K6" s="45">
        <f t="array" ref="K6">IFERROR(INDEX(Indicador_Ações[], MATCH($J$2, Indicador_Ações[Stock], 0), MATCH(Indicador_Ações[[#HEADERS],[patrimonio_liquido]], Indicador_Ações[#HEADERS], 0)),"")</f>
        <v>181333000000</v>
      </c>
      <c r="L6" s="20">
        <f>ABS(K24/SUM(K13,K20))</f>
        <v>0.3577910403</v>
      </c>
      <c r="M6" s="9" t="s">
        <v>246</v>
      </c>
      <c r="N6" s="10" t="s">
        <v>101</v>
      </c>
      <c r="O6" s="78">
        <f>O3+O4*(O5-O3)</f>
        <v>0.159</v>
      </c>
      <c r="R6" s="20"/>
    </row>
    <row r="7">
      <c r="A7" s="9" t="s">
        <v>247</v>
      </c>
      <c r="B7" s="27">
        <v>2.98301396E8</v>
      </c>
      <c r="C7" s="20">
        <f t="shared" si="1"/>
        <v>-0.3647923927</v>
      </c>
      <c r="D7" s="27">
        <v>1.89483316E8</v>
      </c>
      <c r="E7" s="20">
        <f t="shared" si="2"/>
        <v>0.8733087297</v>
      </c>
      <c r="F7" s="27">
        <v>3.5496075E8</v>
      </c>
      <c r="G7" s="20">
        <f t="shared" si="3"/>
        <v>-0.4661851599</v>
      </c>
      <c r="H7" s="27">
        <v>1.89483316E8</v>
      </c>
      <c r="J7" s="189" t="s">
        <v>248</v>
      </c>
      <c r="K7" s="86"/>
      <c r="L7" s="28">
        <f>K27/L2</f>
        <v>2.527312798</v>
      </c>
      <c r="M7" s="9" t="s">
        <v>41</v>
      </c>
      <c r="N7" s="9" t="s">
        <v>250</v>
      </c>
    </row>
    <row r="8">
      <c r="B8" s="27"/>
      <c r="C8" s="20"/>
      <c r="D8" s="23"/>
      <c r="E8" s="20"/>
      <c r="F8" s="23"/>
      <c r="G8" s="20"/>
      <c r="H8" s="23"/>
      <c r="J8" s="191" t="s">
        <v>251</v>
      </c>
      <c r="K8" s="193">
        <f>SUM(SUM(B34,D34,F34,H34),SUM(B38,D38,F38,H38),SUM(B41,D41,F41,H41))/4*K3</f>
        <v>2246528605500</v>
      </c>
      <c r="L8" s="23">
        <f>K21/L2</f>
        <v>2.597862613</v>
      </c>
      <c r="M8" s="9" t="s">
        <v>252</v>
      </c>
      <c r="N8" s="9" t="s">
        <v>253</v>
      </c>
      <c r="O8" s="20">
        <f>L12*(1-L10)</f>
        <v>0.06280869965</v>
      </c>
      <c r="Q8" s="9"/>
      <c r="R8" s="192"/>
      <c r="S8" s="51"/>
    </row>
    <row r="9">
      <c r="A9" s="131" t="s">
        <v>254</v>
      </c>
      <c r="B9" s="132">
        <f>SUM(B10:B12)</f>
        <v>740434709</v>
      </c>
      <c r="C9" s="20">
        <f t="shared" ref="C9:C12" si="4">IFERROR(SUM((D9/B9)-1),0)</f>
        <v>0.02882046687</v>
      </c>
      <c r="D9" s="132">
        <f>SUM(D10:D12)</f>
        <v>761774383</v>
      </c>
      <c r="E9" s="20">
        <f t="shared" ref="E9:E12" si="5">IFERROR(SUM((F9/D9)-1),0)</f>
        <v>-0.02347391091</v>
      </c>
      <c r="F9" s="132">
        <f>SUM(F10:F12)</f>
        <v>743892559</v>
      </c>
      <c r="G9" s="20">
        <f t="shared" ref="G9:G12" si="6">IFERROR(SUM((H9/F9)-1),0)</f>
        <v>-0.03812694139</v>
      </c>
      <c r="H9" s="132">
        <f>SUM(H10:H12)</f>
        <v>715530211</v>
      </c>
      <c r="J9" s="195" t="s">
        <v>257</v>
      </c>
      <c r="K9" s="45"/>
      <c r="L9" s="142">
        <f t="array" ref="L9">IFERROR(INDEX(L25*K3,0)/L2,"")</f>
        <v>0.3126470337</v>
      </c>
      <c r="M9" s="9" t="s">
        <v>46</v>
      </c>
      <c r="N9" s="9" t="s">
        <v>258</v>
      </c>
      <c r="O9" s="29">
        <f>K6*(1+O8)</f>
        <v>192722289934</v>
      </c>
      <c r="P9" s="79"/>
      <c r="Q9" s="29"/>
      <c r="R9" s="19"/>
      <c r="S9" s="28"/>
    </row>
    <row r="10">
      <c r="A10" s="9" t="s">
        <v>260</v>
      </c>
      <c r="B10" s="27">
        <v>6.60739749E8</v>
      </c>
      <c r="C10" s="20">
        <f t="shared" si="4"/>
        <v>0.03163377568</v>
      </c>
      <c r="D10" s="27">
        <v>6.81641442E8</v>
      </c>
      <c r="E10" s="20">
        <f t="shared" si="5"/>
        <v>-0.02832014577</v>
      </c>
      <c r="F10" s="27">
        <v>6.62337257E8</v>
      </c>
      <c r="G10" s="20">
        <f t="shared" si="6"/>
        <v>-0.03369116076</v>
      </c>
      <c r="H10" s="27">
        <v>6.40022346E8</v>
      </c>
      <c r="J10" s="191" t="s">
        <v>261</v>
      </c>
      <c r="K10" s="196">
        <f>SUM(B15,D15,F15,H15)/4*K3</f>
        <v>1231356943500</v>
      </c>
      <c r="L10" s="20">
        <f>L9/L7</f>
        <v>0.1237072965</v>
      </c>
      <c r="M10" s="9" t="s">
        <v>263</v>
      </c>
      <c r="N10" s="9" t="s">
        <v>264</v>
      </c>
      <c r="O10" s="197">
        <v>0.13</v>
      </c>
      <c r="P10" s="22"/>
      <c r="Q10" s="29"/>
      <c r="R10" s="19"/>
      <c r="S10" s="28"/>
    </row>
    <row r="11">
      <c r="A11" s="9" t="s">
        <v>265</v>
      </c>
      <c r="B11" s="27">
        <v>6360961.0</v>
      </c>
      <c r="C11" s="20">
        <f t="shared" si="4"/>
        <v>-0.05442966872</v>
      </c>
      <c r="D11" s="27">
        <v>6014736.0</v>
      </c>
      <c r="E11" s="20">
        <f t="shared" si="5"/>
        <v>0.6080426473</v>
      </c>
      <c r="F11" s="27">
        <v>9671952.0</v>
      </c>
      <c r="G11" s="20">
        <f t="shared" si="6"/>
        <v>-0.5184545994</v>
      </c>
      <c r="H11" s="27">
        <v>4657484.0</v>
      </c>
      <c r="J11" s="10" t="s">
        <v>61</v>
      </c>
      <c r="K11" s="61"/>
      <c r="L11" s="28">
        <f>IFERROR(K15/K4,0)</f>
        <v>0.1197635184</v>
      </c>
      <c r="M11" s="22" t="s">
        <v>53</v>
      </c>
      <c r="N11" s="9" t="s">
        <v>266</v>
      </c>
      <c r="O11" s="29">
        <f>O9*(O10-O6)</f>
        <v>-5588946408</v>
      </c>
      <c r="P11" s="22"/>
      <c r="Q11" s="29"/>
      <c r="R11" s="19"/>
      <c r="S11" s="28"/>
    </row>
    <row r="12">
      <c r="A12" s="9" t="s">
        <v>267</v>
      </c>
      <c r="B12" s="27">
        <v>7.3333999E7</v>
      </c>
      <c r="C12" s="20">
        <f t="shared" si="4"/>
        <v>0.01069362111</v>
      </c>
      <c r="D12" s="27">
        <v>7.4118205E7</v>
      </c>
      <c r="E12" s="20">
        <f t="shared" si="5"/>
        <v>-0.03015257857</v>
      </c>
      <c r="F12" s="27">
        <v>7.188335E7</v>
      </c>
      <c r="G12" s="20">
        <f t="shared" si="6"/>
        <v>-0.01437007318</v>
      </c>
      <c r="H12" s="27">
        <v>7.0850381E7</v>
      </c>
      <c r="J12" s="24" t="s">
        <v>269</v>
      </c>
      <c r="K12" s="86"/>
      <c r="L12" s="19">
        <f>L4*L11*L19</f>
        <v>0.07167547944</v>
      </c>
      <c r="M12" s="199" t="s">
        <v>270</v>
      </c>
      <c r="N12" s="9" t="s">
        <v>271</v>
      </c>
      <c r="O12" s="29">
        <f>(O11/(1+O6))</f>
        <v>-4822214330</v>
      </c>
      <c r="P12" s="22"/>
      <c r="Q12" s="154"/>
      <c r="R12" s="19"/>
      <c r="S12" s="28"/>
    </row>
    <row r="13">
      <c r="A13" s="9"/>
      <c r="B13" s="27"/>
      <c r="C13" s="20"/>
      <c r="D13" s="27"/>
      <c r="E13" s="20"/>
      <c r="F13" s="27"/>
      <c r="G13" s="20"/>
      <c r="H13" s="27"/>
      <c r="J13" s="9" t="s">
        <v>272</v>
      </c>
      <c r="K13" s="29">
        <f>SUM(B85,D85,F85,H85)*K3</f>
        <v>105438951000</v>
      </c>
      <c r="L13" s="19">
        <f>IFERROR(K27/K4,0)</f>
        <v>0.005698592624</v>
      </c>
      <c r="M13" s="51" t="s">
        <v>62</v>
      </c>
      <c r="N13" s="9" t="s">
        <v>273</v>
      </c>
      <c r="O13" s="29">
        <f>O11/(O6-O8)</f>
        <v>-58102410381</v>
      </c>
      <c r="Q13" s="124"/>
    </row>
    <row r="14">
      <c r="A14" s="131" t="s">
        <v>274</v>
      </c>
      <c r="B14" s="202">
        <f>SUM(B15,B16)</f>
        <v>1131255586</v>
      </c>
      <c r="C14" s="20">
        <f t="shared" ref="C14:C16" si="7">IFERROR(SUM((D14/B14)-1),0)</f>
        <v>0.004767900434</v>
      </c>
      <c r="D14" s="202">
        <f>SUM(D15,D16)</f>
        <v>1136649300</v>
      </c>
      <c r="E14" s="20">
        <f t="shared" ref="E14:E16" si="8">IFERROR(SUM((F14/D14)-1),0)</f>
        <v>-0.02040160848</v>
      </c>
      <c r="F14" s="202">
        <f>SUM(F15,F16)</f>
        <v>1113459826</v>
      </c>
      <c r="G14" s="20">
        <f t="shared" ref="G14:G16" si="9">IFERROR(SUM((H14/F14)-1),0)</f>
        <v>0.01136701092</v>
      </c>
      <c r="H14" s="202">
        <f>SUM(H15,H16)</f>
        <v>1126116536</v>
      </c>
      <c r="J14" s="24" t="s">
        <v>276</v>
      </c>
      <c r="K14" s="86"/>
      <c r="L14" s="20">
        <f>IFERROR(ABS(SUM(B16,D16,F16,H16))/SUM(B15,D15,F15,H15),0)</f>
        <v>0.08485486849</v>
      </c>
      <c r="M14" s="9" t="s">
        <v>277</v>
      </c>
      <c r="N14" s="9" t="s">
        <v>278</v>
      </c>
      <c r="O14" s="29">
        <f>O13/(1+O6)</f>
        <v>-50131501623</v>
      </c>
      <c r="P14" s="22"/>
    </row>
    <row r="15">
      <c r="A15" s="9" t="s">
        <v>279</v>
      </c>
      <c r="B15" s="27">
        <v>1.235304143E9</v>
      </c>
      <c r="C15" s="20">
        <f t="shared" si="7"/>
        <v>0.008554639001</v>
      </c>
      <c r="D15" s="27">
        <v>1.245871724E9</v>
      </c>
      <c r="E15" s="20">
        <f t="shared" si="8"/>
        <v>-0.02530504818</v>
      </c>
      <c r="F15" s="27">
        <v>1.21434488E9</v>
      </c>
      <c r="G15" s="20">
        <f t="shared" si="9"/>
        <v>0.01281526134</v>
      </c>
      <c r="H15" s="27">
        <v>1.229907027E9</v>
      </c>
      <c r="J15" s="9" t="s">
        <v>281</v>
      </c>
      <c r="K15" s="29">
        <f>SUM(B64,D64,F64,H64)*K3</f>
        <v>304392156000</v>
      </c>
      <c r="L15" s="20">
        <f>IFERROR(ABS(SUM(B87,D87,F87,H87))/(SUM(B15,D15,F15,H15)/4),0)</f>
        <v>0.05391420039</v>
      </c>
      <c r="M15" s="9" t="s">
        <v>282</v>
      </c>
      <c r="N15" s="9" t="s">
        <v>283</v>
      </c>
      <c r="O15" s="29">
        <f>K6 + O12 + O14</f>
        <v>126379284047</v>
      </c>
    </row>
    <row r="16">
      <c r="A16" s="9" t="s">
        <v>284</v>
      </c>
      <c r="B16" s="27">
        <v>-1.04048557E8</v>
      </c>
      <c r="C16" s="20">
        <f t="shared" si="7"/>
        <v>0.0497255046</v>
      </c>
      <c r="D16" s="27">
        <v>-1.09222424E8</v>
      </c>
      <c r="E16" s="20">
        <f t="shared" si="8"/>
        <v>-0.07633386712</v>
      </c>
      <c r="F16" s="27">
        <v>-1.00885054E8</v>
      </c>
      <c r="G16" s="20">
        <f t="shared" si="9"/>
        <v>0.02879947906</v>
      </c>
      <c r="H16" s="27">
        <v>-1.03790491E8</v>
      </c>
      <c r="J16" s="24" t="s">
        <v>285</v>
      </c>
      <c r="K16" s="86"/>
      <c r="L16" s="64">
        <f>SUM(K10/4/K13)</f>
        <v>2.919596913</v>
      </c>
      <c r="M16" s="65" t="s">
        <v>287</v>
      </c>
      <c r="N16" s="9" t="s">
        <v>288</v>
      </c>
      <c r="O16" s="29">
        <f>O15/L2</f>
        <v>22.05252713</v>
      </c>
      <c r="R16" s="20"/>
    </row>
    <row r="17">
      <c r="B17" s="23"/>
      <c r="C17" s="20"/>
      <c r="D17" s="23"/>
      <c r="E17" s="20"/>
      <c r="F17" s="23"/>
      <c r="G17" s="20"/>
      <c r="H17" s="23"/>
      <c r="J17" s="9" t="s">
        <v>290</v>
      </c>
      <c r="K17" s="29">
        <f>SUM(B74,D74,F74,H74)*K3</f>
        <v>-198953205000</v>
      </c>
      <c r="L17" s="23">
        <f>K13/(K10/4)</f>
        <v>0.3425130351</v>
      </c>
      <c r="M17" s="9" t="s">
        <v>291</v>
      </c>
    </row>
    <row r="18">
      <c r="A18" s="131" t="s">
        <v>292</v>
      </c>
      <c r="B18" s="202">
        <f>SUM(B19,B20)</f>
        <v>104127395</v>
      </c>
      <c r="C18" s="20">
        <f t="shared" ref="C18:C20" si="10">IFERROR(SUM((D18/B18)-1),0)</f>
        <v>0.06105747676</v>
      </c>
      <c r="D18" s="202">
        <f>SUM(D19,D20)</f>
        <v>110485151</v>
      </c>
      <c r="E18" s="20">
        <f t="shared" ref="E18:E20" si="11">IFERROR(SUM((F18/D18)-1),0)</f>
        <v>-0.1182256881</v>
      </c>
      <c r="F18" s="202">
        <f>SUM(F19,F20)</f>
        <v>97422968</v>
      </c>
      <c r="G18" s="20">
        <f t="shared" ref="G18:G20" si="12">IFERROR(SUM((H18/F18)-1),0)</f>
        <v>0.037506946</v>
      </c>
      <c r="H18" s="202">
        <f>SUM(H19,H20)</f>
        <v>101077006</v>
      </c>
      <c r="J18" s="24" t="s">
        <v>293</v>
      </c>
      <c r="K18" s="86"/>
      <c r="L18" s="73">
        <f>ABS(K23)/K13</f>
        <v>0.6296309321</v>
      </c>
      <c r="M18" s="65" t="s">
        <v>294</v>
      </c>
      <c r="Q18" s="22"/>
    </row>
    <row r="19">
      <c r="A19" s="9" t="s">
        <v>295</v>
      </c>
      <c r="B19" s="27">
        <v>1.1093424E7</v>
      </c>
      <c r="C19" s="20">
        <f t="shared" si="10"/>
        <v>0.08997501583</v>
      </c>
      <c r="D19" s="27">
        <v>1.2091555E7</v>
      </c>
      <c r="E19" s="20">
        <f t="shared" si="11"/>
        <v>0.1046006903</v>
      </c>
      <c r="F19" s="27">
        <v>1.335634E7</v>
      </c>
      <c r="G19" s="20">
        <f t="shared" si="12"/>
        <v>-0.07096884326</v>
      </c>
      <c r="H19" s="27">
        <v>1.2408456E7</v>
      </c>
      <c r="J19" s="9" t="s">
        <v>296</v>
      </c>
      <c r="K19" s="29">
        <f>SUM(B88,D88,F88,H88)*K3</f>
        <v>39051326000</v>
      </c>
      <c r="L19" s="184">
        <f>IFERROR(K4/K6,0)</f>
        <v>14.01625738</v>
      </c>
      <c r="M19" s="65" t="s">
        <v>297</v>
      </c>
      <c r="N19" s="22"/>
      <c r="P19" s="19"/>
      <c r="Q19" s="28"/>
    </row>
    <row r="20">
      <c r="A20" s="9" t="s">
        <v>298</v>
      </c>
      <c r="B20" s="27">
        <v>9.3033971E7</v>
      </c>
      <c r="C20" s="20">
        <f t="shared" si="10"/>
        <v>0.05760933283</v>
      </c>
      <c r="D20" s="27">
        <v>9.8393596E7</v>
      </c>
      <c r="E20" s="20">
        <f t="shared" si="11"/>
        <v>-0.1456087447</v>
      </c>
      <c r="F20" s="27">
        <v>8.4066628E7</v>
      </c>
      <c r="G20" s="20">
        <f t="shared" si="12"/>
        <v>0.05474136538</v>
      </c>
      <c r="H20" s="27">
        <v>8.866855E7</v>
      </c>
      <c r="J20" s="9" t="s">
        <v>299</v>
      </c>
      <c r="K20" s="29">
        <f>SUM(B90,D90,F90,H90)*K3</f>
        <v>34813063000</v>
      </c>
      <c r="L20" s="215">
        <f>SUM(K49,M49,O49,Q49)/4</f>
        <v>0.1452</v>
      </c>
      <c r="M20" s="216" t="s">
        <v>303</v>
      </c>
      <c r="P20" s="19"/>
      <c r="Q20" s="28"/>
      <c r="U20" s="23"/>
    </row>
    <row r="21">
      <c r="B21" s="23"/>
      <c r="C21" s="20"/>
      <c r="D21" s="23"/>
      <c r="E21" s="20"/>
      <c r="F21" s="23"/>
      <c r="G21" s="20"/>
      <c r="H21" s="23"/>
      <c r="J21" s="9" t="s">
        <v>304</v>
      </c>
      <c r="K21" s="29">
        <f>SUM(B103,D103,F103,H103)*K3</f>
        <v>14887909000</v>
      </c>
      <c r="O21" s="29"/>
      <c r="P21" s="19"/>
      <c r="Q21" s="28"/>
    </row>
    <row r="22">
      <c r="A22" s="131" t="s">
        <v>306</v>
      </c>
      <c r="B22" s="132">
        <f>SUM(B23:B24)</f>
        <v>20455483</v>
      </c>
      <c r="C22" s="20">
        <f t="shared" ref="C22:C24" si="13">IFERROR(SUM((D22/B22)-1),0)</f>
        <v>-0.002583463808</v>
      </c>
      <c r="D22" s="202">
        <f>SUM(D23,D24)</f>
        <v>20402637</v>
      </c>
      <c r="E22" s="20">
        <f t="shared" ref="E22:E24" si="14">IFERROR(SUM((F22/D22)-1),0)</f>
        <v>-0.02373026585</v>
      </c>
      <c r="F22" s="202">
        <f>SUM(F23,F24)</f>
        <v>19918477</v>
      </c>
      <c r="G22" s="20">
        <f t="shared" ref="G22:G24" si="15">IFERROR(SUM((H22/F22)-1),0)</f>
        <v>0.03082670427</v>
      </c>
      <c r="H22" s="202">
        <f>SUM(H23,H24)</f>
        <v>20532498</v>
      </c>
      <c r="J22" s="24" t="s">
        <v>307</v>
      </c>
      <c r="K22" s="86"/>
      <c r="M22" s="9" t="s">
        <v>21</v>
      </c>
      <c r="P22" s="19"/>
      <c r="Q22" s="28"/>
    </row>
    <row r="23">
      <c r="A23" s="9" t="s">
        <v>308</v>
      </c>
      <c r="B23" s="27">
        <v>2.0311356E7</v>
      </c>
      <c r="C23" s="20">
        <f t="shared" si="13"/>
        <v>-0.002758604595</v>
      </c>
      <c r="D23" s="27">
        <v>2.0255325E7</v>
      </c>
      <c r="E23" s="20">
        <f t="shared" si="14"/>
        <v>-0.02363245221</v>
      </c>
      <c r="F23" s="27">
        <v>1.9776642E7</v>
      </c>
      <c r="G23" s="20">
        <f t="shared" si="15"/>
        <v>0.03094893461</v>
      </c>
      <c r="H23" s="27">
        <v>2.0388708E7</v>
      </c>
      <c r="J23" s="9" t="s">
        <v>309</v>
      </c>
      <c r="K23" s="29">
        <f>SUM(B87,D87,F87,H87)*K3</f>
        <v>-66387625000</v>
      </c>
      <c r="L23" s="27">
        <v>1791727.0</v>
      </c>
      <c r="M23" s="9" t="s">
        <v>27</v>
      </c>
      <c r="T23" s="27"/>
    </row>
    <row r="24">
      <c r="A24" s="9" t="s">
        <v>311</v>
      </c>
      <c r="B24" s="27">
        <v>144127.0</v>
      </c>
      <c r="C24" s="20">
        <f t="shared" si="13"/>
        <v>0.02209856585</v>
      </c>
      <c r="D24" s="27">
        <v>147312.0</v>
      </c>
      <c r="E24" s="20">
        <f t="shared" si="14"/>
        <v>-0.03717959162</v>
      </c>
      <c r="F24" s="27">
        <v>141835.0</v>
      </c>
      <c r="G24" s="20">
        <f t="shared" si="15"/>
        <v>0.01378362181</v>
      </c>
      <c r="H24" s="27">
        <v>143790.0</v>
      </c>
      <c r="J24" s="9" t="s">
        <v>312</v>
      </c>
      <c r="K24" s="29">
        <f>SUM(B92,D92,F92,H92)*K3</f>
        <v>-50180914000</v>
      </c>
      <c r="L24" s="32">
        <v>0.0</v>
      </c>
      <c r="M24" s="9" t="s">
        <v>32</v>
      </c>
    </row>
    <row r="25">
      <c r="B25" s="27"/>
      <c r="C25" s="20"/>
      <c r="D25" s="27"/>
      <c r="E25" s="20"/>
      <c r="F25" s="27"/>
      <c r="G25" s="20"/>
      <c r="H25" s="27"/>
      <c r="J25" s="62" t="s">
        <v>90</v>
      </c>
      <c r="K25" s="74">
        <f>'Indicadores_Ações'!$B$4</f>
        <v>0.04443024618</v>
      </c>
      <c r="L25" s="23">
        <f>SUM(L23:L24)</f>
        <v>1791727</v>
      </c>
      <c r="M25" s="9" t="s">
        <v>39</v>
      </c>
      <c r="R25" s="217"/>
    </row>
    <row r="26">
      <c r="A26" s="70" t="s">
        <v>313</v>
      </c>
      <c r="B26" s="132">
        <f>SUM(B27:B28)</f>
        <v>29802726</v>
      </c>
      <c r="C26" s="20">
        <f t="shared" ref="C26:C28" si="16">IFERROR(SUM((D26/B26)-1),0)</f>
        <v>0.02394797711</v>
      </c>
      <c r="D26" s="202">
        <f>SUM(D27,D28)</f>
        <v>30516441</v>
      </c>
      <c r="E26" s="20">
        <f t="shared" ref="E26:E28" si="17">IFERROR(SUM((F26/D26)-1),0)</f>
        <v>-0.1103564796</v>
      </c>
      <c r="F26" s="202">
        <f>SUM(F27,F28)</f>
        <v>27148754</v>
      </c>
      <c r="G26" s="20">
        <f t="shared" ref="G26:G28" si="18">IFERROR(SUM((H26/F26)-1),0)</f>
        <v>0.08866767882</v>
      </c>
      <c r="H26" s="202">
        <f>SUM(H27,H28)</f>
        <v>29555971</v>
      </c>
      <c r="J26" s="9" t="s">
        <v>315</v>
      </c>
      <c r="K26" s="29">
        <f>SUM(B110,D110,F110,H110)*1000000</f>
        <v>16866000000</v>
      </c>
    </row>
    <row r="27">
      <c r="A27" s="9" t="s">
        <v>316</v>
      </c>
      <c r="B27" s="27">
        <v>1.8073325E7</v>
      </c>
      <c r="C27" s="20">
        <f t="shared" si="16"/>
        <v>0.01004834473</v>
      </c>
      <c r="D27" s="27">
        <v>1.8254932E7</v>
      </c>
      <c r="E27" s="20">
        <f t="shared" si="17"/>
        <v>-0.1630115631</v>
      </c>
      <c r="F27" s="27">
        <v>1.5279167E7</v>
      </c>
      <c r="G27" s="20">
        <f t="shared" si="18"/>
        <v>0.1467394787</v>
      </c>
      <c r="H27" s="27">
        <v>1.7521224E7</v>
      </c>
      <c r="J27" s="9" t="s">
        <v>317</v>
      </c>
      <c r="K27" s="29">
        <f t="array" ref="K27">IFERROR(INDEX(Indicador_Ações[], MATCH($J$2, Indicador_Ações[Stock], 0), MATCH(Indicador_Ações[[#HEADERS],[lucro_liquido_12m]], Indicador_Ações[#HEADERS], 0)),"")</f>
        <v>14483600000</v>
      </c>
    </row>
    <row r="28">
      <c r="A28" s="9" t="s">
        <v>319</v>
      </c>
      <c r="B28" s="27">
        <v>1.1729401E7</v>
      </c>
      <c r="C28" s="20">
        <f t="shared" si="16"/>
        <v>0.04536531746</v>
      </c>
      <c r="D28" s="27">
        <v>1.2261509E7</v>
      </c>
      <c r="E28" s="20">
        <f t="shared" si="17"/>
        <v>-0.03196360252</v>
      </c>
      <c r="F28" s="27">
        <v>1.1869587E7</v>
      </c>
      <c r="G28" s="20">
        <f t="shared" si="18"/>
        <v>0.01391455322</v>
      </c>
      <c r="H28" s="27">
        <v>1.2034747E7</v>
      </c>
      <c r="J28" s="24" t="s">
        <v>100</v>
      </c>
      <c r="K28" s="86">
        <f t="array" ref="K28">IFERROR(INDEX(Indicador_Ações[], MATCH($J$2, Indicador_Ações[Stock], 0), MATCH(Indicador_Ações[[#HEADERS],[beta_ibov_3a]], Indicador_Ações[#HEADERS], 0)),"")</f>
        <v>1</v>
      </c>
    </row>
    <row r="29">
      <c r="B29" s="23"/>
      <c r="C29" s="20"/>
      <c r="D29" s="23"/>
      <c r="E29" s="20"/>
      <c r="F29" s="23"/>
      <c r="G29" s="20"/>
      <c r="H29" s="23"/>
      <c r="J29" s="10" t="s">
        <v>235</v>
      </c>
      <c r="K29" s="61"/>
    </row>
    <row r="30">
      <c r="A30" s="9" t="s">
        <v>321</v>
      </c>
      <c r="B30" s="27">
        <v>4.7962269E7</v>
      </c>
      <c r="C30" s="20">
        <f>IFERROR(SUM((D30/B30)-1),0)</f>
        <v>-0.1915202761</v>
      </c>
      <c r="D30" s="27">
        <v>3.8776522E7</v>
      </c>
      <c r="E30" s="20">
        <f>IFERROR(SUM((F30/D30)-1),0)</f>
        <v>-0.02903212929</v>
      </c>
      <c r="F30" s="27">
        <v>3.7650757E7</v>
      </c>
      <c r="G30" s="20">
        <f>IFERROR(SUM((H30/F30)-1),0)</f>
        <v>0.05750211078</v>
      </c>
      <c r="H30" s="27">
        <v>3.9815755E7</v>
      </c>
      <c r="J30" s="131" t="s">
        <v>322</v>
      </c>
      <c r="K30" s="219"/>
      <c r="L30" s="20"/>
    </row>
    <row r="31">
      <c r="B31" s="23"/>
      <c r="C31" s="20"/>
      <c r="D31" s="23"/>
      <c r="E31" s="20"/>
      <c r="F31" s="23"/>
      <c r="G31" s="20"/>
      <c r="H31" s="23"/>
      <c r="K31" s="9" t="s">
        <v>12</v>
      </c>
      <c r="L31" s="9" t="s">
        <v>301</v>
      </c>
      <c r="M31" s="9" t="s">
        <v>14</v>
      </c>
      <c r="N31" s="9" t="s">
        <v>301</v>
      </c>
      <c r="O31" s="9" t="s">
        <v>16</v>
      </c>
      <c r="P31" s="9" t="s">
        <v>301</v>
      </c>
      <c r="Q31" s="9" t="s">
        <v>18</v>
      </c>
    </row>
    <row r="32">
      <c r="A32" s="131" t="s">
        <v>324</v>
      </c>
      <c r="B32" s="202">
        <f>SUM(B4,B9,B14,B18,B22,B26)</f>
        <v>2466908825</v>
      </c>
      <c r="C32" s="20">
        <f>IFERROR(SUM((D32/B32)-1),0)</f>
        <v>-0.02941619174</v>
      </c>
      <c r="D32" s="202">
        <f>SUM(D4,D9,D14,D18,D22,D26)</f>
        <v>2394341762</v>
      </c>
      <c r="E32" s="20">
        <f>IFERROR(SUM((F32/D32)-1),0)</f>
        <v>0.04457697547</v>
      </c>
      <c r="F32" s="202">
        <f>SUM(F4,F9,F14,F18,F22,F26)</f>
        <v>2501074276</v>
      </c>
      <c r="G32" s="20">
        <f>IFERROR(SUM((H32/F32)-1),0)</f>
        <v>-0.0715791441</v>
      </c>
      <c r="H32" s="202">
        <f>SUM(H4,H9,H14,H18,H22,H26)</f>
        <v>2322049520</v>
      </c>
      <c r="J32" s="9" t="s">
        <v>297</v>
      </c>
      <c r="K32" s="23">
        <f>IFERROR(B32/B61,0)</f>
        <v>12.97389187</v>
      </c>
      <c r="L32" s="20">
        <f t="shared" ref="L32:L38" si="19">IFERROR(SUM((M32/K32)-1),0)</f>
        <v>-0.002086346846</v>
      </c>
      <c r="M32" s="23">
        <f>IFERROR(D32/D61,0)</f>
        <v>12.94682383</v>
      </c>
      <c r="N32" s="20">
        <f t="shared" ref="N32:N38" si="20">IFERROR(SUM((O32/M32)-1),0)</f>
        <v>0.05567664191</v>
      </c>
      <c r="O32" s="23">
        <f>IFERROR(F32/F61,0)</f>
        <v>13.66765951</v>
      </c>
      <c r="P32" s="20">
        <f t="shared" ref="P32:P38" si="21">IFERROR(SUM((Q32/O32)-1),0)</f>
        <v>-0.1114018415</v>
      </c>
      <c r="Q32" s="23">
        <f>IFERROR(H32/H61,0)</f>
        <v>12.14505707</v>
      </c>
    </row>
    <row r="33">
      <c r="A33" s="56"/>
      <c r="B33" s="57"/>
      <c r="C33" s="58"/>
      <c r="D33" s="57"/>
      <c r="E33" s="58"/>
      <c r="F33" s="57"/>
      <c r="G33" s="58"/>
      <c r="H33" s="57"/>
      <c r="J33" s="9" t="s">
        <v>326</v>
      </c>
      <c r="K33" s="20">
        <f>IFERROR(B34/B51,0)</f>
        <v>0.7461335241</v>
      </c>
      <c r="L33" s="20">
        <f t="shared" si="19"/>
        <v>0.007036929854</v>
      </c>
      <c r="M33" s="20">
        <f>IFERROR(D34/D51,0)</f>
        <v>0.7513840134</v>
      </c>
      <c r="N33" s="20">
        <f t="shared" si="20"/>
        <v>-0.04570792469</v>
      </c>
      <c r="O33" s="20">
        <f>IFERROR(F34/F51,0)</f>
        <v>0.7170398095</v>
      </c>
      <c r="P33" s="20">
        <f t="shared" si="21"/>
        <v>0.003323959283</v>
      </c>
      <c r="Q33" s="20">
        <f>IFERROR(H34/H51,0)</f>
        <v>0.7194232206</v>
      </c>
    </row>
    <row r="34">
      <c r="A34" s="131" t="s">
        <v>328</v>
      </c>
      <c r="B34" s="202">
        <f>SUM(B35:B36)</f>
        <v>1798549866</v>
      </c>
      <c r="C34" s="20">
        <f t="shared" ref="C34:C36" si="22">IFERROR(SUM((D34/B34)-1),0)</f>
        <v>0.0004880237221</v>
      </c>
      <c r="D34" s="202">
        <f>SUM(D35:D36)</f>
        <v>1799427601</v>
      </c>
      <c r="E34" s="20">
        <f t="shared" ref="E34:E36" si="23">IFERROR(SUM((F34/D34)-1),0)</f>
        <v>-0.0627176564</v>
      </c>
      <c r="F34" s="202">
        <f>SUM(F35:F36)</f>
        <v>1686571719</v>
      </c>
      <c r="G34" s="20">
        <f t="shared" ref="G34:G36" si="24">IFERROR(SUM((H34/F34)-1),0)</f>
        <v>-0.03652084421</v>
      </c>
      <c r="H34" s="202">
        <f>SUM(H35:H36)</f>
        <v>1624976696</v>
      </c>
      <c r="J34" s="9" t="s">
        <v>329</v>
      </c>
      <c r="K34" s="20">
        <f>IFERROR(SUM(B36,B38)/B51,0)</f>
        <v>0.4843263512</v>
      </c>
      <c r="L34" s="20">
        <f t="shared" si="19"/>
        <v>-0.01585543725</v>
      </c>
      <c r="M34" s="20">
        <f>IFERROR(SUM(D36,D38)/D51,0)</f>
        <v>0.4766471451</v>
      </c>
      <c r="N34" s="20">
        <f t="shared" si="20"/>
        <v>0.03746368444</v>
      </c>
      <c r="O34" s="20">
        <f>IFERROR(SUM(F36,F38)/F51,0)</f>
        <v>0.4945041034</v>
      </c>
      <c r="P34" s="20">
        <f t="shared" si="21"/>
        <v>-0.05225913183</v>
      </c>
      <c r="Q34" s="20">
        <f>IFERROR(SUM(H36,H38)/H51,0)</f>
        <v>0.4686617483</v>
      </c>
    </row>
    <row r="35">
      <c r="A35" s="9" t="s">
        <v>331</v>
      </c>
      <c r="B35" s="27">
        <v>9.34977009E8</v>
      </c>
      <c r="C35" s="20">
        <f t="shared" si="22"/>
        <v>0.02036609223</v>
      </c>
      <c r="D35" s="27">
        <v>9.54018837E8</v>
      </c>
      <c r="E35" s="20">
        <f t="shared" si="23"/>
        <v>-0.0657190598</v>
      </c>
      <c r="F35" s="27">
        <v>8.91321616E8</v>
      </c>
      <c r="G35" s="20">
        <f t="shared" si="24"/>
        <v>0.007422498099</v>
      </c>
      <c r="H35" s="27">
        <v>8.97937449E8</v>
      </c>
      <c r="J35" s="9" t="s">
        <v>332</v>
      </c>
      <c r="K35" s="20">
        <f>IFERROR(B14/B32,0)</f>
        <v>0.4585721104</v>
      </c>
      <c r="L35" s="20">
        <f t="shared" si="19"/>
        <v>0.0352201344</v>
      </c>
      <c r="M35" s="20">
        <f>IFERROR(D14/D32,0)</f>
        <v>0.4747230817</v>
      </c>
      <c r="N35" s="20">
        <f t="shared" si="20"/>
        <v>-0.06220564447</v>
      </c>
      <c r="O35" s="20">
        <f>IFERROR(F14/F32,0)</f>
        <v>0.4451926265</v>
      </c>
      <c r="P35" s="20">
        <f t="shared" si="21"/>
        <v>0.0893411156</v>
      </c>
      <c r="Q35" s="20">
        <f>IFERROR(H14/H32,0)</f>
        <v>0.4849666324</v>
      </c>
    </row>
    <row r="36">
      <c r="A36" s="67" t="s">
        <v>333</v>
      </c>
      <c r="B36" s="27">
        <v>8.63572857E8</v>
      </c>
      <c r="C36" s="20">
        <f t="shared" si="22"/>
        <v>-0.02103365437</v>
      </c>
      <c r="D36" s="27">
        <v>8.45408764E8</v>
      </c>
      <c r="E36" s="20">
        <f t="shared" si="23"/>
        <v>-0.05933066126</v>
      </c>
      <c r="F36" s="27">
        <v>7.95250103E8</v>
      </c>
      <c r="G36" s="20">
        <f t="shared" si="24"/>
        <v>-0.08577283517</v>
      </c>
      <c r="H36" s="27">
        <v>7.27039247E8</v>
      </c>
      <c r="J36" s="9" t="s">
        <v>277</v>
      </c>
      <c r="K36" s="20">
        <f>IFERROR(ABS(B16)/B15,0)</f>
        <v>0.08422910065</v>
      </c>
      <c r="L36" s="20">
        <f t="shared" si="19"/>
        <v>0.04082165111</v>
      </c>
      <c r="M36" s="20">
        <f>IFERROR(ABS(D16)/D15,0)</f>
        <v>0.08766747162</v>
      </c>
      <c r="N36" s="20">
        <f t="shared" si="20"/>
        <v>-0.05235363007</v>
      </c>
      <c r="O36" s="20">
        <f>IFERROR(ABS(F16)/F15,0)</f>
        <v>0.08307776124</v>
      </c>
      <c r="P36" s="20">
        <f t="shared" si="21"/>
        <v>0.01578196767</v>
      </c>
      <c r="Q36" s="20">
        <f>IFERROR(ABS(H16)/H15,0)</f>
        <v>0.08438889178</v>
      </c>
    </row>
    <row r="37">
      <c r="A37" s="9"/>
      <c r="B37" s="27"/>
      <c r="C37" s="20"/>
      <c r="D37" s="27"/>
      <c r="E37" s="20"/>
      <c r="F37" s="27"/>
      <c r="G37" s="20"/>
      <c r="H37" s="27"/>
      <c r="J37" s="9" t="s">
        <v>335</v>
      </c>
      <c r="K37" s="20">
        <f>IFERROR(B4/B32,0)</f>
        <v>0.1786985078</v>
      </c>
      <c r="L37" s="20">
        <f t="shared" si="19"/>
        <v>-0.2181795301</v>
      </c>
      <c r="M37" s="20">
        <f>IFERROR(D4/D32,0)</f>
        <v>0.1397101514</v>
      </c>
      <c r="N37" s="20">
        <f t="shared" si="20"/>
        <v>0.4287215473</v>
      </c>
      <c r="O37" s="20">
        <f>IFERROR(F4/F32,0)</f>
        <v>0.1996069036</v>
      </c>
      <c r="P37" s="20">
        <f t="shared" si="21"/>
        <v>-0.2896669958</v>
      </c>
      <c r="Q37" s="20">
        <f>IFERROR(H4/H32,0)</f>
        <v>0.1417873715</v>
      </c>
    </row>
    <row r="38">
      <c r="A38" s="131" t="s">
        <v>337</v>
      </c>
      <c r="B38" s="132">
        <f>B39</f>
        <v>303892571</v>
      </c>
      <c r="C38" s="20">
        <f t="shared" ref="C38:C39" si="25">IFERROR(SUM((D38/B38)-1),0)</f>
        <v>-0.02572751277</v>
      </c>
      <c r="D38" s="132">
        <f>D39</f>
        <v>296074171</v>
      </c>
      <c r="E38" s="20">
        <f t="shared" ref="E38:E39" si="26">IFERROR(SUM((F38/D38)-1),0)</f>
        <v>0.2425549779</v>
      </c>
      <c r="F38" s="132">
        <f>F39</f>
        <v>367888435</v>
      </c>
      <c r="G38" s="20">
        <f t="shared" ref="G38:G39" si="27">IFERROR(SUM((H38/F38)-1),0)</f>
        <v>-0.0988107033</v>
      </c>
      <c r="H38" s="132">
        <f>H39</f>
        <v>331537120</v>
      </c>
      <c r="J38" s="9" t="s">
        <v>341</v>
      </c>
      <c r="K38" s="20">
        <f>IFERROR(B61/B32,0)</f>
        <v>0.07707787376</v>
      </c>
      <c r="L38" s="20">
        <f t="shared" si="19"/>
        <v>0.00209070879</v>
      </c>
      <c r="M38" s="20">
        <f>IFERROR(D61/D32,0)</f>
        <v>0.07723902115</v>
      </c>
      <c r="N38" s="20">
        <f t="shared" si="20"/>
        <v>-0.05274024232</v>
      </c>
      <c r="O38" s="20">
        <f>IFERROR(F61/F32,0)</f>
        <v>0.07316541646</v>
      </c>
      <c r="P38" s="20">
        <f t="shared" si="21"/>
        <v>0.125368076</v>
      </c>
      <c r="Q38" s="20">
        <f>IFERROR(H61/H32,0)</f>
        <v>0.08233802395</v>
      </c>
    </row>
    <row r="39">
      <c r="A39" s="9" t="s">
        <v>342</v>
      </c>
      <c r="B39" s="27">
        <v>3.03892571E8</v>
      </c>
      <c r="C39" s="20">
        <f t="shared" si="25"/>
        <v>-0.02572751277</v>
      </c>
      <c r="D39" s="27">
        <v>2.96074171E8</v>
      </c>
      <c r="E39" s="20">
        <f t="shared" si="26"/>
        <v>0.2425549779</v>
      </c>
      <c r="F39" s="27">
        <v>3.67888435E8</v>
      </c>
      <c r="G39" s="20">
        <f t="shared" si="27"/>
        <v>-0.0988107033</v>
      </c>
      <c r="H39" s="27">
        <v>3.3153712E8</v>
      </c>
      <c r="J39" s="9" t="s">
        <v>343</v>
      </c>
      <c r="K39" s="23"/>
      <c r="L39" s="20"/>
      <c r="M39" s="23"/>
      <c r="N39" s="20"/>
      <c r="O39" s="23"/>
      <c r="P39" s="20"/>
      <c r="Q39" s="23"/>
    </row>
    <row r="40">
      <c r="B40" s="23"/>
      <c r="C40" s="20"/>
      <c r="D40" s="23"/>
      <c r="E40" s="20"/>
      <c r="F40" s="23"/>
      <c r="G40" s="20"/>
      <c r="H40" s="23"/>
      <c r="K40" s="23"/>
      <c r="L40" s="20"/>
      <c r="M40" s="23"/>
      <c r="N40" s="20"/>
      <c r="O40" s="23"/>
      <c r="P40" s="20"/>
      <c r="Q40" s="23"/>
    </row>
    <row r="41">
      <c r="A41" s="131" t="s">
        <v>344</v>
      </c>
      <c r="B41" s="202">
        <f>SUM(B42:B43)</f>
        <v>199898951</v>
      </c>
      <c r="C41" s="20">
        <f t="shared" ref="C41:C43" si="28">IFERROR(SUM((D41/B41)-1),0)</f>
        <v>-0.0445316694</v>
      </c>
      <c r="D41" s="202">
        <f>SUM(D42:D43)</f>
        <v>190997117</v>
      </c>
      <c r="E41" s="20">
        <f t="shared" ref="E41:E43" si="29">IFERROR(SUM((F41/D41)-1),0)</f>
        <v>-0.009418958926</v>
      </c>
      <c r="F41" s="202">
        <f>SUM(F42:F43)</f>
        <v>189198123</v>
      </c>
      <c r="G41" s="20">
        <f t="shared" ref="G41:G43" si="30">IFERROR(SUM((H41/F41)-1),0)</f>
        <v>0.0417759377</v>
      </c>
      <c r="H41" s="202">
        <f>SUM(H42:H43)</f>
        <v>197102052</v>
      </c>
      <c r="J41" s="81" t="s">
        <v>345</v>
      </c>
      <c r="L41" s="20"/>
      <c r="N41" s="20"/>
      <c r="P41" s="20"/>
    </row>
    <row r="42">
      <c r="A42" s="9" t="s">
        <v>346</v>
      </c>
      <c r="B42" s="27">
        <v>6512590.0</v>
      </c>
      <c r="C42" s="20">
        <f t="shared" si="28"/>
        <v>-0.1379245431</v>
      </c>
      <c r="D42" s="27">
        <v>5614344.0</v>
      </c>
      <c r="E42" s="20">
        <f t="shared" si="29"/>
        <v>0.5842525859</v>
      </c>
      <c r="F42" s="27">
        <v>8894539.0</v>
      </c>
      <c r="G42" s="20">
        <f t="shared" si="30"/>
        <v>-0.4969122065</v>
      </c>
      <c r="H42" s="27">
        <v>4474734.0</v>
      </c>
      <c r="J42" s="70" t="s">
        <v>347</v>
      </c>
      <c r="L42" s="20"/>
      <c r="N42" s="20"/>
      <c r="P42" s="20"/>
    </row>
    <row r="43">
      <c r="A43" s="9" t="s">
        <v>348</v>
      </c>
      <c r="B43" s="27">
        <v>1.93386361E8</v>
      </c>
      <c r="C43" s="20">
        <f t="shared" si="28"/>
        <v>-0.04138651743</v>
      </c>
      <c r="D43" s="27">
        <v>1.85382773E8</v>
      </c>
      <c r="E43" s="20">
        <f t="shared" si="29"/>
        <v>-0.02739838723</v>
      </c>
      <c r="F43" s="27">
        <v>1.80303584E8</v>
      </c>
      <c r="G43" s="20">
        <f t="shared" si="30"/>
        <v>0.06834991145</v>
      </c>
      <c r="H43" s="27">
        <v>1.92627318E8</v>
      </c>
      <c r="J43" s="9" t="s">
        <v>350</v>
      </c>
      <c r="K43" s="20">
        <f>IFERROR(B85/H85,"")-1</f>
        <v>-0.1323793588</v>
      </c>
      <c r="L43" s="20">
        <f t="shared" ref="L43:L47" si="31">IFERROR(SUM((M43/K43)-1),0)</f>
        <v>-2.139262669</v>
      </c>
      <c r="M43" s="20">
        <f>IFERROR(D85/B85,"")-1</f>
        <v>0.1508148616</v>
      </c>
      <c r="N43" s="20">
        <f t="shared" ref="N43:N47" si="32">IFERROR(SUM((O43/M43)-1),0)</f>
        <v>-2.194631135</v>
      </c>
      <c r="O43" s="20">
        <f>IFERROR(F85/D85,"")-1</f>
        <v>-0.1801681293</v>
      </c>
      <c r="P43" s="20">
        <f t="shared" ref="P43:P47" si="33">IFERROR(SUM((Q43/O43)-1),0)</f>
        <v>-2.230131522</v>
      </c>
      <c r="Q43" s="20">
        <f>IFERROR(H85/F85,"")-1</f>
        <v>0.2216304951</v>
      </c>
    </row>
    <row r="44">
      <c r="B44" s="23"/>
      <c r="C44" s="20"/>
      <c r="D44" s="23"/>
      <c r="E44" s="20"/>
      <c r="F44" s="23"/>
      <c r="G44" s="20"/>
      <c r="H44" s="23"/>
      <c r="J44" s="9" t="s">
        <v>351</v>
      </c>
      <c r="K44" s="20">
        <f>IFERROR(B90/(B64+B90),"")</f>
        <v>0.1051499345</v>
      </c>
      <c r="L44" s="20">
        <f t="shared" si="31"/>
        <v>-0.05511359985</v>
      </c>
      <c r="M44" s="20">
        <f>IFERROR(D90/(D64+D90),"")</f>
        <v>0.09935474311</v>
      </c>
      <c r="N44" s="20">
        <f t="shared" si="32"/>
        <v>0.1397212974</v>
      </c>
      <c r="O44" s="20">
        <f>IFERROR(F90/(F64+F90),"")</f>
        <v>0.1132367167</v>
      </c>
      <c r="P44" s="20">
        <f t="shared" si="33"/>
        <v>-0.1568924974</v>
      </c>
      <c r="Q44" s="20">
        <f>IFERROR(H90/(H64+H90),"")</f>
        <v>0.09547072543</v>
      </c>
    </row>
    <row r="45">
      <c r="A45" s="131" t="s">
        <v>353</v>
      </c>
      <c r="B45" s="202">
        <f>SUM(B46:B49)</f>
        <v>108151919</v>
      </c>
      <c r="C45" s="20">
        <f t="shared" ref="C45:C49" si="34">IFERROR(SUM((D45/B45)-1),0)</f>
        <v>0.001541479814</v>
      </c>
      <c r="D45" s="202">
        <f>SUM(D46:D49)</f>
        <v>108318633</v>
      </c>
      <c r="E45" s="20">
        <f t="shared" ref="E45:E49" si="35">IFERROR(SUM((F45/D45)-1),0)</f>
        <v>0.001424556383</v>
      </c>
      <c r="F45" s="202">
        <f>SUM(F46:F49)</f>
        <v>108472939</v>
      </c>
      <c r="G45" s="20">
        <f t="shared" ref="G45:G49" si="36">IFERROR(SUM((H45/F45)-1),0)</f>
        <v>-0.03104282995</v>
      </c>
      <c r="H45" s="202">
        <f>SUM(H46:H49)</f>
        <v>105105632</v>
      </c>
      <c r="J45" s="9" t="s">
        <v>246</v>
      </c>
      <c r="K45" s="20">
        <f>IFERROR(ABS(B92)/(B85+B90),"")</f>
        <v>0.3815581716</v>
      </c>
      <c r="L45" s="20">
        <f t="shared" si="31"/>
        <v>-0.1039692337</v>
      </c>
      <c r="M45" s="20">
        <f>IFERROR(ABS(D92)/(D85+D90),"")</f>
        <v>0.3418878609</v>
      </c>
      <c r="N45" s="20">
        <f t="shared" si="32"/>
        <v>0.09135627621</v>
      </c>
      <c r="O45" s="20">
        <f>IFERROR(ABS(F92)/(F85+F90),"")</f>
        <v>0.3731214627</v>
      </c>
      <c r="P45" s="20">
        <f t="shared" si="33"/>
        <v>-0.08992709819</v>
      </c>
      <c r="Q45" s="20">
        <f>IFERROR(ABS(H92)/(H85+H90),"")</f>
        <v>0.3395677323</v>
      </c>
    </row>
    <row r="46">
      <c r="A46" s="9" t="s">
        <v>355</v>
      </c>
      <c r="B46" s="27">
        <v>5.0426054E7</v>
      </c>
      <c r="C46" s="20">
        <f t="shared" si="34"/>
        <v>0.0426248899</v>
      </c>
      <c r="D46" s="27">
        <v>5.2575459E7</v>
      </c>
      <c r="E46" s="20">
        <f t="shared" si="35"/>
        <v>0.02377223183</v>
      </c>
      <c r="F46" s="27">
        <v>5.3825295E7</v>
      </c>
      <c r="G46" s="20">
        <f t="shared" si="36"/>
        <v>-0.1318753014</v>
      </c>
      <c r="H46" s="27">
        <v>4.6727068E7</v>
      </c>
      <c r="J46" s="9" t="s">
        <v>356</v>
      </c>
      <c r="K46" s="20">
        <f>IFERROR(ABS(B92/H92)-1,0)</f>
        <v>0.009600081655</v>
      </c>
      <c r="L46" s="20">
        <f t="shared" si="31"/>
        <v>-0.6007870083</v>
      </c>
      <c r="M46" s="20">
        <f>IFERROR(ABS(D92/B92)-1,"")</f>
        <v>0.003832477319</v>
      </c>
      <c r="N46" s="20">
        <f t="shared" si="32"/>
        <v>-24.30726116</v>
      </c>
      <c r="O46" s="20">
        <f>IFERROR(ABS(F92/D92)-1,"")</f>
        <v>-0.08932454977</v>
      </c>
      <c r="P46" s="20">
        <f t="shared" si="33"/>
        <v>-1.934705027</v>
      </c>
      <c r="Q46" s="20">
        <f>IFERROR(ABS(H92/F92)-1,"")</f>
        <v>0.08349210569</v>
      </c>
    </row>
    <row r="47">
      <c r="A47" s="9" t="s">
        <v>357</v>
      </c>
      <c r="B47" s="27">
        <v>3.764746E7</v>
      </c>
      <c r="C47" s="20">
        <f t="shared" si="34"/>
        <v>0.03358184058</v>
      </c>
      <c r="D47" s="27">
        <v>3.8911731E7</v>
      </c>
      <c r="E47" s="20">
        <f t="shared" si="35"/>
        <v>-0.09266832668</v>
      </c>
      <c r="F47" s="27">
        <v>3.5305846E7</v>
      </c>
      <c r="G47" s="20">
        <f t="shared" si="36"/>
        <v>0.05361449206</v>
      </c>
      <c r="H47" s="27">
        <v>3.7198751E7</v>
      </c>
      <c r="J47" s="9" t="s">
        <v>358</v>
      </c>
      <c r="K47" s="20">
        <f>IFERROR(ABS(B101)/B64,"")</f>
        <v>0.0350599461</v>
      </c>
      <c r="L47" s="20">
        <f t="shared" si="31"/>
        <v>-0.01306300793</v>
      </c>
      <c r="M47" s="20">
        <f>IFERROR(ABS(D101)/D64,"")</f>
        <v>0.03460195774</v>
      </c>
      <c r="N47" s="20">
        <f t="shared" si="32"/>
        <v>0.60969214</v>
      </c>
      <c r="O47" s="20">
        <f>IFERROR(ABS(F101)/F64,"")</f>
        <v>0.05569849941</v>
      </c>
      <c r="P47" s="20">
        <f t="shared" si="33"/>
        <v>-0.2533379996</v>
      </c>
      <c r="Q47" s="20">
        <f>IFERROR(ABS(H101)/H64,"")</f>
        <v>0.04158795299</v>
      </c>
    </row>
    <row r="48">
      <c r="A48" s="9" t="s">
        <v>359</v>
      </c>
      <c r="B48" s="27">
        <v>4216882.0</v>
      </c>
      <c r="C48" s="20">
        <f t="shared" si="34"/>
        <v>0.1910292961</v>
      </c>
      <c r="D48" s="27">
        <v>5022430.0</v>
      </c>
      <c r="E48" s="20">
        <f t="shared" si="35"/>
        <v>0.3572244909</v>
      </c>
      <c r="F48" s="27">
        <v>6816565.0</v>
      </c>
      <c r="G48" s="20">
        <f t="shared" si="36"/>
        <v>-0.05738315413</v>
      </c>
      <c r="H48" s="27">
        <v>6425409.0</v>
      </c>
      <c r="J48" s="10" t="s">
        <v>360</v>
      </c>
    </row>
    <row r="49">
      <c r="A49" s="9" t="s">
        <v>361</v>
      </c>
      <c r="B49" s="27">
        <v>1.5861523E7</v>
      </c>
      <c r="C49" s="20">
        <f t="shared" si="34"/>
        <v>-0.25549312</v>
      </c>
      <c r="D49" s="27">
        <v>1.1809013E7</v>
      </c>
      <c r="E49" s="20">
        <f t="shared" si="35"/>
        <v>0.06065028466</v>
      </c>
      <c r="F49" s="27">
        <v>1.2525233E7</v>
      </c>
      <c r="G49" s="20">
        <f t="shared" si="36"/>
        <v>0.1779744137</v>
      </c>
      <c r="H49" s="27">
        <v>1.4754404E7</v>
      </c>
      <c r="J49" s="9" t="s">
        <v>303</v>
      </c>
      <c r="K49" s="124">
        <v>0.1423</v>
      </c>
      <c r="L49" s="20">
        <f>IFERROR(SUM((M49/K49)-1),0)</f>
        <v>-0.02248770204</v>
      </c>
      <c r="M49" s="124">
        <v>0.1391</v>
      </c>
      <c r="N49" s="20">
        <f>IFERROR(SUM((O49/M49)-1),0)</f>
        <v>0.06470165349</v>
      </c>
      <c r="O49" s="124">
        <v>0.1481</v>
      </c>
      <c r="P49" s="20">
        <f>IFERROR(SUM((Q49/O49)-1),0)</f>
        <v>0.02160702228</v>
      </c>
      <c r="Q49" s="124">
        <v>0.1513</v>
      </c>
    </row>
    <row r="50">
      <c r="C50" s="20"/>
      <c r="D50" s="23"/>
      <c r="E50" s="20"/>
      <c r="F50" s="23"/>
      <c r="G50" s="20"/>
      <c r="H50" s="23"/>
    </row>
    <row r="51">
      <c r="A51" s="131" t="s">
        <v>60</v>
      </c>
      <c r="B51" s="202">
        <f>SUM(B34,B38,B41,B45)</f>
        <v>2410493307</v>
      </c>
      <c r="C51" s="20">
        <f>IFERROR(SUM((D51/B51)-1),0)</f>
        <v>-0.006503143964</v>
      </c>
      <c r="D51" s="202">
        <f>SUM(D34,D38,D41,D45)</f>
        <v>2394817522</v>
      </c>
      <c r="E51" s="20">
        <f>IFERROR(SUM((F51/D51)-1),0)</f>
        <v>-0.01782445034</v>
      </c>
      <c r="F51" s="202">
        <f>SUM(F34,F38,F41,F45)</f>
        <v>2352131216</v>
      </c>
      <c r="G51" s="20">
        <f>IFERROR(SUM((H51/F51)-1),0)</f>
        <v>-0.03971279976</v>
      </c>
      <c r="H51" s="202">
        <f>SUM(H34,H38,H41,H45)</f>
        <v>2258721500</v>
      </c>
      <c r="Q51" s="22"/>
      <c r="R51" s="22"/>
      <c r="S51" s="22"/>
      <c r="T51" s="22"/>
      <c r="U51" s="22"/>
      <c r="V51" s="22"/>
    </row>
    <row r="52">
      <c r="A52" s="56"/>
      <c r="B52" s="57"/>
      <c r="C52" s="58"/>
      <c r="D52" s="57"/>
      <c r="E52" s="58"/>
      <c r="F52" s="57"/>
      <c r="G52" s="58"/>
      <c r="H52" s="57"/>
      <c r="J52" s="22"/>
      <c r="K52" s="22"/>
      <c r="L52" s="22"/>
      <c r="M52" s="22"/>
      <c r="N52" s="22"/>
      <c r="Q52" s="21"/>
      <c r="R52" s="22"/>
      <c r="S52" s="22"/>
      <c r="T52" s="22"/>
      <c r="U52" s="22"/>
      <c r="V52" s="22"/>
    </row>
    <row r="53" ht="22.5" customHeight="1">
      <c r="A53" s="9" t="s">
        <v>362</v>
      </c>
      <c r="B53" s="27">
        <v>1.2E8</v>
      </c>
      <c r="C53" s="20">
        <f t="shared" ref="C53:C59" si="37">IFERROR(SUM((D53/B53)-1),0)</f>
        <v>0</v>
      </c>
      <c r="D53" s="27">
        <v>1.2E8</v>
      </c>
      <c r="E53" s="20">
        <f t="shared" ref="E53:E59" si="38">IFERROR(SUM((F53/D53)-1),0)</f>
        <v>0</v>
      </c>
      <c r="F53" s="27">
        <v>1.2E8</v>
      </c>
      <c r="G53" s="20">
        <f t="shared" ref="G53:G59" si="39">IFERROR(SUM((H53/F53)-1),0)</f>
        <v>0</v>
      </c>
      <c r="H53" s="27">
        <v>1.2E8</v>
      </c>
      <c r="J53" s="82" t="s">
        <v>104</v>
      </c>
      <c r="K53" s="82" t="s">
        <v>105</v>
      </c>
      <c r="L53" s="82" t="s">
        <v>11</v>
      </c>
      <c r="M53" s="82" t="s">
        <v>106</v>
      </c>
      <c r="N53" s="82" t="s">
        <v>107</v>
      </c>
      <c r="O53" s="84" t="s">
        <v>108</v>
      </c>
      <c r="Q53" s="107"/>
      <c r="R53" s="107"/>
      <c r="S53" s="107"/>
      <c r="T53" s="107"/>
      <c r="U53" s="107"/>
      <c r="V53" s="107"/>
    </row>
    <row r="54" ht="22.5" customHeight="1">
      <c r="A54" s="9" t="s">
        <v>364</v>
      </c>
      <c r="B54" s="27">
        <v>4100000.0</v>
      </c>
      <c r="C54" s="20">
        <f t="shared" si="37"/>
        <v>0</v>
      </c>
      <c r="D54" s="27">
        <v>4100000.0</v>
      </c>
      <c r="E54" s="20">
        <f t="shared" si="38"/>
        <v>0.243902439</v>
      </c>
      <c r="F54" s="27">
        <v>5100000.0</v>
      </c>
      <c r="G54" s="20">
        <f t="shared" si="39"/>
        <v>-0.1960784314</v>
      </c>
      <c r="H54" s="27">
        <v>4100000.0</v>
      </c>
      <c r="J54" s="87" t="s">
        <v>112</v>
      </c>
      <c r="K54" s="88">
        <f>K2</f>
        <v>22.43</v>
      </c>
      <c r="L54" s="89">
        <v>1.0</v>
      </c>
      <c r="M54" s="90">
        <f>K59</f>
        <v>16866000000</v>
      </c>
      <c r="N54" s="91"/>
      <c r="O54" s="92">
        <v>0.0</v>
      </c>
      <c r="Q54" s="107"/>
      <c r="R54" s="107"/>
      <c r="S54" s="107"/>
      <c r="T54" s="107"/>
      <c r="U54" s="107"/>
      <c r="V54" s="107"/>
    </row>
    <row r="55" ht="22.5" customHeight="1">
      <c r="A55" s="131" t="s">
        <v>365</v>
      </c>
      <c r="B55" s="132">
        <f>SUM(B53:B54)</f>
        <v>124100000</v>
      </c>
      <c r="C55" s="20">
        <f t="shared" si="37"/>
        <v>0</v>
      </c>
      <c r="D55" s="132">
        <f>SUM(D53:D54)</f>
        <v>124100000</v>
      </c>
      <c r="E55" s="20">
        <f t="shared" si="38"/>
        <v>0.008058017728</v>
      </c>
      <c r="F55" s="132">
        <f>SUM(F53:F54)</f>
        <v>125100000</v>
      </c>
      <c r="G55" s="20">
        <f t="shared" si="39"/>
        <v>-0.007993605116</v>
      </c>
      <c r="H55" s="132">
        <f>SUM(H53:H54)</f>
        <v>124100000</v>
      </c>
      <c r="J55" s="97" t="s">
        <v>10</v>
      </c>
      <c r="K55" s="98">
        <f>L2</f>
        <v>5730830000</v>
      </c>
      <c r="L55" s="99">
        <v>2.0</v>
      </c>
      <c r="M55" s="100">
        <f t="shared" ref="M55:M60" si="40">M54*(1+O54/100)</f>
        <v>16866000000</v>
      </c>
      <c r="N55" s="100">
        <f>M55/(1+K60)^L54</f>
        <v>14552200173</v>
      </c>
      <c r="O55" s="92">
        <v>6.0</v>
      </c>
      <c r="Q55" s="107"/>
      <c r="R55" s="107"/>
      <c r="S55" s="107"/>
      <c r="T55" s="107"/>
      <c r="U55" s="107"/>
      <c r="V55" s="107"/>
    </row>
    <row r="56" ht="22.5" customHeight="1">
      <c r="A56" s="9" t="s">
        <v>366</v>
      </c>
      <c r="B56" s="27">
        <v>1417307.0</v>
      </c>
      <c r="C56" s="20">
        <f t="shared" si="37"/>
        <v>0.006592079204</v>
      </c>
      <c r="D56" s="27">
        <v>1426650.0</v>
      </c>
      <c r="E56" s="20">
        <f t="shared" si="38"/>
        <v>-0.006718536432</v>
      </c>
      <c r="F56" s="27">
        <v>1417065.0</v>
      </c>
      <c r="G56" s="20">
        <f t="shared" si="39"/>
        <v>0.0001707755114</v>
      </c>
      <c r="H56" s="27">
        <v>1417307.0</v>
      </c>
      <c r="J56" s="87" t="s">
        <v>116</v>
      </c>
      <c r="K56" s="88">
        <f>K54*K55</f>
        <v>128542516900</v>
      </c>
      <c r="L56" s="89">
        <v>3.0</v>
      </c>
      <c r="M56" s="100">
        <f t="shared" si="40"/>
        <v>17877960000</v>
      </c>
      <c r="N56" s="90">
        <f>M56/(1+K60)^L55</f>
        <v>13309173583</v>
      </c>
      <c r="O56" s="92">
        <v>6.0</v>
      </c>
      <c r="Q56" s="107"/>
      <c r="R56" s="107"/>
      <c r="S56" s="107"/>
      <c r="T56" s="107"/>
      <c r="U56" s="107"/>
      <c r="V56" s="107"/>
    </row>
    <row r="57" ht="22.5" customHeight="1">
      <c r="A57" s="9" t="s">
        <v>367</v>
      </c>
      <c r="B57" s="27">
        <v>8.1486681E7</v>
      </c>
      <c r="C57" s="20">
        <f t="shared" si="37"/>
        <v>0.06483340511</v>
      </c>
      <c r="D57" s="27">
        <v>8.676974E7</v>
      </c>
      <c r="E57" s="20">
        <f t="shared" si="38"/>
        <v>-0.1261689271</v>
      </c>
      <c r="F57" s="27">
        <v>7.5822095E7</v>
      </c>
      <c r="G57" s="20">
        <f t="shared" si="39"/>
        <v>0.08545427293</v>
      </c>
      <c r="H57" s="27">
        <v>8.2301417E7</v>
      </c>
      <c r="J57" s="97" t="s">
        <v>118</v>
      </c>
      <c r="K57" s="92">
        <f>SUM(O54:O62)/6</f>
        <v>5</v>
      </c>
      <c r="L57" s="99">
        <v>4.0</v>
      </c>
      <c r="M57" s="100">
        <f t="shared" si="40"/>
        <v>18950637600</v>
      </c>
      <c r="N57" s="100">
        <f>M57/(1+K60)^L56</f>
        <v>12172324416</v>
      </c>
      <c r="O57" s="92">
        <v>6.0</v>
      </c>
      <c r="Q57" s="107"/>
      <c r="R57" s="107"/>
      <c r="S57" s="107"/>
      <c r="T57" s="107"/>
      <c r="U57" s="107"/>
      <c r="V57" s="107"/>
    </row>
    <row r="58" ht="22.5" customHeight="1">
      <c r="A58" s="9" t="s">
        <v>370</v>
      </c>
      <c r="B58" s="27">
        <v>-1.9894936E7</v>
      </c>
      <c r="C58" s="20">
        <f t="shared" si="37"/>
        <v>0.3752130693</v>
      </c>
      <c r="D58" s="27">
        <v>-2.7359776E7</v>
      </c>
      <c r="E58" s="20">
        <f t="shared" si="38"/>
        <v>-0.1820188513</v>
      </c>
      <c r="F58" s="27">
        <v>-2.2379781E7</v>
      </c>
      <c r="G58" s="20">
        <f t="shared" si="39"/>
        <v>-0.1215947556</v>
      </c>
      <c r="H58" s="27">
        <v>-1.9658517E7</v>
      </c>
      <c r="J58" s="87" t="s">
        <v>120</v>
      </c>
      <c r="K58" s="105">
        <v>0.04</v>
      </c>
      <c r="L58" s="89">
        <v>5.0</v>
      </c>
      <c r="M58" s="100">
        <f t="shared" si="40"/>
        <v>20087675856</v>
      </c>
      <c r="N58" s="90">
        <f>M58/(1+K60)^L57</f>
        <v>11132583159</v>
      </c>
      <c r="O58" s="92">
        <v>6.0</v>
      </c>
      <c r="Q58" s="107"/>
      <c r="R58" s="107"/>
      <c r="S58" s="107"/>
      <c r="T58" s="107"/>
      <c r="U58" s="107"/>
      <c r="V58" s="107"/>
    </row>
    <row r="59" ht="22.5" customHeight="1">
      <c r="A59" s="9" t="s">
        <v>373</v>
      </c>
      <c r="B59" s="27">
        <v>3035035.0</v>
      </c>
      <c r="C59" s="20">
        <f t="shared" si="37"/>
        <v>-1</v>
      </c>
      <c r="D59" s="27">
        <v>0.0</v>
      </c>
      <c r="E59" s="20">
        <f t="shared" si="38"/>
        <v>0</v>
      </c>
      <c r="F59" s="27">
        <v>3032762.0</v>
      </c>
      <c r="G59" s="20">
        <f t="shared" si="39"/>
        <v>0</v>
      </c>
      <c r="H59" s="27">
        <v>3032762.0</v>
      </c>
      <c r="J59" s="108" t="s">
        <v>129</v>
      </c>
      <c r="K59" s="98">
        <f>K26</f>
        <v>16866000000</v>
      </c>
      <c r="L59" s="99">
        <v>6.0</v>
      </c>
      <c r="M59" s="100">
        <f t="shared" si="40"/>
        <v>21292936407</v>
      </c>
      <c r="N59" s="100">
        <f>M59/(1+K60)^L58</f>
        <v>10181655003</v>
      </c>
      <c r="O59" s="92">
        <v>6.0</v>
      </c>
      <c r="Q59" s="107"/>
      <c r="R59" s="107"/>
      <c r="S59" s="107"/>
      <c r="T59" s="107"/>
      <c r="U59" s="107"/>
      <c r="V59" s="107"/>
    </row>
    <row r="60" ht="22.5" customHeight="1">
      <c r="B60" s="23"/>
      <c r="C60" s="20"/>
      <c r="D60" s="23"/>
      <c r="E60" s="20"/>
      <c r="F60" s="23"/>
      <c r="G60" s="20"/>
      <c r="H60" s="23"/>
      <c r="J60" s="110" t="s">
        <v>125</v>
      </c>
      <c r="K60" s="105">
        <f>O6</f>
        <v>0.159</v>
      </c>
      <c r="L60" s="89">
        <v>7.0</v>
      </c>
      <c r="M60" s="100">
        <f t="shared" si="40"/>
        <v>22570512592</v>
      </c>
      <c r="N60" s="90">
        <f>M60/(1+K60)^L59</f>
        <v>9311953670</v>
      </c>
      <c r="O60" s="92"/>
      <c r="Q60" s="22"/>
      <c r="R60" s="22"/>
      <c r="S60" s="22"/>
      <c r="T60" s="22"/>
      <c r="U60" s="22"/>
      <c r="V60" s="22"/>
    </row>
    <row r="61" ht="22.5" customHeight="1">
      <c r="A61" s="131" t="s">
        <v>92</v>
      </c>
      <c r="B61" s="202">
        <f>SUM(B55:B59)</f>
        <v>190144087</v>
      </c>
      <c r="C61" s="20">
        <f>IFERROR(SUM((D61/B61)-1),0)</f>
        <v>-0.02738698364</v>
      </c>
      <c r="D61" s="202">
        <f>SUM(D55:D59)</f>
        <v>184936614</v>
      </c>
      <c r="E61" s="20">
        <f>IFERROR(SUM((F61/D61)-1),0)</f>
        <v>-0.01051426734</v>
      </c>
      <c r="F61" s="202">
        <f>SUM(F55:F59)</f>
        <v>182992141</v>
      </c>
      <c r="G61" s="20">
        <f>IFERROR(SUM((H61/F61)-1),0)</f>
        <v>0.04481519236</v>
      </c>
      <c r="H61" s="202">
        <f>SUM(H55:H59)</f>
        <v>191192969</v>
      </c>
      <c r="J61" s="97" t="s">
        <v>128</v>
      </c>
      <c r="K61" s="98">
        <f>K62/K55</f>
        <v>24.58232559</v>
      </c>
      <c r="L61" s="99" t="s">
        <v>131</v>
      </c>
      <c r="M61" s="100">
        <f>IFERROR( M60 * (1 + K58) / (K60  -K58  ), 0 )
</f>
        <v>197254899962</v>
      </c>
      <c r="N61" s="100">
        <f>M61/(1+K60)^L60</f>
        <v>70217238972</v>
      </c>
      <c r="O61" s="92"/>
    </row>
    <row r="62" ht="22.5" customHeight="1">
      <c r="A62" s="80"/>
      <c r="B62" s="80"/>
      <c r="C62" s="80"/>
      <c r="D62" s="80"/>
      <c r="E62" s="80"/>
      <c r="F62" s="80"/>
      <c r="G62" s="80"/>
      <c r="H62" s="80"/>
      <c r="J62" s="87" t="s">
        <v>136</v>
      </c>
      <c r="K62" s="88">
        <f>N62</f>
        <v>140877128975</v>
      </c>
      <c r="L62" s="116"/>
      <c r="M62" s="90"/>
      <c r="N62" s="90">
        <f>SUM(N54:N61)</f>
        <v>140877128975</v>
      </c>
      <c r="O62" s="92"/>
      <c r="Q62" s="107"/>
      <c r="R62" s="107"/>
    </row>
    <row r="63">
      <c r="A63" s="81" t="s">
        <v>345</v>
      </c>
      <c r="B63" s="22" t="s">
        <v>12</v>
      </c>
      <c r="C63" s="22" t="s">
        <v>13</v>
      </c>
      <c r="D63" s="22" t="s">
        <v>14</v>
      </c>
      <c r="E63" s="22" t="s">
        <v>15</v>
      </c>
      <c r="F63" s="22" t="s">
        <v>16</v>
      </c>
      <c r="G63" s="22" t="s">
        <v>17</v>
      </c>
      <c r="H63" s="22" t="s">
        <v>18</v>
      </c>
      <c r="Q63" s="107"/>
      <c r="R63" s="107"/>
    </row>
    <row r="64">
      <c r="A64" s="231" t="s">
        <v>380</v>
      </c>
      <c r="B64" s="232">
        <f>B113</f>
        <v>75071108</v>
      </c>
      <c r="C64" s="19">
        <f t="shared" ref="C64:C68" si="41">IFERROR(SUM((D64/B64)-1),0)</f>
        <v>0.1018832571</v>
      </c>
      <c r="D64" s="232">
        <f>SUM(D113-B113)</f>
        <v>82719597</v>
      </c>
      <c r="E64" s="19">
        <f t="shared" ref="E64:E68" si="42">IFERROR(SUM((F64/D64)-1),0)</f>
        <v>-0.2396140179</v>
      </c>
      <c r="F64" s="232">
        <f>SUM(F113-D113)</f>
        <v>62898822</v>
      </c>
      <c r="G64" s="19">
        <f t="shared" ref="G64:G68" si="43">IFERROR(SUM((H64/F64)-1),0)</f>
        <v>0.3307503438</v>
      </c>
      <c r="H64" s="232">
        <f>SUM(H113-F113)</f>
        <v>83702629</v>
      </c>
      <c r="Q64" s="107"/>
      <c r="R64" s="107"/>
    </row>
    <row r="65" ht="22.5" customHeight="1">
      <c r="A65" s="233" t="s">
        <v>385</v>
      </c>
      <c r="B65" s="234">
        <f>SUM(B66:B68)</f>
        <v>51675974</v>
      </c>
      <c r="C65" s="19">
        <f t="shared" si="41"/>
        <v>0.1277283714</v>
      </c>
      <c r="D65" s="234">
        <f>SUM(D66:D68)</f>
        <v>58276462</v>
      </c>
      <c r="E65" s="19">
        <f t="shared" si="42"/>
        <v>-0.1291127625</v>
      </c>
      <c r="F65" s="234">
        <f>SUM(F66:F68)</f>
        <v>50752227</v>
      </c>
      <c r="G65" s="19">
        <f t="shared" si="43"/>
        <v>0.2955960928</v>
      </c>
      <c r="H65" s="234">
        <f>SUM(H66:H68)</f>
        <v>65754387</v>
      </c>
      <c r="J65" s="84" t="s">
        <v>11</v>
      </c>
      <c r="K65" s="102" t="s">
        <v>110</v>
      </c>
      <c r="Q65" s="107"/>
      <c r="R65" s="107"/>
    </row>
    <row r="66" ht="22.5" customHeight="1">
      <c r="A66" s="79" t="s">
        <v>279</v>
      </c>
      <c r="B66" s="232">
        <f t="shared" ref="B66:B69" si="44">B115</f>
        <v>43000221</v>
      </c>
      <c r="C66" s="19">
        <f t="shared" si="41"/>
        <v>0.1123525388</v>
      </c>
      <c r="D66" s="232">
        <f t="shared" ref="D66:D68" si="45">SUM(D115-B115)</f>
        <v>47831405</v>
      </c>
      <c r="E66" s="19">
        <f t="shared" si="42"/>
        <v>-0.2929575454</v>
      </c>
      <c r="F66" s="232">
        <f t="shared" ref="F66:F68" si="46">SUM(F115-D115)</f>
        <v>33818834</v>
      </c>
      <c r="G66" s="19">
        <f t="shared" si="43"/>
        <v>0.5430427318</v>
      </c>
      <c r="H66" s="232">
        <f t="shared" ref="H66:H68" si="47">SUM(H115-F115)</f>
        <v>52183906</v>
      </c>
      <c r="J66" s="103">
        <v>0.0</v>
      </c>
      <c r="K66" s="104">
        <f>-K5</f>
        <v>-128542516900</v>
      </c>
      <c r="Q66" s="107"/>
      <c r="R66" s="107"/>
    </row>
    <row r="67" ht="22.5" customHeight="1">
      <c r="A67" s="22" t="s">
        <v>387</v>
      </c>
      <c r="B67" s="232">
        <f t="shared" si="44"/>
        <v>6052171</v>
      </c>
      <c r="C67" s="19">
        <f t="shared" si="41"/>
        <v>0.237753692</v>
      </c>
      <c r="D67" s="232">
        <f t="shared" si="45"/>
        <v>7491097</v>
      </c>
      <c r="E67" s="19">
        <f t="shared" si="42"/>
        <v>1.030434928</v>
      </c>
      <c r="F67" s="232">
        <f t="shared" si="46"/>
        <v>15210185</v>
      </c>
      <c r="G67" s="19">
        <f t="shared" si="43"/>
        <v>-0.2846183002</v>
      </c>
      <c r="H67" s="232">
        <f t="shared" si="47"/>
        <v>10881088</v>
      </c>
      <c r="J67" s="103">
        <v>1.0</v>
      </c>
      <c r="K67" s="106">
        <f t="shared" ref="K67:K71" si="48">M55</f>
        <v>16866000000</v>
      </c>
      <c r="Q67" s="107"/>
      <c r="R67" s="107"/>
    </row>
    <row r="68" ht="22.5" customHeight="1">
      <c r="A68" s="79" t="s">
        <v>388</v>
      </c>
      <c r="B68" s="232">
        <f t="shared" si="44"/>
        <v>2623582</v>
      </c>
      <c r="C68" s="19">
        <f t="shared" si="41"/>
        <v>0.1259263099</v>
      </c>
      <c r="D68" s="232">
        <f t="shared" si="45"/>
        <v>2953960</v>
      </c>
      <c r="E68" s="19">
        <f t="shared" si="42"/>
        <v>-0.4166447751</v>
      </c>
      <c r="F68" s="232">
        <f t="shared" si="46"/>
        <v>1723208</v>
      </c>
      <c r="G68" s="19">
        <f t="shared" si="43"/>
        <v>0.5606897136</v>
      </c>
      <c r="H68" s="232">
        <f t="shared" si="47"/>
        <v>2689393</v>
      </c>
      <c r="J68" s="103">
        <v>2.0</v>
      </c>
      <c r="K68" s="106">
        <f t="shared" si="48"/>
        <v>17877960000</v>
      </c>
    </row>
    <row r="69" ht="22.5" customHeight="1">
      <c r="A69" s="79"/>
      <c r="B69" s="232" t="str">
        <f t="shared" si="44"/>
        <v/>
      </c>
      <c r="C69" s="118"/>
      <c r="D69" s="232"/>
      <c r="E69" s="118"/>
      <c r="F69" s="232"/>
      <c r="G69" s="118"/>
      <c r="H69" s="232"/>
      <c r="J69" s="103">
        <v>3.0</v>
      </c>
      <c r="K69" s="106">
        <f t="shared" si="48"/>
        <v>18950637600</v>
      </c>
    </row>
    <row r="70" ht="22.5" customHeight="1">
      <c r="A70" s="233" t="s">
        <v>390</v>
      </c>
      <c r="B70" s="234">
        <f>SUM(B71:B72)</f>
        <v>24415634</v>
      </c>
      <c r="C70" s="19">
        <f t="shared" ref="C70:C72" si="49">IFERROR(SUM((D70/B70)-1),0)</f>
        <v>0.01544698778</v>
      </c>
      <c r="D70" s="234">
        <f>SUM(D71:D72)</f>
        <v>24792782</v>
      </c>
      <c r="E70" s="19">
        <f t="shared" ref="E70:E72" si="50">IFERROR(SUM((F70/D70)-1),0)</f>
        <v>-0.4225447955</v>
      </c>
      <c r="F70" s="234">
        <f>SUM(F71:F72)</f>
        <v>14316721</v>
      </c>
      <c r="G70" s="19">
        <f t="shared" ref="G70:G72" si="51">IFERROR(SUM((H70/F70)-1),0)</f>
        <v>0.2230507251</v>
      </c>
      <c r="H70" s="234">
        <f>SUM(H71:H72)</f>
        <v>17510076</v>
      </c>
      <c r="J70" s="93">
        <v>4.0</v>
      </c>
      <c r="K70" s="106">
        <f t="shared" si="48"/>
        <v>20087675856</v>
      </c>
    </row>
    <row r="71" ht="22.5" customHeight="1">
      <c r="A71" s="22" t="s">
        <v>260</v>
      </c>
      <c r="B71" s="232">
        <f t="shared" ref="B71:B74" si="52">B120</f>
        <v>24251112</v>
      </c>
      <c r="C71" s="19">
        <f t="shared" si="49"/>
        <v>0.01254107441</v>
      </c>
      <c r="D71" s="232">
        <f t="shared" ref="D71:D72" si="53">SUM(D120-B120)</f>
        <v>24555247</v>
      </c>
      <c r="E71" s="19">
        <f t="shared" si="50"/>
        <v>-0.7039771988</v>
      </c>
      <c r="F71" s="232">
        <f t="shared" ref="F71:F72" si="54">SUM(F120-D120)</f>
        <v>7268913</v>
      </c>
      <c r="G71" s="19">
        <f t="shared" si="51"/>
        <v>2.345437206</v>
      </c>
      <c r="H71" s="232">
        <f t="shared" ref="H71:H72" si="55">SUM(H120-F120)</f>
        <v>24317692</v>
      </c>
      <c r="J71" s="93">
        <v>5.0</v>
      </c>
      <c r="K71" s="106">
        <f t="shared" si="48"/>
        <v>21292936407</v>
      </c>
    </row>
    <row r="72" ht="22.5" customHeight="1">
      <c r="A72" s="22" t="s">
        <v>392</v>
      </c>
      <c r="B72" s="232">
        <f t="shared" si="52"/>
        <v>164522</v>
      </c>
      <c r="C72" s="19">
        <f t="shared" si="49"/>
        <v>0.4437886726</v>
      </c>
      <c r="D72" s="232">
        <f t="shared" si="53"/>
        <v>237535</v>
      </c>
      <c r="E72" s="19">
        <f t="shared" si="50"/>
        <v>28.67060854</v>
      </c>
      <c r="F72" s="232">
        <f t="shared" si="54"/>
        <v>7047808</v>
      </c>
      <c r="G72" s="19">
        <f t="shared" si="51"/>
        <v>-1.965919616</v>
      </c>
      <c r="H72" s="232">
        <f t="shared" si="55"/>
        <v>-6807616</v>
      </c>
      <c r="J72" s="93">
        <v>6.0</v>
      </c>
      <c r="K72" s="106">
        <f>M60+M61</f>
        <v>219825412554</v>
      </c>
    </row>
    <row r="73" ht="22.5" customHeight="1">
      <c r="A73" s="22"/>
      <c r="B73" s="232" t="str">
        <f t="shared" si="52"/>
        <v/>
      </c>
      <c r="C73" s="118"/>
      <c r="D73" s="232"/>
      <c r="E73" s="118"/>
      <c r="F73" s="232"/>
      <c r="G73" s="118"/>
      <c r="H73" s="232"/>
      <c r="J73" s="93" t="s">
        <v>132</v>
      </c>
      <c r="K73" s="119">
        <f>IFERROR(IRR(K66:K72),0)</f>
        <v>0.2015351028</v>
      </c>
    </row>
    <row r="74">
      <c r="A74" s="233" t="s">
        <v>393</v>
      </c>
      <c r="B74" s="232">
        <f t="shared" si="52"/>
        <v>-50243641</v>
      </c>
      <c r="C74" s="19">
        <f t="shared" ref="C74:C76" si="56">IFERROR(SUM((D74/B74)-1),0)</f>
        <v>0.0777041218</v>
      </c>
      <c r="D74" s="232">
        <f>SUM(D123-B123)</f>
        <v>-54147779</v>
      </c>
      <c r="E74" s="19">
        <f t="shared" ref="E74:E76" si="57">IFERROR(SUM((F74/D74)-1),0)</f>
        <v>-0.2709814561</v>
      </c>
      <c r="F74" s="232">
        <f>SUM(F123-D123)</f>
        <v>-39474735</v>
      </c>
      <c r="G74" s="19">
        <f t="shared" ref="G74:G76" si="58">IFERROR(SUM((H74/F74)-1),0)</f>
        <v>0.3955014518</v>
      </c>
      <c r="H74" s="232">
        <f>SUM(H123-F123)</f>
        <v>-55087050</v>
      </c>
      <c r="J74" s="22"/>
      <c r="K74" s="50"/>
    </row>
    <row r="75">
      <c r="A75" s="233" t="s">
        <v>394</v>
      </c>
      <c r="B75" s="234">
        <f>SUM(B76)</f>
        <v>-18987416</v>
      </c>
      <c r="C75" s="19">
        <f t="shared" si="56"/>
        <v>0.02472421734</v>
      </c>
      <c r="D75" s="234">
        <f>SUM(D76)</f>
        <v>-19456865</v>
      </c>
      <c r="E75" s="19">
        <f t="shared" si="57"/>
        <v>-0.146570889</v>
      </c>
      <c r="F75" s="234">
        <f>SUM(F76)</f>
        <v>-16605055</v>
      </c>
      <c r="G75" s="19">
        <f t="shared" si="58"/>
        <v>0.1700704394</v>
      </c>
      <c r="H75" s="234">
        <f>SUM(H76)</f>
        <v>-19429084</v>
      </c>
      <c r="J75" s="22"/>
      <c r="K75" s="19"/>
    </row>
    <row r="76">
      <c r="A76" s="79" t="s">
        <v>395</v>
      </c>
      <c r="B76" s="232">
        <f t="shared" ref="B76:B77" si="59">B125</f>
        <v>-18987416</v>
      </c>
      <c r="C76" s="19">
        <f t="shared" si="56"/>
        <v>0.02472421734</v>
      </c>
      <c r="D76" s="232">
        <f>SUM(D125-B125)</f>
        <v>-19456865</v>
      </c>
      <c r="E76" s="19">
        <f t="shared" si="57"/>
        <v>-0.146570889</v>
      </c>
      <c r="F76" s="232">
        <f>SUM(F125-D125)</f>
        <v>-16605055</v>
      </c>
      <c r="G76" s="19">
        <f t="shared" si="58"/>
        <v>0.1700704394</v>
      </c>
      <c r="H76" s="232">
        <f>SUM(H125-F125)</f>
        <v>-19429084</v>
      </c>
    </row>
    <row r="77">
      <c r="A77" s="22"/>
      <c r="B77" s="232" t="str">
        <f t="shared" si="59"/>
        <v/>
      </c>
      <c r="C77" s="118"/>
      <c r="D77" s="232"/>
      <c r="E77" s="118"/>
      <c r="F77" s="232"/>
      <c r="G77" s="118"/>
      <c r="H77" s="232"/>
    </row>
    <row r="78">
      <c r="A78" s="231" t="s">
        <v>396</v>
      </c>
      <c r="B78" s="234">
        <f>SUM(B79:B80)</f>
        <v>-21802649</v>
      </c>
      <c r="C78" s="19">
        <f t="shared" ref="C78:C80" si="60">IFERROR(SUM((D78/B78)-1),0)</f>
        <v>0.1873275582</v>
      </c>
      <c r="D78" s="234">
        <f>SUM(D79:D80)</f>
        <v>-25886886</v>
      </c>
      <c r="E78" s="19">
        <f t="shared" ref="E78:E80" si="61">IFERROR(SUM((F78/D78)-1),0)</f>
        <v>-0.594004161</v>
      </c>
      <c r="F78" s="234">
        <f>SUM(F79:F80)</f>
        <v>-10509968</v>
      </c>
      <c r="G78" s="19">
        <f t="shared" ref="G78:G80" si="62">IFERROR(SUM((H78/F78)-1),0)</f>
        <v>1.363873325</v>
      </c>
      <c r="H78" s="234">
        <f>SUM(H79:H80)</f>
        <v>-24844233</v>
      </c>
      <c r="J78" s="51"/>
      <c r="K78" s="19"/>
      <c r="L78" s="23"/>
    </row>
    <row r="79">
      <c r="A79" s="22" t="s">
        <v>397</v>
      </c>
      <c r="B79" s="232">
        <f t="shared" ref="B79:B81" si="63">B128</f>
        <v>-23372314</v>
      </c>
      <c r="C79" s="19">
        <f t="shared" si="60"/>
        <v>0.09157129243</v>
      </c>
      <c r="D79" s="232">
        <f t="shared" ref="D79:D80" si="64">SUM(D128-B128)</f>
        <v>-25512547</v>
      </c>
      <c r="E79" s="19">
        <f t="shared" si="61"/>
        <v>-0.7331348767</v>
      </c>
      <c r="F79" s="232">
        <f t="shared" ref="F79:F80" si="65">SUM(F128-D128)</f>
        <v>-6808409</v>
      </c>
      <c r="G79" s="19">
        <f t="shared" si="62"/>
        <v>3.079655467</v>
      </c>
      <c r="H79" s="232">
        <f t="shared" ref="H79:H80" si="66">SUM(H128-F128)</f>
        <v>-27775963</v>
      </c>
      <c r="L79" s="23"/>
    </row>
    <row r="80">
      <c r="A80" s="22" t="s">
        <v>398</v>
      </c>
      <c r="B80" s="232">
        <f t="shared" si="63"/>
        <v>1569665</v>
      </c>
      <c r="C80" s="19">
        <f t="shared" si="60"/>
        <v>-1.238483371</v>
      </c>
      <c r="D80" s="232">
        <f t="shared" si="64"/>
        <v>-374339</v>
      </c>
      <c r="E80" s="19">
        <f t="shared" si="61"/>
        <v>8.888253695</v>
      </c>
      <c r="F80" s="232">
        <f t="shared" si="65"/>
        <v>-3701559</v>
      </c>
      <c r="G80" s="19">
        <f t="shared" si="62"/>
        <v>-1.792025738</v>
      </c>
      <c r="H80" s="232">
        <f t="shared" si="66"/>
        <v>2931730</v>
      </c>
      <c r="L80" s="29"/>
    </row>
    <row r="81">
      <c r="A81" s="22"/>
      <c r="B81" s="232" t="str">
        <f t="shared" si="63"/>
        <v/>
      </c>
      <c r="C81" s="118"/>
      <c r="D81" s="232"/>
      <c r="E81" s="118"/>
      <c r="F81" s="232"/>
      <c r="G81" s="118"/>
      <c r="H81" s="232"/>
      <c r="K81" s="20"/>
      <c r="L81" s="20"/>
    </row>
    <row r="82">
      <c r="A82" s="233" t="s">
        <v>400</v>
      </c>
      <c r="B82" s="234">
        <f>SUM(B83)</f>
        <v>-9453576</v>
      </c>
      <c r="C82" s="19">
        <f t="shared" ref="C82:C83" si="67">IFERROR(SUM((D82/B82)-1),0)</f>
        <v>-0.06870923765</v>
      </c>
      <c r="D82" s="234">
        <f>SUM(D83)</f>
        <v>-8804028</v>
      </c>
      <c r="E82" s="19">
        <f t="shared" ref="E82:E83" si="68">IFERROR(SUM((F82/D82)-1),0)</f>
        <v>0.4038701376</v>
      </c>
      <c r="F82" s="234">
        <f>SUM(F83)</f>
        <v>-12359712</v>
      </c>
      <c r="G82" s="19">
        <f t="shared" ref="G82:G83" si="69">IFERROR(SUM((H82/F82)-1),0)</f>
        <v>-0.1250821217</v>
      </c>
      <c r="H82" s="234">
        <f>SUM(H83)</f>
        <v>-10813733</v>
      </c>
      <c r="L82" s="28"/>
      <c r="M82" s="22"/>
    </row>
    <row r="83">
      <c r="A83" s="22" t="s">
        <v>401</v>
      </c>
      <c r="B83" s="232">
        <f t="shared" ref="B83:B84" si="70">B132</f>
        <v>-9453576</v>
      </c>
      <c r="C83" s="19">
        <f t="shared" si="67"/>
        <v>-0.06870923765</v>
      </c>
      <c r="D83" s="232">
        <f>SUM(D132-B132)</f>
        <v>-8804028</v>
      </c>
      <c r="E83" s="19">
        <f t="shared" si="68"/>
        <v>0.4038701376</v>
      </c>
      <c r="F83" s="232">
        <f>SUM(F132-D132)</f>
        <v>-12359712</v>
      </c>
      <c r="G83" s="19">
        <f t="shared" si="69"/>
        <v>-0.1250821217</v>
      </c>
      <c r="H83" s="232">
        <f>SUM(H132-F132)</f>
        <v>-10813733</v>
      </c>
      <c r="L83" s="19"/>
      <c r="M83" s="22"/>
      <c r="O83" s="20"/>
    </row>
    <row r="84">
      <c r="A84" s="79"/>
      <c r="B84" s="232" t="str">
        <f t="shared" si="70"/>
        <v/>
      </c>
      <c r="C84" s="118"/>
      <c r="D84" s="232"/>
      <c r="E84" s="118"/>
      <c r="F84" s="232"/>
      <c r="G84" s="118"/>
      <c r="H84" s="232"/>
      <c r="L84" s="20"/>
    </row>
    <row r="85">
      <c r="A85" s="233" t="s">
        <v>402</v>
      </c>
      <c r="B85" s="234">
        <f>SUM(B64,B74)</f>
        <v>24827467</v>
      </c>
      <c r="C85" s="19">
        <f>IFERROR(SUM((D85/B85)-1),0)</f>
        <v>0.1508148616</v>
      </c>
      <c r="D85" s="234">
        <f>SUM(D64,D74)</f>
        <v>28571818</v>
      </c>
      <c r="E85" s="19">
        <f>IFERROR(SUM((F85/D85)-1),0)</f>
        <v>-0.1801681293</v>
      </c>
      <c r="F85" s="234">
        <f>SUM(F64,F74)</f>
        <v>23424087</v>
      </c>
      <c r="G85" s="19">
        <f>IFERROR(SUM((H85/F85)-1),0)</f>
        <v>0.2216304951</v>
      </c>
      <c r="H85" s="234">
        <f>SUM(H64,H74)</f>
        <v>28615579</v>
      </c>
    </row>
    <row r="86">
      <c r="A86" s="79"/>
      <c r="B86" s="232" t="str">
        <f t="shared" ref="B86:B87" si="71">B135</f>
        <v/>
      </c>
      <c r="C86" s="118"/>
      <c r="D86" s="232"/>
      <c r="E86" s="118"/>
      <c r="F86" s="232"/>
      <c r="G86" s="118"/>
      <c r="H86" s="232"/>
    </row>
    <row r="87">
      <c r="A87" s="235" t="s">
        <v>405</v>
      </c>
      <c r="B87" s="236">
        <f t="shared" si="71"/>
        <v>-16843154</v>
      </c>
      <c r="C87" s="237">
        <f t="shared" ref="C87:C88" si="72">IFERROR(SUM((D87/B87)-1),0)</f>
        <v>0.1321938278</v>
      </c>
      <c r="D87" s="236">
        <f>SUM(D136-B136)</f>
        <v>-19069715</v>
      </c>
      <c r="E87" s="237">
        <f t="shared" ref="E87:E88" si="73">IFERROR(SUM((F87/D87)-1),0)</f>
        <v>-0.411824613</v>
      </c>
      <c r="F87" s="236">
        <f>SUM(F136-D136)</f>
        <v>-11216337</v>
      </c>
      <c r="G87" s="237">
        <f t="shared" ref="G87:G88" si="74">IFERROR(SUM((H87/F87)-1),0)</f>
        <v>0.7169971801</v>
      </c>
      <c r="H87" s="236">
        <f>SUM(H136-F136)</f>
        <v>-19258419</v>
      </c>
    </row>
    <row r="88">
      <c r="A88" s="233" t="s">
        <v>407</v>
      </c>
      <c r="B88" s="234">
        <f>SUM(B85,B87)</f>
        <v>7984313</v>
      </c>
      <c r="C88" s="19">
        <f t="shared" si="72"/>
        <v>0.1900965055</v>
      </c>
      <c r="D88" s="234">
        <f>SUM(D85,D87)</f>
        <v>9502103</v>
      </c>
      <c r="E88" s="19">
        <f t="shared" si="73"/>
        <v>0.2847419145</v>
      </c>
      <c r="F88" s="234">
        <f>SUM(F85,F87)</f>
        <v>12207750</v>
      </c>
      <c r="G88" s="19">
        <f t="shared" si="74"/>
        <v>-0.2335065839</v>
      </c>
      <c r="H88" s="234">
        <f>SUM(H85,H87)</f>
        <v>9357160</v>
      </c>
    </row>
    <row r="89">
      <c r="A89" s="79"/>
      <c r="B89" s="232" t="str">
        <f t="shared" ref="B89:B91" si="75">B138</f>
        <v/>
      </c>
      <c r="C89" s="118"/>
      <c r="D89" s="232"/>
      <c r="E89" s="118"/>
      <c r="F89" s="232"/>
      <c r="G89" s="118"/>
      <c r="H89" s="232"/>
    </row>
    <row r="90">
      <c r="A90" s="22" t="s">
        <v>299</v>
      </c>
      <c r="B90" s="232">
        <f t="shared" si="75"/>
        <v>8821279</v>
      </c>
      <c r="C90" s="19">
        <f>IFERROR(SUM((D90/B90)-1),0)</f>
        <v>0.03445520769</v>
      </c>
      <c r="D90" s="232">
        <f>SUM(D139-B139)</f>
        <v>9125218</v>
      </c>
      <c r="E90" s="19">
        <f>IFERROR(SUM((F90/D90)-1),0)</f>
        <v>-0.1198051378</v>
      </c>
      <c r="F90" s="232">
        <f>SUM(F139-D139)</f>
        <v>8031970</v>
      </c>
      <c r="G90" s="19">
        <f>IFERROR(SUM((H90/F90)-1),0)</f>
        <v>0.0999289091</v>
      </c>
      <c r="H90" s="232">
        <f>SUM(H139-F139)</f>
        <v>8834596</v>
      </c>
      <c r="L90" s="23"/>
      <c r="M90" s="9"/>
    </row>
    <row r="91">
      <c r="A91" s="22"/>
      <c r="B91" s="232" t="str">
        <f t="shared" si="75"/>
        <v/>
      </c>
      <c r="C91" s="118"/>
      <c r="D91" s="232"/>
      <c r="E91" s="118"/>
      <c r="F91" s="232"/>
      <c r="G91" s="118"/>
      <c r="H91" s="232"/>
      <c r="I91" s="20"/>
    </row>
    <row r="92">
      <c r="A92" s="233" t="s">
        <v>408</v>
      </c>
      <c r="B92" s="234">
        <f>SUM(B93:B95)</f>
        <v>-12838954</v>
      </c>
      <c r="C92" s="19">
        <f t="shared" ref="C92:C95" si="76">IFERROR(SUM((D92/B92)-1),0)</f>
        <v>0.003832477319</v>
      </c>
      <c r="D92" s="234">
        <f>SUM(D93:D95)</f>
        <v>-12888159</v>
      </c>
      <c r="E92" s="19">
        <f t="shared" ref="E92:E95" si="77">IFERROR(SUM((F92/D92)-1),0)</f>
        <v>-0.08932454977</v>
      </c>
      <c r="F92" s="234">
        <f>SUM(F93:F95)</f>
        <v>-11736930</v>
      </c>
      <c r="G92" s="19">
        <f t="shared" ref="G92:G95" si="78">IFERROR(SUM((H92/F92)-1),0)</f>
        <v>0.08349210569</v>
      </c>
      <c r="H92" s="234">
        <f>SUM(H93:H95)</f>
        <v>-12716871</v>
      </c>
      <c r="I92" s="20"/>
      <c r="L92" s="28"/>
      <c r="M92" s="22"/>
    </row>
    <row r="93">
      <c r="A93" s="22" t="s">
        <v>410</v>
      </c>
      <c r="B93" s="232">
        <f t="shared" ref="B93:B96" si="79">B142</f>
        <v>-6781843</v>
      </c>
      <c r="C93" s="19">
        <f t="shared" si="76"/>
        <v>-0.0001417018943</v>
      </c>
      <c r="D93" s="232">
        <f t="shared" ref="D93:D95" si="80">SUM(D142-B142)</f>
        <v>-6780882</v>
      </c>
      <c r="E93" s="19">
        <f t="shared" si="77"/>
        <v>-0.08501829113</v>
      </c>
      <c r="F93" s="232">
        <f t="shared" ref="F93:F95" si="81">SUM(F142-D142)</f>
        <v>-6204383</v>
      </c>
      <c r="G93" s="19">
        <f t="shared" si="78"/>
        <v>0.04274445984</v>
      </c>
      <c r="H93" s="232">
        <f t="shared" ref="H93:H95" si="82">SUM(H142-F142)</f>
        <v>-6469586</v>
      </c>
      <c r="I93" s="20"/>
    </row>
    <row r="94">
      <c r="A94" s="22" t="s">
        <v>411</v>
      </c>
      <c r="B94" s="232">
        <f t="shared" si="79"/>
        <v>-3726189</v>
      </c>
      <c r="C94" s="19">
        <f t="shared" si="76"/>
        <v>0.01618168053</v>
      </c>
      <c r="D94" s="232">
        <f t="shared" si="80"/>
        <v>-3786485</v>
      </c>
      <c r="E94" s="19">
        <f t="shared" si="77"/>
        <v>-0.060990338</v>
      </c>
      <c r="F94" s="232">
        <f t="shared" si="81"/>
        <v>-3555546</v>
      </c>
      <c r="G94" s="19">
        <f t="shared" si="78"/>
        <v>0.09923398544</v>
      </c>
      <c r="H94" s="232">
        <f t="shared" si="82"/>
        <v>-3908377</v>
      </c>
      <c r="I94" s="20"/>
      <c r="J94" s="9"/>
      <c r="K94" s="20"/>
      <c r="L94" s="29"/>
    </row>
    <row r="95">
      <c r="A95" s="22" t="s">
        <v>412</v>
      </c>
      <c r="B95" s="232">
        <f t="shared" si="79"/>
        <v>-2330922</v>
      </c>
      <c r="C95" s="19">
        <f t="shared" si="76"/>
        <v>-0.004345919769</v>
      </c>
      <c r="D95" s="232">
        <f t="shared" si="80"/>
        <v>-2320792</v>
      </c>
      <c r="E95" s="19">
        <f t="shared" si="77"/>
        <v>-0.1481352056</v>
      </c>
      <c r="F95" s="232">
        <f t="shared" si="81"/>
        <v>-1977001</v>
      </c>
      <c r="G95" s="19">
        <f t="shared" si="78"/>
        <v>0.1830585822</v>
      </c>
      <c r="H95" s="232">
        <f t="shared" si="82"/>
        <v>-2338908</v>
      </c>
      <c r="I95" s="20"/>
    </row>
    <row r="96">
      <c r="A96" s="22"/>
      <c r="B96" s="232" t="str">
        <f t="shared" si="79"/>
        <v/>
      </c>
      <c r="C96" s="118"/>
      <c r="D96" s="232"/>
      <c r="E96" s="118"/>
      <c r="F96" s="232"/>
      <c r="G96" s="118"/>
      <c r="H96" s="232"/>
      <c r="I96" s="20"/>
      <c r="L96" s="20"/>
    </row>
    <row r="97">
      <c r="A97" s="233" t="s">
        <v>413</v>
      </c>
      <c r="B97" s="234">
        <f>SUM(B98:B99)</f>
        <v>657836</v>
      </c>
      <c r="C97" s="19">
        <f t="shared" ref="C97:C99" si="83">IFERROR(SUM((D97/B97)-1),0)</f>
        <v>-1.128983516</v>
      </c>
      <c r="D97" s="234">
        <f>SUM(D98:D99)</f>
        <v>-84850</v>
      </c>
      <c r="E97" s="19">
        <f t="shared" ref="E97:E99" si="84">IFERROR(SUM((F97/D97)-1),0)</f>
        <v>-24.96850913</v>
      </c>
      <c r="F97" s="234">
        <f>SUM(F98:F99)</f>
        <v>2033728</v>
      </c>
      <c r="G97" s="19">
        <f t="shared" ref="G97:G99" si="85">IFERROR(SUM((H97/F97)-1),0)</f>
        <v>-0.4707453504</v>
      </c>
      <c r="H97" s="234">
        <f>SUM(H98:H99)</f>
        <v>1076360</v>
      </c>
      <c r="I97" s="20"/>
      <c r="L97" s="124"/>
    </row>
    <row r="98">
      <c r="A98" s="22" t="s">
        <v>414</v>
      </c>
      <c r="B98" s="232">
        <f t="shared" ref="B98:B102" si="86">B147</f>
        <v>1793243</v>
      </c>
      <c r="C98" s="19">
        <f t="shared" si="83"/>
        <v>0.1628005797</v>
      </c>
      <c r="D98" s="232">
        <f t="shared" ref="D98:D99" si="87">SUM(D147-B147)</f>
        <v>2085184</v>
      </c>
      <c r="E98" s="19">
        <f t="shared" si="84"/>
        <v>-0.04409059344</v>
      </c>
      <c r="F98" s="232">
        <f t="shared" ref="F98:F99" si="88">SUM(F147-D147)</f>
        <v>1993247</v>
      </c>
      <c r="G98" s="19">
        <f t="shared" si="85"/>
        <v>0.226620183</v>
      </c>
      <c r="H98" s="232">
        <f t="shared" ref="H98:H99" si="89">SUM(H147-F147)</f>
        <v>2444957</v>
      </c>
      <c r="I98" s="20"/>
    </row>
    <row r="99">
      <c r="A99" s="22" t="s">
        <v>415</v>
      </c>
      <c r="B99" s="232">
        <f t="shared" si="86"/>
        <v>-1135407</v>
      </c>
      <c r="C99" s="19">
        <f t="shared" si="83"/>
        <v>0.9112388773</v>
      </c>
      <c r="D99" s="232">
        <f t="shared" si="87"/>
        <v>-2170034</v>
      </c>
      <c r="E99" s="19">
        <f t="shared" si="84"/>
        <v>-1.018654546</v>
      </c>
      <c r="F99" s="232">
        <f t="shared" si="88"/>
        <v>40481</v>
      </c>
      <c r="G99" s="19">
        <f t="shared" si="85"/>
        <v>-34.80837924</v>
      </c>
      <c r="H99" s="232">
        <f t="shared" si="89"/>
        <v>-1368597</v>
      </c>
      <c r="I99" s="20"/>
    </row>
    <row r="100">
      <c r="A100" s="22"/>
      <c r="B100" s="232" t="str">
        <f t="shared" si="86"/>
        <v/>
      </c>
      <c r="C100" s="118"/>
      <c r="D100" s="232"/>
      <c r="E100" s="118"/>
      <c r="F100" s="232"/>
      <c r="G100" s="118"/>
      <c r="H100" s="232"/>
      <c r="I100" s="20"/>
    </row>
    <row r="101">
      <c r="A101" s="22" t="s">
        <v>416</v>
      </c>
      <c r="B101" s="232">
        <f t="shared" si="86"/>
        <v>-2631989</v>
      </c>
      <c r="C101" s="19">
        <f>IFERROR(SUM((D101/B101)-1),0)</f>
        <v>0.08748934741</v>
      </c>
      <c r="D101" s="232">
        <f>SUM(D150-B150)</f>
        <v>-2862260</v>
      </c>
      <c r="E101" s="19">
        <f>IFERROR(SUM((F101/D101)-1),0)</f>
        <v>0.2239873387</v>
      </c>
      <c r="F101" s="232">
        <f>SUM(F150-D150)</f>
        <v>-3503370</v>
      </c>
      <c r="G101" s="19">
        <f>IFERROR(SUM((H101/F101)-1),0)</f>
        <v>-0.00637928623</v>
      </c>
      <c r="H101" s="232">
        <f>SUM(H150-F150)</f>
        <v>-3481021</v>
      </c>
      <c r="I101" s="20"/>
    </row>
    <row r="102">
      <c r="A102" s="22"/>
      <c r="B102" s="232" t="str">
        <f t="shared" si="86"/>
        <v/>
      </c>
      <c r="C102" s="118"/>
      <c r="D102" s="232"/>
      <c r="E102" s="118"/>
      <c r="F102" s="232"/>
      <c r="G102" s="118"/>
      <c r="H102" s="232"/>
    </row>
    <row r="103">
      <c r="A103" s="233" t="s">
        <v>304</v>
      </c>
      <c r="B103" s="202">
        <f>SUM(B88,B90,B92,B97,B101)</f>
        <v>1992485</v>
      </c>
      <c r="C103" s="19">
        <f t="shared" ref="C103:C110" si="90">IFERROR(SUM((D103/B103)-1),0)</f>
        <v>0.4012913523</v>
      </c>
      <c r="D103" s="202">
        <f>SUM(D88,D90,D92,D97,D101)</f>
        <v>2792052</v>
      </c>
      <c r="E103" s="19">
        <f t="shared" ref="E103:E110" si="91">IFERROR(SUM((F103/D103)-1),0)</f>
        <v>1.518988901</v>
      </c>
      <c r="F103" s="202">
        <f>SUM(F88,F90,F92,F97,F101)</f>
        <v>7033148</v>
      </c>
      <c r="G103" s="19">
        <f t="shared" ref="G103:G110" si="92">IFERROR(SUM((H103/F103)-1),0)</f>
        <v>-0.5634637576</v>
      </c>
      <c r="H103" s="202">
        <f>SUM(H88,H90,H92,H97,H101)</f>
        <v>3070224</v>
      </c>
    </row>
    <row r="104">
      <c r="A104" s="22" t="s">
        <v>419</v>
      </c>
      <c r="B104" s="232">
        <f>B153</f>
        <v>205798</v>
      </c>
      <c r="C104" s="19">
        <f t="shared" si="90"/>
        <v>-0.5183432298</v>
      </c>
      <c r="D104" s="232">
        <f>SUM(D153-B153)</f>
        <v>99124</v>
      </c>
      <c r="E104" s="19">
        <f t="shared" si="91"/>
        <v>-1.879595254</v>
      </c>
      <c r="F104" s="232">
        <f>SUM(F153-D153)</f>
        <v>-87189</v>
      </c>
      <c r="G104" s="19">
        <f t="shared" si="92"/>
        <v>-3.363922054</v>
      </c>
      <c r="H104" s="232">
        <f>SUM(H153-F153)</f>
        <v>206108</v>
      </c>
      <c r="I104" s="20"/>
      <c r="J104" s="9"/>
      <c r="K104" s="20"/>
    </row>
    <row r="105">
      <c r="A105" s="233" t="s">
        <v>421</v>
      </c>
      <c r="B105" s="132">
        <f>SUM(B103:B104)</f>
        <v>2198283</v>
      </c>
      <c r="C105" s="19">
        <f t="shared" si="90"/>
        <v>0.3151973608</v>
      </c>
      <c r="D105" s="132">
        <f>SUM(D103:D104)</f>
        <v>2891176</v>
      </c>
      <c r="E105" s="19">
        <f t="shared" si="91"/>
        <v>1.402468407</v>
      </c>
      <c r="F105" s="132">
        <f>SUM(F103:F104)</f>
        <v>6945959</v>
      </c>
      <c r="G105" s="19">
        <f t="shared" si="92"/>
        <v>-0.5283110655</v>
      </c>
      <c r="H105" s="132">
        <f>SUM(H103:H104)</f>
        <v>3276332</v>
      </c>
      <c r="I105" s="20"/>
      <c r="J105" s="9"/>
    </row>
    <row r="106">
      <c r="A106" s="22" t="s">
        <v>152</v>
      </c>
      <c r="B106" s="232">
        <f t="shared" ref="B106:B108" si="93">B155</f>
        <v>2099299</v>
      </c>
      <c r="C106" s="19">
        <f t="shared" si="90"/>
        <v>-0.2601616063</v>
      </c>
      <c r="D106" s="232">
        <f t="shared" ref="D106:D108" si="94">SUM(D155-B155)</f>
        <v>1553142</v>
      </c>
      <c r="E106" s="19">
        <f t="shared" si="91"/>
        <v>-0.1968995752</v>
      </c>
      <c r="F106" s="232">
        <f t="shared" ref="F106:F108" si="95">SUM(F155-D155)</f>
        <v>1247329</v>
      </c>
      <c r="G106" s="19">
        <f t="shared" si="92"/>
        <v>1.561328246</v>
      </c>
      <c r="H106" s="232">
        <f t="shared" ref="H106:H108" si="96">SUM(H155-F155)</f>
        <v>3194819</v>
      </c>
      <c r="I106" s="20"/>
    </row>
    <row r="107">
      <c r="A107" s="22" t="s">
        <v>422</v>
      </c>
      <c r="B107" s="232">
        <f t="shared" si="93"/>
        <v>-404415</v>
      </c>
      <c r="C107" s="19">
        <f t="shared" si="90"/>
        <v>-0.1942361188</v>
      </c>
      <c r="D107" s="232">
        <f t="shared" si="94"/>
        <v>-325863</v>
      </c>
      <c r="E107" s="19">
        <f t="shared" si="91"/>
        <v>1.750536268</v>
      </c>
      <c r="F107" s="232">
        <f t="shared" si="95"/>
        <v>-896298</v>
      </c>
      <c r="G107" s="19">
        <f t="shared" si="92"/>
        <v>-0.2796659147</v>
      </c>
      <c r="H107" s="232">
        <f t="shared" si="96"/>
        <v>-645634</v>
      </c>
      <c r="I107" s="20"/>
      <c r="K107" s="29"/>
    </row>
    <row r="108">
      <c r="A108" s="22" t="s">
        <v>423</v>
      </c>
      <c r="B108" s="232">
        <f t="shared" si="93"/>
        <v>-803163</v>
      </c>
      <c r="C108" s="19">
        <f t="shared" si="90"/>
        <v>0.1750989525</v>
      </c>
      <c r="D108" s="232">
        <f t="shared" si="94"/>
        <v>-943796</v>
      </c>
      <c r="E108" s="19">
        <f t="shared" si="91"/>
        <v>-0.2307680897</v>
      </c>
      <c r="F108" s="232">
        <f t="shared" si="95"/>
        <v>-725998</v>
      </c>
      <c r="G108" s="19">
        <f t="shared" si="92"/>
        <v>0.1751533751</v>
      </c>
      <c r="H108" s="232">
        <f t="shared" si="96"/>
        <v>-853159</v>
      </c>
      <c r="I108" s="20"/>
      <c r="J108" s="9"/>
      <c r="K108" s="20"/>
    </row>
    <row r="109">
      <c r="A109" s="233" t="s">
        <v>424</v>
      </c>
      <c r="B109" s="202">
        <f>SUM(B105:B108)</f>
        <v>3090004</v>
      </c>
      <c r="C109" s="19">
        <f t="shared" si="90"/>
        <v>0.02739640466</v>
      </c>
      <c r="D109" s="202">
        <f>SUM(D105:D108)</f>
        <v>3174659</v>
      </c>
      <c r="E109" s="19">
        <f t="shared" si="91"/>
        <v>1.069826082</v>
      </c>
      <c r="F109" s="202">
        <f>SUM(F105:F108)</f>
        <v>6570992</v>
      </c>
      <c r="G109" s="19">
        <f t="shared" si="92"/>
        <v>-0.243286554</v>
      </c>
      <c r="H109" s="202">
        <f>SUM(H105:H108)</f>
        <v>4972358</v>
      </c>
      <c r="I109" s="20"/>
      <c r="J109" s="9"/>
    </row>
    <row r="110">
      <c r="A110" s="141" t="s">
        <v>217</v>
      </c>
      <c r="B110" s="57">
        <v>3431.0</v>
      </c>
      <c r="C110" s="58">
        <f t="shared" si="90"/>
        <v>0.1390265229</v>
      </c>
      <c r="D110" s="57">
        <v>3908.0</v>
      </c>
      <c r="E110" s="58">
        <f t="shared" si="91"/>
        <v>-0.03147389969</v>
      </c>
      <c r="F110" s="57">
        <v>3785.0</v>
      </c>
      <c r="G110" s="58">
        <f t="shared" si="92"/>
        <v>0.5170409511</v>
      </c>
      <c r="H110" s="57">
        <v>5742.0</v>
      </c>
      <c r="I110" s="20"/>
      <c r="K110" s="29"/>
    </row>
    <row r="111">
      <c r="A111" s="80"/>
      <c r="B111" s="80"/>
      <c r="C111" s="80"/>
      <c r="D111" s="80"/>
      <c r="E111" s="80"/>
      <c r="F111" s="80"/>
      <c r="G111" s="80"/>
      <c r="H111" s="80"/>
      <c r="J111" s="9"/>
      <c r="K111" s="20"/>
    </row>
    <row r="112">
      <c r="A112" s="81" t="s">
        <v>425</v>
      </c>
      <c r="B112" s="9" t="s">
        <v>12</v>
      </c>
      <c r="C112" s="9" t="s">
        <v>13</v>
      </c>
      <c r="D112" s="9" t="s">
        <v>14</v>
      </c>
      <c r="E112" s="9" t="s">
        <v>15</v>
      </c>
      <c r="F112" s="9" t="s">
        <v>16</v>
      </c>
      <c r="G112" s="9" t="s">
        <v>17</v>
      </c>
      <c r="H112" s="9" t="s">
        <v>18</v>
      </c>
    </row>
    <row r="113">
      <c r="A113" s="131" t="s">
        <v>380</v>
      </c>
      <c r="B113" s="27">
        <v>7.5071108E7</v>
      </c>
      <c r="C113" s="20">
        <f t="shared" ref="C113:C117" si="97">IFERROR(SUM((D113/B113)-1),0)</f>
        <v>1.101883257</v>
      </c>
      <c r="D113" s="27">
        <v>1.57790705E8</v>
      </c>
      <c r="E113" s="20">
        <f t="shared" ref="E113:E117" si="98">IFERROR(SUM((F113/D113)-1),0)</f>
        <v>0.3986218453</v>
      </c>
      <c r="F113" s="27">
        <v>2.20689527E8</v>
      </c>
      <c r="G113" s="20">
        <f t="shared" ref="G113:G117" si="99">IFERROR(SUM((H113/F113)-1),0)</f>
        <v>0.3792777579</v>
      </c>
      <c r="H113" s="27">
        <v>3.04392156E8</v>
      </c>
      <c r="I113" s="20"/>
    </row>
    <row r="114">
      <c r="A114" s="131" t="s">
        <v>385</v>
      </c>
      <c r="B114" s="132">
        <f>SUM(B115:B117)</f>
        <v>51675974</v>
      </c>
      <c r="C114" s="20">
        <f t="shared" si="97"/>
        <v>1.127728371</v>
      </c>
      <c r="D114" s="132">
        <f>SUM(D115:D117)</f>
        <v>109952436</v>
      </c>
      <c r="E114" s="20">
        <f t="shared" si="98"/>
        <v>0.4615834705</v>
      </c>
      <c r="F114" s="132">
        <f>SUM(F115:F117)</f>
        <v>160704663</v>
      </c>
      <c r="G114" s="20">
        <f t="shared" si="99"/>
        <v>0.4091629065</v>
      </c>
      <c r="H114" s="132">
        <f>SUM(H115:H117)</f>
        <v>226459050</v>
      </c>
      <c r="I114" s="20"/>
    </row>
    <row r="115">
      <c r="A115" s="9" t="s">
        <v>279</v>
      </c>
      <c r="B115" s="27">
        <v>4.3000221E7</v>
      </c>
      <c r="C115" s="20">
        <f t="shared" si="97"/>
        <v>1.112352539</v>
      </c>
      <c r="D115" s="27">
        <v>9.0831626E7</v>
      </c>
      <c r="E115" s="20">
        <f t="shared" si="98"/>
        <v>0.3723244369</v>
      </c>
      <c r="F115" s="27">
        <v>1.2465046E8</v>
      </c>
      <c r="G115" s="20">
        <f t="shared" si="99"/>
        <v>0.4186419047</v>
      </c>
      <c r="H115" s="27">
        <v>1.76834366E8</v>
      </c>
      <c r="I115" s="20"/>
    </row>
    <row r="116">
      <c r="A116" s="9" t="s">
        <v>387</v>
      </c>
      <c r="B116" s="27">
        <v>6052171.0</v>
      </c>
      <c r="C116" s="20">
        <f t="shared" si="97"/>
        <v>1.237753692</v>
      </c>
      <c r="D116" s="27">
        <v>1.3543268E7</v>
      </c>
      <c r="E116" s="20">
        <f t="shared" si="98"/>
        <v>1.123080855</v>
      </c>
      <c r="F116" s="27">
        <v>2.8753453E7</v>
      </c>
      <c r="G116" s="20">
        <f t="shared" si="99"/>
        <v>0.3784271753</v>
      </c>
      <c r="H116" s="27">
        <v>3.9634541E7</v>
      </c>
      <c r="I116" s="20"/>
    </row>
    <row r="117">
      <c r="A117" s="9" t="s">
        <v>388</v>
      </c>
      <c r="B117" s="27">
        <v>2623582.0</v>
      </c>
      <c r="C117" s="20">
        <f t="shared" si="97"/>
        <v>1.12592631</v>
      </c>
      <c r="D117" s="27">
        <v>5577542.0</v>
      </c>
      <c r="E117" s="20">
        <f t="shared" si="98"/>
        <v>0.3089547331</v>
      </c>
      <c r="F117" s="27">
        <v>7300750.0</v>
      </c>
      <c r="G117" s="20">
        <f t="shared" si="99"/>
        <v>0.3683721535</v>
      </c>
      <c r="H117" s="27">
        <v>9990143.0</v>
      </c>
    </row>
    <row r="118">
      <c r="B118" s="23"/>
      <c r="C118" s="20"/>
      <c r="D118" s="27"/>
      <c r="E118" s="20"/>
      <c r="F118" s="23"/>
      <c r="G118" s="20"/>
      <c r="H118" s="23"/>
    </row>
    <row r="119">
      <c r="A119" s="131" t="s">
        <v>390</v>
      </c>
      <c r="B119" s="132">
        <f>SUM(B120:B121)</f>
        <v>24415634</v>
      </c>
      <c r="C119" s="20">
        <f t="shared" ref="C119:C121" si="100">IFERROR(SUM((D119/B119)-1),0)</f>
        <v>1.015446988</v>
      </c>
      <c r="D119" s="132">
        <f>SUM(D120:D121)</f>
        <v>49208416</v>
      </c>
      <c r="E119" s="20">
        <f t="shared" ref="E119:E121" si="101">IFERROR(SUM((F119/D119)-1),0)</f>
        <v>0.2909404968</v>
      </c>
      <c r="F119" s="132">
        <f>SUM(F120:F121)</f>
        <v>63525137</v>
      </c>
      <c r="G119" s="20">
        <f t="shared" ref="G119:G121" si="102">IFERROR(SUM((H119/F119)-1),0)</f>
        <v>0.2756401139</v>
      </c>
      <c r="H119" s="132">
        <f>SUM(H120:H121)</f>
        <v>81035213</v>
      </c>
      <c r="I119" s="20"/>
    </row>
    <row r="120">
      <c r="A120" s="9" t="s">
        <v>260</v>
      </c>
      <c r="B120" s="27">
        <v>2.4251112E7</v>
      </c>
      <c r="C120" s="20">
        <f t="shared" si="100"/>
        <v>1.012541074</v>
      </c>
      <c r="D120" s="27">
        <v>4.8806359E7</v>
      </c>
      <c r="E120" s="20">
        <f t="shared" si="101"/>
        <v>0.1489337281</v>
      </c>
      <c r="F120" s="27">
        <v>5.6075272E7</v>
      </c>
      <c r="G120" s="20">
        <f t="shared" si="102"/>
        <v>0.4336615969</v>
      </c>
      <c r="H120" s="27">
        <v>8.0392964E7</v>
      </c>
      <c r="I120" s="20"/>
    </row>
    <row r="121">
      <c r="A121" s="9" t="s">
        <v>392</v>
      </c>
      <c r="B121" s="27">
        <v>164522.0</v>
      </c>
      <c r="C121" s="20">
        <f t="shared" si="100"/>
        <v>1.443788673</v>
      </c>
      <c r="D121" s="27">
        <v>402057.0</v>
      </c>
      <c r="E121" s="20">
        <f t="shared" si="101"/>
        <v>17.52937519</v>
      </c>
      <c r="F121" s="27">
        <v>7449865.0</v>
      </c>
      <c r="G121" s="20">
        <f t="shared" si="102"/>
        <v>-0.9137905184</v>
      </c>
      <c r="H121" s="27">
        <v>642249.0</v>
      </c>
    </row>
    <row r="122">
      <c r="B122" s="23"/>
      <c r="C122" s="20"/>
      <c r="D122" s="32"/>
      <c r="E122" s="20"/>
      <c r="F122" s="23"/>
      <c r="G122" s="20"/>
      <c r="H122" s="23"/>
    </row>
    <row r="123">
      <c r="A123" s="131" t="s">
        <v>393</v>
      </c>
      <c r="B123" s="27">
        <v>-5.0243641E7</v>
      </c>
      <c r="C123" s="20">
        <f t="shared" ref="C123:C125" si="103">IFERROR(SUM((D123/B123)-1),0)</f>
        <v>1.077704122</v>
      </c>
      <c r="D123" s="158">
        <v>-1.0439142E8</v>
      </c>
      <c r="E123" s="20">
        <f t="shared" ref="E123:E125" si="104">IFERROR(SUM((F123/D123)-1),0)</f>
        <v>0.3781415657</v>
      </c>
      <c r="F123" s="27">
        <v>-1.43866155E8</v>
      </c>
      <c r="G123" s="20">
        <f t="shared" ref="G123:G125" si="105">IFERROR(SUM((H123/F123)-1),0)</f>
        <v>0.3829048604</v>
      </c>
      <c r="H123" s="27">
        <v>-1.98953205E8</v>
      </c>
      <c r="I123" s="20"/>
    </row>
    <row r="124">
      <c r="A124" s="131" t="s">
        <v>394</v>
      </c>
      <c r="B124" s="132">
        <f>SUM(B125)</f>
        <v>-18987416</v>
      </c>
      <c r="C124" s="20">
        <f t="shared" si="103"/>
        <v>1.024724217</v>
      </c>
      <c r="D124" s="132">
        <f>SUM(D125)</f>
        <v>-38444281</v>
      </c>
      <c r="E124" s="20">
        <f t="shared" si="104"/>
        <v>0.4319252323</v>
      </c>
      <c r="F124" s="132">
        <f>SUM(F125)</f>
        <v>-55049336</v>
      </c>
      <c r="G124" s="20">
        <f t="shared" si="105"/>
        <v>0.3529394796</v>
      </c>
      <c r="H124" s="132">
        <f>SUM(H125)</f>
        <v>-74478420</v>
      </c>
      <c r="I124" s="20"/>
    </row>
    <row r="125">
      <c r="A125" s="9" t="s">
        <v>395</v>
      </c>
      <c r="B125" s="27">
        <v>-1.8987416E7</v>
      </c>
      <c r="C125" s="20">
        <f t="shared" si="103"/>
        <v>1.024724217</v>
      </c>
      <c r="D125" s="27">
        <v>-3.8444281E7</v>
      </c>
      <c r="E125" s="20">
        <f t="shared" si="104"/>
        <v>0.4319252323</v>
      </c>
      <c r="F125" s="27">
        <v>-5.5049336E7</v>
      </c>
      <c r="G125" s="20">
        <f t="shared" si="105"/>
        <v>0.3529394796</v>
      </c>
      <c r="H125" s="27">
        <v>-7.447842E7</v>
      </c>
      <c r="I125" s="20"/>
    </row>
    <row r="126">
      <c r="B126" s="27"/>
      <c r="C126" s="20"/>
      <c r="D126" s="27"/>
      <c r="E126" s="20"/>
      <c r="F126" s="23"/>
      <c r="G126" s="20"/>
      <c r="H126" s="23"/>
      <c r="I126" s="20"/>
    </row>
    <row r="127">
      <c r="A127" s="131" t="s">
        <v>396</v>
      </c>
      <c r="B127" s="132">
        <f>SUM(B128:B129)</f>
        <v>-21802649</v>
      </c>
      <c r="C127" s="20">
        <f t="shared" ref="C127:C129" si="106">IFERROR(SUM((D127/B127)-1),0)</f>
        <v>1.187327558</v>
      </c>
      <c r="D127" s="132">
        <f>SUM(D128:D129)</f>
        <v>-47689535</v>
      </c>
      <c r="E127" s="20">
        <f t="shared" ref="E127:E129" si="107">IFERROR(SUM((F127/D127)-1),0)</f>
        <v>0.2203831092</v>
      </c>
      <c r="F127" s="132">
        <f>SUM(F128:F129)</f>
        <v>-58199503</v>
      </c>
      <c r="G127" s="20">
        <f t="shared" ref="G127:G129" si="108">IFERROR(SUM((H127/F127)-1),0)</f>
        <v>0.426880501</v>
      </c>
      <c r="H127" s="132">
        <f>SUM(H128:H129)</f>
        <v>-83043736</v>
      </c>
    </row>
    <row r="128">
      <c r="A128" s="9" t="s">
        <v>397</v>
      </c>
      <c r="B128" s="27">
        <v>-2.3372314E7</v>
      </c>
      <c r="C128" s="20">
        <f t="shared" si="106"/>
        <v>1.091571292</v>
      </c>
      <c r="D128" s="27">
        <v>-4.8884861E7</v>
      </c>
      <c r="E128" s="20">
        <f t="shared" si="107"/>
        <v>0.139274386</v>
      </c>
      <c r="F128" s="27">
        <v>-5.569327E7</v>
      </c>
      <c r="G128" s="20">
        <f t="shared" si="108"/>
        <v>0.4987310496</v>
      </c>
      <c r="H128" s="27">
        <v>-8.3469233E7</v>
      </c>
    </row>
    <row r="129">
      <c r="A129" s="9" t="s">
        <v>398</v>
      </c>
      <c r="B129" s="27">
        <v>1569665.0</v>
      </c>
      <c r="C129" s="20">
        <f t="shared" si="106"/>
        <v>-0.2384833707</v>
      </c>
      <c r="D129" s="27">
        <v>1195326.0</v>
      </c>
      <c r="E129" s="20">
        <f t="shared" si="107"/>
        <v>-3.096694124</v>
      </c>
      <c r="F129" s="27">
        <v>-2506233.0</v>
      </c>
      <c r="G129" s="20">
        <f t="shared" si="108"/>
        <v>-1.169775516</v>
      </c>
      <c r="H129" s="27">
        <v>425497.0</v>
      </c>
    </row>
    <row r="130">
      <c r="B130" s="23"/>
      <c r="C130" s="20"/>
      <c r="D130" s="23"/>
      <c r="E130" s="20"/>
      <c r="F130" s="23"/>
      <c r="G130" s="20"/>
      <c r="H130" s="23"/>
    </row>
    <row r="131">
      <c r="A131" s="131" t="s">
        <v>400</v>
      </c>
      <c r="B131" s="202">
        <f>SUM(B132)</f>
        <v>-9453576</v>
      </c>
      <c r="C131" s="20">
        <f t="shared" ref="C131:C132" si="109">IFERROR(SUM((D131/B131)-1),0)</f>
        <v>0.9312907624</v>
      </c>
      <c r="D131" s="202">
        <f>SUM(D132)</f>
        <v>-18257604</v>
      </c>
      <c r="E131" s="20">
        <f t="shared" ref="E131:E132" si="110">IFERROR(SUM((F131/D131)-1),0)</f>
        <v>0.6769624317</v>
      </c>
      <c r="F131" s="202">
        <f>SUM(F132)</f>
        <v>-30617316</v>
      </c>
      <c r="G131" s="20">
        <f t="shared" ref="G131:G132" si="111">IFERROR(SUM((H131/F131)-1),0)</f>
        <v>0.3531901033</v>
      </c>
      <c r="H131" s="202">
        <f>SUM(H132)</f>
        <v>-41431049</v>
      </c>
    </row>
    <row r="132">
      <c r="A132" s="9" t="s">
        <v>401</v>
      </c>
      <c r="B132" s="27">
        <v>-9453576.0</v>
      </c>
      <c r="C132" s="20">
        <f t="shared" si="109"/>
        <v>0.9312907624</v>
      </c>
      <c r="D132" s="27">
        <v>-1.8257604E7</v>
      </c>
      <c r="E132" s="20">
        <f t="shared" si="110"/>
        <v>0.6769624317</v>
      </c>
      <c r="F132" s="27">
        <v>-3.0617316E7</v>
      </c>
      <c r="G132" s="20">
        <f t="shared" si="111"/>
        <v>0.3531901033</v>
      </c>
      <c r="H132" s="27">
        <v>-4.1431049E7</v>
      </c>
    </row>
    <row r="133">
      <c r="B133" s="23"/>
      <c r="C133" s="20"/>
      <c r="D133" s="27"/>
      <c r="E133" s="20"/>
      <c r="F133" s="23"/>
      <c r="G133" s="20"/>
      <c r="H133" s="23"/>
    </row>
    <row r="134">
      <c r="A134" s="131" t="s">
        <v>402</v>
      </c>
      <c r="B134" s="242">
        <f>B113+B123</f>
        <v>24827467</v>
      </c>
      <c r="C134" s="20">
        <f>IFERROR(SUM((D134/B134)-1),0)</f>
        <v>1.150814862</v>
      </c>
      <c r="D134" s="242">
        <f>D113+D123</f>
        <v>53399285</v>
      </c>
      <c r="E134" s="20">
        <f>IFERROR(SUM((F134/D134)-1),0)</f>
        <v>0.438659188</v>
      </c>
      <c r="F134" s="242">
        <f>F113+F123</f>
        <v>76823372</v>
      </c>
      <c r="G134" s="20">
        <f>IFERROR(SUM((H134/F134)-1),0)</f>
        <v>0.3724853291</v>
      </c>
      <c r="H134" s="242">
        <f>H113+H123</f>
        <v>105438951</v>
      </c>
    </row>
    <row r="135">
      <c r="B135" s="23"/>
      <c r="C135" s="20"/>
      <c r="D135" s="27"/>
      <c r="E135" s="20"/>
      <c r="F135" s="23"/>
      <c r="G135" s="20"/>
      <c r="H135" s="23"/>
    </row>
    <row r="136">
      <c r="A136" s="9" t="s">
        <v>405</v>
      </c>
      <c r="B136" s="27">
        <v>-1.6843154E7</v>
      </c>
      <c r="C136" s="20">
        <f t="shared" ref="C136:C137" si="112">IFERROR(SUM((D136/B136)-1),0)</f>
        <v>1.132193828</v>
      </c>
      <c r="D136" s="158">
        <v>-3.5912869E7</v>
      </c>
      <c r="E136" s="20">
        <f t="shared" ref="E136:E137" si="113">IFERROR(SUM((F136/D136)-1),0)</f>
        <v>0.3123208285</v>
      </c>
      <c r="F136" s="27">
        <v>-4.7129206E7</v>
      </c>
      <c r="G136" s="20">
        <f t="shared" ref="G136:G137" si="114">IFERROR(SUM((H136/F136)-1),0)</f>
        <v>0.4086302451</v>
      </c>
      <c r="H136" s="27">
        <v>-6.6387625E7</v>
      </c>
    </row>
    <row r="137">
      <c r="A137" s="131" t="s">
        <v>407</v>
      </c>
      <c r="B137" s="132">
        <f>SUM(B134,B136)</f>
        <v>7984313</v>
      </c>
      <c r="C137" s="20">
        <f t="shared" si="112"/>
        <v>1.190096505</v>
      </c>
      <c r="D137" s="132">
        <f>SUM(D134,D136)</f>
        <v>17486416</v>
      </c>
      <c r="E137" s="20">
        <f t="shared" si="113"/>
        <v>0.6981276209</v>
      </c>
      <c r="F137" s="132">
        <f>SUM(F134,F136)</f>
        <v>29694166</v>
      </c>
      <c r="G137" s="20">
        <f t="shared" si="114"/>
        <v>0.3151177912</v>
      </c>
      <c r="H137" s="132">
        <f>SUM(H134,H136)</f>
        <v>39051326</v>
      </c>
    </row>
    <row r="138">
      <c r="B138" s="23"/>
      <c r="C138" s="20"/>
      <c r="E138" s="20"/>
      <c r="F138" s="23"/>
      <c r="G138" s="20"/>
      <c r="H138" s="23"/>
    </row>
    <row r="139">
      <c r="A139" s="9" t="s">
        <v>299</v>
      </c>
      <c r="B139" s="27">
        <v>8821279.0</v>
      </c>
      <c r="C139" s="20">
        <f>IFERROR(SUM((D139/B139)-1),0)</f>
        <v>1.034455208</v>
      </c>
      <c r="D139" s="32">
        <v>1.7946497E7</v>
      </c>
      <c r="E139" s="20">
        <f>IFERROR(SUM((F139/D139)-1),0)</f>
        <v>0.4475508507</v>
      </c>
      <c r="F139" s="27">
        <v>2.5978467E7</v>
      </c>
      <c r="G139" s="20">
        <f>IFERROR(SUM((H139/F139)-1),0)</f>
        <v>0.3400738004</v>
      </c>
      <c r="H139" s="27">
        <v>3.4813063E7</v>
      </c>
    </row>
    <row r="140">
      <c r="B140" s="158"/>
      <c r="C140" s="20"/>
      <c r="D140" s="9"/>
      <c r="E140" s="20"/>
      <c r="F140" s="23"/>
      <c r="G140" s="20"/>
      <c r="H140" s="23"/>
    </row>
    <row r="141">
      <c r="A141" s="131" t="s">
        <v>408</v>
      </c>
      <c r="B141" s="243">
        <f>SUM(B142:B144)</f>
        <v>-12838954</v>
      </c>
      <c r="C141" s="20">
        <f t="shared" ref="C141:C144" si="115">IFERROR(SUM((D141/B141)-1),0)</f>
        <v>1.003832477</v>
      </c>
      <c r="D141" s="243">
        <f>SUM(D142:D144)</f>
        <v>-25727113</v>
      </c>
      <c r="E141" s="20">
        <f t="shared" ref="E141:E144" si="116">IFERROR(SUM((F141/D141)-1),0)</f>
        <v>0.4562085921</v>
      </c>
      <c r="F141" s="243">
        <f>SUM(F142:F144)</f>
        <v>-37464043</v>
      </c>
      <c r="G141" s="20">
        <f t="shared" ref="G141:G144" si="117">IFERROR(SUM((H141/F141)-1),0)</f>
        <v>0.3394420351</v>
      </c>
      <c r="H141" s="243">
        <f>SUM(H142:H144)</f>
        <v>-50180914</v>
      </c>
    </row>
    <row r="142">
      <c r="A142" s="9" t="s">
        <v>410</v>
      </c>
      <c r="B142" s="27">
        <v>-6781843.0</v>
      </c>
      <c r="C142" s="20">
        <f t="shared" si="115"/>
        <v>0.9998582981</v>
      </c>
      <c r="D142" s="32">
        <v>-1.3562725E7</v>
      </c>
      <c r="E142" s="20">
        <f t="shared" si="116"/>
        <v>0.4574584385</v>
      </c>
      <c r="F142" s="27">
        <v>-1.9767108E7</v>
      </c>
      <c r="G142" s="20">
        <f t="shared" si="117"/>
        <v>0.3272904666</v>
      </c>
      <c r="H142" s="27">
        <v>-2.6236694E7</v>
      </c>
    </row>
    <row r="143">
      <c r="A143" s="9" t="s">
        <v>411</v>
      </c>
      <c r="B143" s="27">
        <v>-3726189.0</v>
      </c>
      <c r="C143" s="20">
        <f t="shared" si="115"/>
        <v>1.016181681</v>
      </c>
      <c r="D143" s="32">
        <v>-7512674.0</v>
      </c>
      <c r="E143" s="20">
        <f t="shared" si="116"/>
        <v>0.4732730317</v>
      </c>
      <c r="F143" s="27">
        <v>-1.106822E7</v>
      </c>
      <c r="G143" s="20">
        <f t="shared" si="117"/>
        <v>0.3531170324</v>
      </c>
      <c r="H143" s="27">
        <v>-1.4976597E7</v>
      </c>
    </row>
    <row r="144">
      <c r="A144" s="9" t="s">
        <v>412</v>
      </c>
      <c r="B144" s="27">
        <v>-2330922.0</v>
      </c>
      <c r="C144" s="20">
        <f t="shared" si="115"/>
        <v>0.9956540802</v>
      </c>
      <c r="D144" s="32">
        <v>-4651714.0</v>
      </c>
      <c r="E144" s="20">
        <f t="shared" si="116"/>
        <v>0.4250048477</v>
      </c>
      <c r="F144" s="27">
        <v>-6628715.0</v>
      </c>
      <c r="G144" s="20">
        <f t="shared" si="117"/>
        <v>0.3528448576</v>
      </c>
      <c r="H144" s="27">
        <v>-8967623.0</v>
      </c>
    </row>
    <row r="145">
      <c r="B145" s="20"/>
      <c r="C145" s="20"/>
      <c r="D145" s="23"/>
      <c r="E145" s="20"/>
      <c r="F145" s="23"/>
      <c r="G145" s="20"/>
      <c r="H145" s="23"/>
    </row>
    <row r="146">
      <c r="A146" s="131" t="s">
        <v>413</v>
      </c>
      <c r="B146" s="243">
        <f>SUM(B147:B148)</f>
        <v>657836</v>
      </c>
      <c r="C146" s="20">
        <f t="shared" ref="C146:C148" si="118">IFERROR(SUM((D146/B146)-1),0)</f>
        <v>-0.1289835156</v>
      </c>
      <c r="D146" s="243">
        <f>SUM(D147:D148)</f>
        <v>572986</v>
      </c>
      <c r="E146" s="20">
        <f t="shared" ref="E146:E148" si="119">IFERROR(SUM((F146/D146)-1),0)</f>
        <v>3.549350246</v>
      </c>
      <c r="F146" s="243">
        <f>SUM(F147:F148)</f>
        <v>2606714</v>
      </c>
      <c r="G146" s="20">
        <f t="shared" ref="G146:G148" si="120">IFERROR(SUM((H146/F146)-1),0)</f>
        <v>0.4129183332</v>
      </c>
      <c r="H146" s="243">
        <f>SUM(H147:H148)</f>
        <v>3683074</v>
      </c>
    </row>
    <row r="147">
      <c r="A147" s="9" t="s">
        <v>414</v>
      </c>
      <c r="B147" s="27">
        <v>1793243.0</v>
      </c>
      <c r="C147" s="20">
        <f t="shared" si="118"/>
        <v>1.16280058</v>
      </c>
      <c r="D147" s="27">
        <v>3878427.0</v>
      </c>
      <c r="E147" s="20">
        <f t="shared" si="119"/>
        <v>0.5139318079</v>
      </c>
      <c r="F147" s="27">
        <v>5871674.0</v>
      </c>
      <c r="G147" s="20">
        <f t="shared" si="120"/>
        <v>0.4163986284</v>
      </c>
      <c r="H147" s="27">
        <v>8316631.0</v>
      </c>
    </row>
    <row r="148">
      <c r="A148" s="9" t="s">
        <v>415</v>
      </c>
      <c r="B148" s="27">
        <v>-1135407.0</v>
      </c>
      <c r="C148" s="20">
        <f t="shared" si="118"/>
        <v>1.911238877</v>
      </c>
      <c r="D148" s="27">
        <v>-3305441.0</v>
      </c>
      <c r="E148" s="20">
        <f t="shared" si="119"/>
        <v>-0.01224677736</v>
      </c>
      <c r="F148" s="27">
        <v>-3264960.0</v>
      </c>
      <c r="G148" s="20">
        <f t="shared" si="120"/>
        <v>0.419177264</v>
      </c>
      <c r="H148" s="27">
        <v>-4633557.0</v>
      </c>
    </row>
    <row r="149">
      <c r="C149" s="20"/>
      <c r="D149" s="27"/>
      <c r="E149" s="20"/>
      <c r="F149" s="27"/>
      <c r="G149" s="20"/>
      <c r="H149" s="27"/>
    </row>
    <row r="150">
      <c r="A150" s="9" t="s">
        <v>416</v>
      </c>
      <c r="B150" s="27">
        <v>-2631989.0</v>
      </c>
      <c r="C150" s="20">
        <f>IFERROR(SUM((D150/B150)-1),0)</f>
        <v>1.087489347</v>
      </c>
      <c r="D150" s="32">
        <v>-5494249.0</v>
      </c>
      <c r="E150" s="20">
        <f>IFERROR(SUM((F150/D150)-1),0)</f>
        <v>0.6376431065</v>
      </c>
      <c r="F150" s="27">
        <v>-8997619.0</v>
      </c>
      <c r="G150" s="20">
        <f>IFERROR(SUM((H150/F150)-1),0)</f>
        <v>0.386882463</v>
      </c>
      <c r="H150" s="27">
        <v>-1.247864E7</v>
      </c>
    </row>
    <row r="151">
      <c r="C151" s="20"/>
      <c r="D151" s="32"/>
      <c r="E151" s="20"/>
      <c r="F151" s="27"/>
      <c r="G151" s="20"/>
      <c r="H151" s="27"/>
    </row>
    <row r="152">
      <c r="A152" s="131" t="s">
        <v>304</v>
      </c>
      <c r="B152" s="202">
        <f>SUM(B137,B139,B141,B146,B150)</f>
        <v>1992485</v>
      </c>
      <c r="C152" s="20">
        <f t="shared" ref="C152:C158" si="121">IFERROR(SUM((D152/B152)-1),0)</f>
        <v>1.401291352</v>
      </c>
      <c r="D152" s="202">
        <f>SUM(D137,D139,D141,D146,D150)</f>
        <v>4784537</v>
      </c>
      <c r="E152" s="20">
        <f t="shared" ref="E152:E158" si="122">IFERROR(SUM((F152/D152)-1),0)</f>
        <v>1.469974629</v>
      </c>
      <c r="F152" s="202">
        <f>SUM(F137,F139,F141,F146,F150)</f>
        <v>11817685</v>
      </c>
      <c r="G152" s="20">
        <f t="shared" ref="G152:G158" si="123">IFERROR(SUM((H152/F152)-1),0)</f>
        <v>0.2597991062</v>
      </c>
      <c r="H152" s="202">
        <f>SUM(H137,H139,H141,H146,H150)</f>
        <v>14887909</v>
      </c>
    </row>
    <row r="153">
      <c r="A153" s="9" t="s">
        <v>419</v>
      </c>
      <c r="B153" s="27">
        <v>205798.0</v>
      </c>
      <c r="C153" s="20">
        <f t="shared" si="121"/>
        <v>0.4816567702</v>
      </c>
      <c r="D153" s="27">
        <v>304922.0</v>
      </c>
      <c r="E153" s="20">
        <f t="shared" si="122"/>
        <v>-0.2859386991</v>
      </c>
      <c r="F153" s="27">
        <v>217733.0</v>
      </c>
      <c r="G153" s="20">
        <f t="shared" si="123"/>
        <v>0.9466089201</v>
      </c>
      <c r="H153" s="27">
        <v>423841.0</v>
      </c>
    </row>
    <row r="154">
      <c r="A154" s="131" t="s">
        <v>421</v>
      </c>
      <c r="B154" s="132">
        <f>SUM(B152:B153)</f>
        <v>2198283</v>
      </c>
      <c r="C154" s="20">
        <f t="shared" si="121"/>
        <v>1.315197361</v>
      </c>
      <c r="D154" s="132">
        <f>SUM(D152:D153)</f>
        <v>5089459</v>
      </c>
      <c r="E154" s="20">
        <f t="shared" si="122"/>
        <v>1.364773545</v>
      </c>
      <c r="F154" s="132">
        <f>SUM(F152:F153)</f>
        <v>12035418</v>
      </c>
      <c r="G154" s="20">
        <f t="shared" si="123"/>
        <v>0.2722241969</v>
      </c>
      <c r="H154" s="132">
        <f>SUM(H152:H153)</f>
        <v>15311750</v>
      </c>
    </row>
    <row r="155">
      <c r="A155" s="9" t="s">
        <v>152</v>
      </c>
      <c r="B155" s="27">
        <v>2099299.0</v>
      </c>
      <c r="C155" s="20">
        <f t="shared" si="121"/>
        <v>0.7398383937</v>
      </c>
      <c r="D155" s="27">
        <v>3652441.0</v>
      </c>
      <c r="E155" s="20">
        <f t="shared" si="122"/>
        <v>0.3415055849</v>
      </c>
      <c r="F155" s="27">
        <v>4899770.0</v>
      </c>
      <c r="G155" s="20">
        <f t="shared" si="123"/>
        <v>0.6520344833</v>
      </c>
      <c r="H155" s="27">
        <v>8094589.0</v>
      </c>
    </row>
    <row r="156">
      <c r="A156" s="9" t="s">
        <v>422</v>
      </c>
      <c r="B156" s="27">
        <v>-404415.0</v>
      </c>
      <c r="C156" s="20">
        <f t="shared" si="121"/>
        <v>0.8057638812</v>
      </c>
      <c r="D156" s="27">
        <v>-730278.0</v>
      </c>
      <c r="E156" s="20">
        <f t="shared" si="122"/>
        <v>1.227338082</v>
      </c>
      <c r="F156" s="27">
        <v>-1626576.0</v>
      </c>
      <c r="G156" s="20">
        <f t="shared" si="123"/>
        <v>0.3969282714</v>
      </c>
      <c r="H156" s="27">
        <v>-2272210.0</v>
      </c>
    </row>
    <row r="157">
      <c r="A157" s="9" t="s">
        <v>423</v>
      </c>
      <c r="B157" s="27">
        <v>-803163.0</v>
      </c>
      <c r="C157" s="20">
        <f t="shared" si="121"/>
        <v>1.175098953</v>
      </c>
      <c r="D157" s="27">
        <v>-1746959.0</v>
      </c>
      <c r="E157" s="20">
        <f t="shared" si="122"/>
        <v>0.4155781561</v>
      </c>
      <c r="F157" s="27">
        <v>-2472957.0</v>
      </c>
      <c r="G157" s="20">
        <f t="shared" si="123"/>
        <v>0.3449954852</v>
      </c>
      <c r="H157" s="27">
        <v>-3326116.0</v>
      </c>
    </row>
    <row r="158">
      <c r="A158" s="131" t="s">
        <v>424</v>
      </c>
      <c r="B158" s="202">
        <f>SUM(B154:B157)</f>
        <v>3090004</v>
      </c>
      <c r="C158" s="20">
        <f t="shared" si="121"/>
        <v>1.027396405</v>
      </c>
      <c r="D158" s="202">
        <f>SUM(D154:D157)</f>
        <v>6264663</v>
      </c>
      <c r="E158" s="20">
        <f t="shared" si="122"/>
        <v>1.048897922</v>
      </c>
      <c r="F158" s="202">
        <f>SUM(F154:F157)</f>
        <v>12835655</v>
      </c>
      <c r="G158" s="20">
        <f t="shared" si="123"/>
        <v>0.3873863858</v>
      </c>
      <c r="H158" s="202">
        <f>SUM(H154:H157)</f>
        <v>17808013</v>
      </c>
    </row>
    <row r="159">
      <c r="A159" s="80"/>
      <c r="B159" s="80"/>
      <c r="C159" s="80"/>
      <c r="D159" s="80"/>
      <c r="E159" s="80"/>
      <c r="F159" s="80"/>
      <c r="G159" s="80"/>
      <c r="H159" s="80"/>
    </row>
    <row r="162">
      <c r="C162" s="20"/>
      <c r="D162" s="23"/>
      <c r="E162" s="20"/>
      <c r="F162" s="23"/>
      <c r="G162" s="20"/>
      <c r="H162" s="23"/>
      <c r="I162" s="20"/>
    </row>
    <row r="163">
      <c r="C163" s="20"/>
      <c r="D163" s="32"/>
      <c r="E163" s="20"/>
      <c r="F163" s="32"/>
      <c r="G163" s="20"/>
      <c r="H163" s="32"/>
      <c r="I163" s="20"/>
      <c r="J163" s="20"/>
    </row>
    <row r="164">
      <c r="I164" s="20"/>
      <c r="J164" s="20"/>
    </row>
    <row r="165">
      <c r="I165" s="20"/>
      <c r="J165" s="20"/>
    </row>
    <row r="166">
      <c r="I166" s="20"/>
      <c r="J166" s="27"/>
    </row>
    <row r="167">
      <c r="I167" s="20"/>
      <c r="J167" s="20"/>
    </row>
    <row r="168">
      <c r="I168" s="20"/>
      <c r="J168" s="23"/>
    </row>
    <row r="171">
      <c r="I171" s="20"/>
      <c r="J171" s="20"/>
    </row>
    <row r="172">
      <c r="I172" s="20"/>
      <c r="J172" s="20"/>
    </row>
    <row r="173">
      <c r="I173" s="20"/>
      <c r="J173" s="20"/>
    </row>
    <row r="174">
      <c r="I174" s="20"/>
      <c r="J174" s="20"/>
    </row>
    <row r="177">
      <c r="I177" s="20"/>
      <c r="J177" s="23"/>
    </row>
    <row r="178">
      <c r="I178" s="20"/>
      <c r="J178" s="23"/>
    </row>
    <row r="181">
      <c r="I181" s="20"/>
      <c r="J181" s="23"/>
    </row>
    <row r="182">
      <c r="I182" s="20"/>
      <c r="J182" s="23"/>
    </row>
    <row r="183">
      <c r="I183" s="20"/>
      <c r="J183" s="23"/>
    </row>
    <row r="184">
      <c r="I184" s="20"/>
      <c r="J184" s="23"/>
    </row>
    <row r="217">
      <c r="C217" s="20"/>
      <c r="D217" s="27"/>
    </row>
    <row r="218">
      <c r="C218" s="20"/>
      <c r="D218" s="27"/>
    </row>
    <row r="219">
      <c r="C219" s="20"/>
      <c r="D219" s="27"/>
    </row>
    <row r="220">
      <c r="C220" s="160"/>
      <c r="D220" s="158"/>
    </row>
    <row r="221">
      <c r="D221" s="23"/>
    </row>
    <row r="222">
      <c r="D222" s="23"/>
    </row>
    <row r="223">
      <c r="C223" s="20"/>
      <c r="D223" s="27"/>
    </row>
    <row r="224">
      <c r="C224" s="20"/>
      <c r="D224" s="27"/>
    </row>
    <row r="225">
      <c r="C225" s="20"/>
      <c r="D225" s="27"/>
    </row>
    <row r="226">
      <c r="C226" s="20"/>
      <c r="D226" s="27"/>
    </row>
    <row r="227">
      <c r="C227" s="160"/>
      <c r="D227" s="146"/>
    </row>
    <row r="228">
      <c r="D228" s="23"/>
    </row>
    <row r="229">
      <c r="C229" s="20"/>
    </row>
    <row r="230">
      <c r="C230" s="20"/>
      <c r="D230" s="32"/>
    </row>
    <row r="237">
      <c r="I237" s="20"/>
    </row>
    <row r="238">
      <c r="I238" s="20"/>
      <c r="J238" s="23"/>
    </row>
    <row r="239">
      <c r="I239" s="20"/>
      <c r="J239" s="23"/>
    </row>
    <row r="240">
      <c r="I240" s="20"/>
      <c r="J240" s="23"/>
    </row>
    <row r="241">
      <c r="I241" s="20"/>
      <c r="J241" s="23"/>
    </row>
    <row r="242">
      <c r="I242" s="20"/>
      <c r="J242" s="20"/>
    </row>
    <row r="243">
      <c r="I243" s="20"/>
      <c r="J243" s="20"/>
    </row>
    <row r="244">
      <c r="I244" s="20"/>
      <c r="J244" s="23"/>
    </row>
    <row r="245">
      <c r="I245" s="20"/>
      <c r="J245" s="23"/>
    </row>
    <row r="246">
      <c r="I246" s="20"/>
      <c r="J246" s="23"/>
    </row>
    <row r="247">
      <c r="I247" s="20"/>
      <c r="J247" s="20"/>
    </row>
    <row r="250">
      <c r="I250" s="20"/>
    </row>
    <row r="251">
      <c r="I251" s="20"/>
      <c r="J251" s="20"/>
    </row>
    <row r="252">
      <c r="I252" s="20"/>
      <c r="J252" s="20"/>
    </row>
    <row r="253">
      <c r="I253" s="20"/>
      <c r="J253" s="20"/>
    </row>
    <row r="254">
      <c r="I254" s="20"/>
      <c r="J254" s="27"/>
    </row>
    <row r="255">
      <c r="I255" s="20"/>
      <c r="J255" s="20"/>
    </row>
    <row r="256">
      <c r="I256" s="20"/>
      <c r="J256" s="23"/>
    </row>
    <row r="259">
      <c r="I259" s="20"/>
      <c r="J259" s="20"/>
    </row>
    <row r="260">
      <c r="I260" s="20"/>
      <c r="J260" s="20"/>
    </row>
    <row r="261">
      <c r="I261" s="20"/>
      <c r="J261" s="20"/>
    </row>
    <row r="262">
      <c r="I262" s="20"/>
      <c r="J262" s="20"/>
    </row>
    <row r="265">
      <c r="E265" s="20"/>
      <c r="F265" s="32"/>
      <c r="H265" s="23"/>
      <c r="I265" s="20"/>
      <c r="J265" s="23"/>
    </row>
    <row r="266">
      <c r="B266" s="32"/>
      <c r="C266" s="20"/>
      <c r="D266" s="32"/>
      <c r="E266" s="20"/>
      <c r="H266" s="23"/>
      <c r="I266" s="20"/>
      <c r="J266" s="23"/>
    </row>
    <row r="267">
      <c r="A267" s="9"/>
      <c r="B267" s="27"/>
      <c r="C267" s="20"/>
      <c r="D267" s="27"/>
      <c r="E267" s="20"/>
    </row>
    <row r="268">
      <c r="B268" s="32"/>
      <c r="C268" s="20"/>
      <c r="D268" s="32"/>
      <c r="E268" s="20"/>
      <c r="G268" s="9"/>
    </row>
    <row r="269">
      <c r="A269" s="9"/>
      <c r="B269" s="27"/>
      <c r="C269" s="20"/>
      <c r="D269" s="27"/>
      <c r="E269" s="20"/>
      <c r="H269" s="23"/>
      <c r="I269" s="20"/>
      <c r="J269" s="23"/>
    </row>
    <row r="270">
      <c r="A270" s="67"/>
      <c r="E270" s="20"/>
      <c r="H270" s="23"/>
      <c r="I270" s="20"/>
      <c r="J270" s="23"/>
    </row>
    <row r="271">
      <c r="B271" s="27"/>
      <c r="C271" s="20"/>
      <c r="D271" s="27"/>
      <c r="E271" s="20"/>
      <c r="F271" s="20"/>
      <c r="H271" s="23"/>
      <c r="I271" s="20"/>
      <c r="J271" s="23"/>
    </row>
    <row r="272">
      <c r="B272" s="27"/>
      <c r="C272" s="20"/>
      <c r="D272" s="27"/>
      <c r="H272" s="23"/>
      <c r="I272" s="20"/>
      <c r="J272" s="23"/>
    </row>
    <row r="273">
      <c r="B273" s="20"/>
      <c r="C273" s="20"/>
      <c r="D273" s="20"/>
      <c r="E273" s="20"/>
      <c r="F273" s="32"/>
    </row>
    <row r="274">
      <c r="B274" s="27"/>
      <c r="C274" s="20"/>
      <c r="D274" s="27"/>
      <c r="E274" s="20"/>
      <c r="F274" s="27"/>
    </row>
    <row r="275">
      <c r="B275" s="27"/>
      <c r="C275" s="20"/>
      <c r="D275" s="27"/>
      <c r="E275" s="20"/>
      <c r="F275" s="32"/>
    </row>
    <row r="276">
      <c r="B276" s="23"/>
      <c r="C276" s="20"/>
      <c r="D276" s="23"/>
      <c r="E276" s="20"/>
      <c r="F276" s="27"/>
    </row>
    <row r="277">
      <c r="E277" s="20"/>
      <c r="F277" s="32"/>
    </row>
    <row r="278">
      <c r="B278" s="27"/>
      <c r="D278" s="27"/>
      <c r="E278" s="20"/>
      <c r="F278" s="32"/>
    </row>
    <row r="279">
      <c r="A279" s="9"/>
      <c r="C279" s="20"/>
      <c r="E279" s="20"/>
    </row>
    <row r="280">
      <c r="E280" s="20"/>
    </row>
    <row r="281">
      <c r="B281" s="27"/>
      <c r="C281" s="20"/>
      <c r="D281" s="27"/>
      <c r="E281" s="20"/>
    </row>
    <row r="282">
      <c r="B282" s="27"/>
      <c r="C282" s="20"/>
      <c r="D282" s="27"/>
      <c r="E282" s="20"/>
      <c r="F282" s="32"/>
    </row>
    <row r="283">
      <c r="B283" s="27"/>
      <c r="C283" s="20"/>
      <c r="D283" s="27"/>
      <c r="E283" s="20"/>
    </row>
    <row r="285">
      <c r="A285" s="9"/>
      <c r="C285" s="20"/>
    </row>
    <row r="286">
      <c r="C286" s="20"/>
      <c r="E286" s="20"/>
      <c r="F286" s="20"/>
    </row>
    <row r="287">
      <c r="B287" s="27"/>
      <c r="C287" s="20"/>
      <c r="D287" s="27"/>
      <c r="E287" s="20"/>
      <c r="F287" s="20"/>
    </row>
    <row r="288">
      <c r="A288" s="9"/>
      <c r="C288" s="20"/>
      <c r="E288" s="20"/>
      <c r="F288" s="20"/>
    </row>
    <row r="290">
      <c r="A290" s="9"/>
    </row>
    <row r="291">
      <c r="A291" s="67"/>
    </row>
    <row r="292">
      <c r="B292" s="27"/>
      <c r="C292" s="20"/>
      <c r="D292" s="27"/>
    </row>
    <row r="293">
      <c r="A293" s="150"/>
      <c r="B293" s="27"/>
      <c r="C293" s="20"/>
      <c r="D293" s="27"/>
    </row>
    <row r="294">
      <c r="B294" s="27"/>
      <c r="C294" s="20"/>
      <c r="D294" s="27"/>
    </row>
    <row r="295">
      <c r="B295" s="27"/>
      <c r="C295" s="20"/>
      <c r="D295" s="27"/>
    </row>
    <row r="296">
      <c r="A296" s="9"/>
      <c r="B296" s="27"/>
      <c r="C296" s="20"/>
      <c r="D296" s="27"/>
    </row>
    <row r="297">
      <c r="B297" s="27"/>
      <c r="C297" s="20"/>
      <c r="D297" s="27"/>
    </row>
    <row r="298">
      <c r="B298" s="27"/>
      <c r="C298" s="20"/>
      <c r="D298" s="27"/>
    </row>
    <row r="299">
      <c r="B299" s="27"/>
      <c r="C299" s="20"/>
      <c r="D299" s="27"/>
    </row>
    <row r="300">
      <c r="B300" s="27"/>
      <c r="C300" s="20"/>
      <c r="D300" s="27"/>
    </row>
    <row r="301">
      <c r="C301" s="20"/>
      <c r="D301" s="32"/>
    </row>
    <row r="302">
      <c r="A302" s="67"/>
      <c r="B302" s="158"/>
      <c r="C302" s="160"/>
      <c r="D302" s="158"/>
    </row>
    <row r="303">
      <c r="B303" s="23"/>
      <c r="D303" s="23"/>
    </row>
    <row r="304">
      <c r="B304" s="27"/>
      <c r="C304" s="20"/>
      <c r="D304" s="27"/>
    </row>
    <row r="305">
      <c r="B305" s="27"/>
      <c r="C305" s="20"/>
      <c r="D305" s="27"/>
    </row>
    <row r="306">
      <c r="B306" s="27"/>
      <c r="C306" s="20"/>
      <c r="D306" s="27"/>
    </row>
    <row r="307">
      <c r="B307" s="27"/>
      <c r="C307" s="20"/>
      <c r="D307" s="27"/>
    </row>
    <row r="308">
      <c r="A308" s="67"/>
      <c r="B308" s="158"/>
      <c r="C308" s="160"/>
      <c r="D308" s="158"/>
    </row>
    <row r="309">
      <c r="B309" s="23"/>
      <c r="D309" s="23"/>
    </row>
    <row r="310">
      <c r="B310" s="27"/>
      <c r="D310" s="23"/>
    </row>
    <row r="311">
      <c r="B311" s="27"/>
      <c r="C311" s="20"/>
      <c r="D311" s="27"/>
    </row>
    <row r="312">
      <c r="B312" s="27"/>
      <c r="C312" s="20"/>
      <c r="D312" s="27"/>
    </row>
    <row r="313">
      <c r="B313" s="27"/>
      <c r="C313" s="20"/>
      <c r="D313" s="27"/>
    </row>
    <row r="314">
      <c r="B314" s="27"/>
      <c r="C314" s="20"/>
      <c r="D314" s="27"/>
    </row>
    <row r="315">
      <c r="A315" s="67"/>
      <c r="B315" s="146"/>
      <c r="C315" s="160"/>
      <c r="D315" s="146"/>
    </row>
    <row r="316">
      <c r="B316" s="23"/>
      <c r="D316" s="23"/>
    </row>
    <row r="317">
      <c r="A317" s="9"/>
      <c r="C317" s="20"/>
    </row>
    <row r="318">
      <c r="B318" s="32"/>
      <c r="C318" s="20"/>
      <c r="D318" s="32"/>
    </row>
    <row r="319">
      <c r="B319" s="9"/>
      <c r="C319" s="20"/>
      <c r="D319" s="9"/>
    </row>
  </sheetData>
  <dataValidations>
    <dataValidation type="list" allowBlank="1" showErrorMessage="1" sqref="B1 D1 F1 H1">
      <formula1>"Feito,Não,Atual"</formula1>
    </dataValidation>
    <dataValidation type="custom" allowBlank="1" showDropDown="1" sqref="K54:K62 M54:N62">
      <formula1>AND(ISNUMBER(K54),(NOT(OR(NOT(ISERROR(DATEVALUE(K54))), AND(ISNUMBER(K54), LEFT(CELL("format", K54))="D")))))</formula1>
    </dataValidation>
  </dataValidations>
  <drawing r:id="rId2"/>
  <legacyDrawing r:id="rId3"/>
  <tableParts count="2">
    <tablePart r:id="rId6"/>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13"/>
    <col customWidth="1" min="2" max="2" width="18.0"/>
    <col customWidth="1" min="3" max="3" width="9.88"/>
    <col customWidth="1" min="4" max="5" width="19.38"/>
    <col customWidth="1" min="6" max="6" width="16.0"/>
    <col customWidth="1" min="7" max="7" width="12.5"/>
    <col customWidth="1" min="8" max="8" width="15.63"/>
    <col customWidth="1" min="9" max="9" width="9.13"/>
    <col customWidth="1" min="10" max="10" width="45.0"/>
    <col customWidth="1" min="11" max="11" width="20.75"/>
    <col customWidth="1" min="12" max="12" width="20.25"/>
    <col customWidth="1" min="13" max="13" width="36.0"/>
    <col customWidth="1" min="14" max="14" width="23.5"/>
    <col customWidth="1" min="15" max="15" width="23.0"/>
    <col customWidth="1" min="16" max="16" width="20.25"/>
    <col customWidth="1" min="17" max="17" width="22.88"/>
    <col customWidth="1" min="18" max="18" width="23.75"/>
    <col customWidth="1" min="20" max="20" width="18.63"/>
  </cols>
  <sheetData>
    <row r="1">
      <c r="A1" s="1"/>
      <c r="B1" s="2" t="s">
        <v>1</v>
      </c>
      <c r="C1" s="3">
        <v>46058.0</v>
      </c>
      <c r="D1" s="2" t="s">
        <v>2</v>
      </c>
      <c r="E1" s="4">
        <v>46238.0</v>
      </c>
      <c r="F1" s="2" t="s">
        <v>3</v>
      </c>
      <c r="G1" s="3">
        <v>46058.0</v>
      </c>
      <c r="H1" s="2" t="s">
        <v>3</v>
      </c>
      <c r="I1" s="3">
        <v>46058.0</v>
      </c>
      <c r="J1" s="5" t="s">
        <v>4</v>
      </c>
      <c r="K1" s="181">
        <f t="array" ref="K1">IFERROR(INDEX('Indicadores_Ações'!$A$10:$L$23, MATCH($J$2, 'Indicadores_Ações'!$A$10:$A$23, 0), MATCH('Indicadores_Ações'!$B$9, 'Indicadores_Ações'!$A$9:$L$9, 0)),"")</f>
        <v>46203</v>
      </c>
      <c r="L1" s="79"/>
      <c r="M1" s="79"/>
    </row>
    <row r="2">
      <c r="A2" s="10" t="s">
        <v>235</v>
      </c>
      <c r="B2" s="9"/>
      <c r="C2" s="9" t="s">
        <v>236</v>
      </c>
      <c r="D2" s="9"/>
      <c r="J2" s="11" t="s">
        <v>430</v>
      </c>
      <c r="K2" s="170">
        <f>IFERROR(__xludf.DUMMYFUNCTION("(GOOGLEFINANCE(""BVMF:"" &amp; J2))"),45.86)</f>
        <v>45.86</v>
      </c>
      <c r="L2" s="13">
        <f t="array" ref="L2">IFERROR(INDEX(Indicador_Ações[], MATCH($J$2, Indicador_Ações[Stock], 0), MATCH(Indicador_Ações[[#HEADERS],[qtd_acao]], Indicador_Ações[#HEADERS], 0)),"")</f>
        <v>11026900000</v>
      </c>
      <c r="M2" s="15" t="s">
        <v>10</v>
      </c>
    </row>
    <row r="3">
      <c r="A3" s="9" t="s">
        <v>11</v>
      </c>
      <c r="B3" s="9" t="s">
        <v>12</v>
      </c>
      <c r="C3" s="9" t="s">
        <v>13</v>
      </c>
      <c r="D3" s="9" t="s">
        <v>14</v>
      </c>
      <c r="E3" s="9" t="s">
        <v>15</v>
      </c>
      <c r="F3" s="9" t="s">
        <v>16</v>
      </c>
      <c r="G3" s="9" t="s">
        <v>17</v>
      </c>
      <c r="H3" s="9" t="s">
        <v>18</v>
      </c>
      <c r="J3" s="17" t="s">
        <v>19</v>
      </c>
      <c r="K3" s="10">
        <v>1000000.0</v>
      </c>
      <c r="L3" s="20">
        <f>K13/K4</f>
        <v>0.04390099205</v>
      </c>
      <c r="M3" s="9" t="s">
        <v>239</v>
      </c>
      <c r="N3" s="21" t="s">
        <v>91</v>
      </c>
      <c r="O3" s="28">
        <f>'Indicadores_Ações'!$B$3</f>
        <v>0.139</v>
      </c>
    </row>
    <row r="4">
      <c r="A4" s="131" t="s">
        <v>240</v>
      </c>
      <c r="B4" s="132">
        <f>SUM(B5:B6)</f>
        <v>396857</v>
      </c>
      <c r="C4" s="20">
        <f t="shared" ref="C4:C6" si="1">IFERROR(SUM((D4/B4)-1),0)</f>
        <v>-0.1233668551</v>
      </c>
      <c r="D4" s="132">
        <f>SUM(D5:D6)</f>
        <v>347898</v>
      </c>
      <c r="E4" s="20">
        <f t="shared" ref="E4:E6" si="2">IFERROR(SUM((F4/D4)-1),0)</f>
        <v>0.06114723281</v>
      </c>
      <c r="F4" s="132">
        <f>SUM(F5:F6)</f>
        <v>369171</v>
      </c>
      <c r="G4" s="20">
        <f t="shared" ref="G4:G6" si="3">IFERROR(SUM((H4/F4)-1),0)</f>
        <v>0.02264804115</v>
      </c>
      <c r="H4" s="132">
        <f>SUM(H5:H6)</f>
        <v>377532</v>
      </c>
      <c r="J4" s="179" t="s">
        <v>25</v>
      </c>
      <c r="K4" s="26">
        <f>SUM(B26,D26,F26,H26)/4*K3</f>
        <v>2932097750000</v>
      </c>
      <c r="L4" s="20">
        <f>K25/SUM(K13,K18)</f>
        <v>0.2467157843</v>
      </c>
      <c r="M4" s="9" t="s">
        <v>20</v>
      </c>
      <c r="N4" s="118" t="s">
        <v>95</v>
      </c>
      <c r="O4" s="145">
        <f>K26</f>
        <v>1</v>
      </c>
    </row>
    <row r="5">
      <c r="A5" s="9" t="s">
        <v>242</v>
      </c>
      <c r="B5" s="27">
        <v>39723.0</v>
      </c>
      <c r="C5" s="20">
        <f t="shared" si="1"/>
        <v>-0.1100621806</v>
      </c>
      <c r="D5" s="27">
        <v>35351.0</v>
      </c>
      <c r="E5" s="20">
        <f t="shared" si="2"/>
        <v>-0.02777856355</v>
      </c>
      <c r="F5" s="27">
        <v>34369.0</v>
      </c>
      <c r="G5" s="20">
        <f t="shared" si="3"/>
        <v>0.08074136577</v>
      </c>
      <c r="H5" s="27">
        <v>37144.0</v>
      </c>
      <c r="J5" s="51" t="s">
        <v>243</v>
      </c>
      <c r="K5" s="29">
        <f>K2*L2</f>
        <v>505693634000</v>
      </c>
      <c r="L5" s="20">
        <f>K19/K15</f>
        <v>0.3718123789</v>
      </c>
      <c r="M5" s="9" t="s">
        <v>244</v>
      </c>
      <c r="N5" s="118" t="s">
        <v>98</v>
      </c>
      <c r="O5" s="28">
        <f>O3+0.01</f>
        <v>0.149</v>
      </c>
    </row>
    <row r="6">
      <c r="A6" s="9" t="s">
        <v>247</v>
      </c>
      <c r="B6" s="27">
        <v>357134.0</v>
      </c>
      <c r="C6" s="20">
        <f t="shared" si="1"/>
        <v>-0.1248466962</v>
      </c>
      <c r="D6" s="27">
        <v>312547.0</v>
      </c>
      <c r="E6" s="20">
        <f t="shared" si="2"/>
        <v>0.07120529072</v>
      </c>
      <c r="F6" s="27">
        <v>334802.0</v>
      </c>
      <c r="G6" s="20">
        <f t="shared" si="3"/>
        <v>0.01668448815</v>
      </c>
      <c r="H6" s="27">
        <v>340388.0</v>
      </c>
      <c r="J6" s="25" t="s">
        <v>43</v>
      </c>
      <c r="K6" s="45">
        <f t="array" ref="K6">IFERROR(INDEX(Indicador_Ações[], MATCH($J$2, Indicador_Ações[Stock], 0), MATCH(Indicador_Ações[[#HEADERS],[patrimonio_liquido]], Indicador_Ações[#HEADERS], 0)),"")</f>
        <v>207648000000</v>
      </c>
      <c r="L6" s="20">
        <f>ABS(K22/SUM(K13,K18))</f>
        <v>0.3566801105</v>
      </c>
      <c r="M6" s="9" t="s">
        <v>246</v>
      </c>
      <c r="N6" s="10" t="s">
        <v>101</v>
      </c>
      <c r="O6" s="78">
        <f>O3+O4*(O5-O3)</f>
        <v>0.149</v>
      </c>
    </row>
    <row r="7">
      <c r="J7" s="189" t="s">
        <v>248</v>
      </c>
      <c r="K7" s="86"/>
      <c r="L7" s="28">
        <f>K25/L2</f>
        <v>4.22720801</v>
      </c>
      <c r="M7" s="9" t="s">
        <v>41</v>
      </c>
      <c r="N7" s="9" t="s">
        <v>250</v>
      </c>
      <c r="T7" s="22"/>
    </row>
    <row r="8">
      <c r="A8" s="131" t="s">
        <v>254</v>
      </c>
      <c r="B8" s="132">
        <f>SUM(B9)</f>
        <v>1061659</v>
      </c>
      <c r="C8" s="20">
        <f t="shared" ref="C8:C9" si="4">IFERROR(SUM((D8/B8)-1),0)</f>
        <v>0.05937782282</v>
      </c>
      <c r="D8" s="132">
        <f>SUM(D9)</f>
        <v>1124698</v>
      </c>
      <c r="E8" s="20">
        <f t="shared" ref="E8:E9" si="5">IFERROR(SUM((F8/D8)-1),0)</f>
        <v>-0.1078698459</v>
      </c>
      <c r="F8" s="132">
        <f>SUM(F9)</f>
        <v>1003377</v>
      </c>
      <c r="G8" s="20">
        <f t="shared" ref="G8:G9" si="6">IFERROR(SUM((H8/F8)-1),0)</f>
        <v>-0.004634349801</v>
      </c>
      <c r="H8" s="132">
        <f>SUM(H9)</f>
        <v>998727</v>
      </c>
      <c r="J8" s="191" t="s">
        <v>251</v>
      </c>
      <c r="K8" s="193">
        <f>SUM(SUM(B28,D28,F28,H28),SUM(B31,D31,F31,H31),SUM(B35,D35,F35,H35),SUM(B38,D38,F38,H38))/4*K3</f>
        <v>2326822000000</v>
      </c>
      <c r="L8" s="23">
        <f>K19/L2</f>
        <v>6.370602799</v>
      </c>
      <c r="M8" s="9" t="s">
        <v>252</v>
      </c>
      <c r="N8" s="9" t="s">
        <v>253</v>
      </c>
      <c r="O8" s="20">
        <f>L12*(1-L10)</f>
        <v>0.07142375559</v>
      </c>
      <c r="Q8" s="9"/>
    </row>
    <row r="9">
      <c r="A9" s="9" t="s">
        <v>436</v>
      </c>
      <c r="B9" s="27">
        <v>1061659.0</v>
      </c>
      <c r="C9" s="20">
        <f t="shared" si="4"/>
        <v>0.05937782282</v>
      </c>
      <c r="D9" s="27">
        <v>1124698.0</v>
      </c>
      <c r="E9" s="20">
        <f t="shared" si="5"/>
        <v>-0.1078698459</v>
      </c>
      <c r="F9" s="27">
        <v>1003377.0</v>
      </c>
      <c r="G9" s="20">
        <f t="shared" si="6"/>
        <v>-0.004634349801</v>
      </c>
      <c r="H9" s="27">
        <v>998727.0</v>
      </c>
      <c r="J9" s="195" t="s">
        <v>257</v>
      </c>
      <c r="K9" s="45"/>
      <c r="L9" s="142">
        <f t="array" ref="L9">IFERROR(INDEX(L23*K3,0)/L2,"")</f>
        <v>2.882224379</v>
      </c>
      <c r="M9" s="9" t="s">
        <v>46</v>
      </c>
      <c r="N9" s="9" t="s">
        <v>258</v>
      </c>
      <c r="O9" s="29">
        <f>K6*(1+O8)</f>
        <v>222479000000</v>
      </c>
      <c r="P9" s="79"/>
      <c r="Q9" s="29"/>
    </row>
    <row r="10">
      <c r="J10" s="191" t="s">
        <v>261</v>
      </c>
      <c r="K10" s="196">
        <f>SUM(B15,D15,F15,H15)/4*K3</f>
        <v>1064922250000</v>
      </c>
      <c r="L10" s="20">
        <f>L9/L7</f>
        <v>0.6818269581</v>
      </c>
      <c r="M10" s="9" t="s">
        <v>263</v>
      </c>
      <c r="N10" s="9" t="s">
        <v>264</v>
      </c>
      <c r="O10" s="197">
        <v>0.22</v>
      </c>
      <c r="P10" s="22"/>
      <c r="Q10" s="29"/>
    </row>
    <row r="11">
      <c r="A11" s="131" t="s">
        <v>441</v>
      </c>
      <c r="B11" s="132">
        <f>SUM(B12)</f>
        <v>296771</v>
      </c>
      <c r="C11" s="20">
        <f t="shared" ref="C11:C12" si="7">IFERROR(SUM((D11/B11)-1),0)</f>
        <v>0.003191012599</v>
      </c>
      <c r="D11" s="132">
        <f>SUM(D12)</f>
        <v>297718</v>
      </c>
      <c r="E11" s="20">
        <f t="shared" ref="E11:E12" si="8">IFERROR(SUM((F11/D11)-1),0)</f>
        <v>-0.1286015626</v>
      </c>
      <c r="F11" s="132">
        <f>SUM(F12)</f>
        <v>259431</v>
      </c>
      <c r="G11" s="20">
        <f t="shared" ref="G11:G12" si="9">IFERROR(SUM((H11/F11)-1),0)</f>
        <v>0.0870250664</v>
      </c>
      <c r="H11" s="132">
        <f>SUM(H12)</f>
        <v>282008</v>
      </c>
      <c r="J11" s="10" t="s">
        <v>61</v>
      </c>
      <c r="K11" s="61"/>
      <c r="L11" s="28">
        <f>IFERROR(K15/K4,0)</f>
        <v>0.06443646021</v>
      </c>
      <c r="M11" s="22" t="s">
        <v>53</v>
      </c>
      <c r="N11" s="9" t="s">
        <v>266</v>
      </c>
      <c r="O11" s="29">
        <f>O9*(O10-O6)</f>
        <v>15796009000</v>
      </c>
      <c r="P11" s="22"/>
      <c r="Q11" s="29"/>
    </row>
    <row r="12">
      <c r="A12" s="9" t="s">
        <v>444</v>
      </c>
      <c r="B12" s="27">
        <v>296771.0</v>
      </c>
      <c r="C12" s="20">
        <f t="shared" si="7"/>
        <v>0.003191012599</v>
      </c>
      <c r="D12" s="32">
        <v>297718.0</v>
      </c>
      <c r="E12" s="20">
        <f t="shared" si="8"/>
        <v>-0.1286015626</v>
      </c>
      <c r="F12" s="32">
        <v>259431.0</v>
      </c>
      <c r="G12" s="20">
        <f t="shared" si="9"/>
        <v>0.0870250664</v>
      </c>
      <c r="H12" s="32">
        <v>282008.0</v>
      </c>
      <c r="J12" s="24" t="s">
        <v>269</v>
      </c>
      <c r="K12" s="86"/>
      <c r="L12" s="19">
        <f>L4*L11*L19</f>
        <v>0.2244808522</v>
      </c>
      <c r="M12" s="199" t="s">
        <v>270</v>
      </c>
      <c r="N12" s="9" t="s">
        <v>271</v>
      </c>
      <c r="O12" s="29">
        <f>(O11/(1+O6))</f>
        <v>13747614447</v>
      </c>
      <c r="P12" s="22"/>
      <c r="Q12" s="154"/>
      <c r="T12" s="22"/>
    </row>
    <row r="13">
      <c r="A13" s="9"/>
      <c r="B13" s="27"/>
      <c r="C13" s="20"/>
      <c r="D13" s="27"/>
      <c r="E13" s="20"/>
      <c r="F13" s="27"/>
      <c r="G13" s="20"/>
      <c r="H13" s="27"/>
      <c r="J13" s="9" t="s">
        <v>272</v>
      </c>
      <c r="K13" s="29">
        <f>SUM(B58,D58,F58,H58)*K3</f>
        <v>128722000000</v>
      </c>
      <c r="L13" s="19">
        <f>IFERROR(K25/K4,0)</f>
        <v>0.01589749182</v>
      </c>
      <c r="M13" s="51" t="s">
        <v>62</v>
      </c>
      <c r="N13" s="9" t="s">
        <v>273</v>
      </c>
      <c r="O13" s="29">
        <f>O11/(O6-O8)</f>
        <v>203619150674</v>
      </c>
      <c r="Q13" s="124"/>
      <c r="T13" s="22"/>
    </row>
    <row r="14">
      <c r="A14" s="131" t="s">
        <v>274</v>
      </c>
      <c r="B14" s="202">
        <f>SUM(B15,B16)</f>
        <v>1020115</v>
      </c>
      <c r="C14" s="20">
        <f t="shared" ref="C14:C16" si="10">IFERROR(SUM((D14/B14)-1),0)</f>
        <v>0.01013807267</v>
      </c>
      <c r="D14" s="202">
        <f>SUM(D15,D16)</f>
        <v>1030457</v>
      </c>
      <c r="E14" s="20">
        <f t="shared" ref="E14:E16" si="11">IFERROR(SUM((F14/D14)-1),0)</f>
        <v>-0.05939112452</v>
      </c>
      <c r="F14" s="202">
        <f>SUM(F15,F16)</f>
        <v>969257</v>
      </c>
      <c r="G14" s="20">
        <f t="shared" ref="G14:G16" si="12">IFERROR(SUM((H14/F14)-1),0)</f>
        <v>0.06526855107</v>
      </c>
      <c r="H14" s="202">
        <f>SUM(H15,H16)</f>
        <v>1032519</v>
      </c>
      <c r="J14" s="24" t="s">
        <v>276</v>
      </c>
      <c r="K14" s="86"/>
      <c r="L14" s="20">
        <f>IFERROR(ABS(SUM(B16,D16,F16,H16))/SUM(B15,D15,F15,H15),0)</f>
        <v>0.04867514976</v>
      </c>
      <c r="M14" s="9" t="s">
        <v>277</v>
      </c>
      <c r="N14" s="9" t="s">
        <v>278</v>
      </c>
      <c r="O14" s="29">
        <f>O13/(1+O6)</f>
        <v>177214230352</v>
      </c>
      <c r="P14" s="22"/>
      <c r="T14" s="22"/>
    </row>
    <row r="15">
      <c r="A15" s="9" t="s">
        <v>279</v>
      </c>
      <c r="B15" s="27">
        <v>1071165.0</v>
      </c>
      <c r="C15" s="20">
        <f t="shared" si="10"/>
        <v>0.01046524112</v>
      </c>
      <c r="D15" s="27">
        <v>1082375.0</v>
      </c>
      <c r="E15" s="20">
        <f t="shared" si="11"/>
        <v>-0.05565538746</v>
      </c>
      <c r="F15" s="27">
        <v>1022135.0</v>
      </c>
      <c r="G15" s="20">
        <f t="shared" si="12"/>
        <v>0.0605389699</v>
      </c>
      <c r="H15" s="27">
        <v>1084014.0</v>
      </c>
      <c r="J15" s="9" t="s">
        <v>281</v>
      </c>
      <c r="K15" s="29">
        <f>SUM(B87,D87,F87,H87)*K3</f>
        <v>188934000000</v>
      </c>
      <c r="L15" s="20">
        <f>IFERROR(ABS(SUM(B60,D60,F60,H60))/(SUM(B15,D15,F15,H15)/4),0)</f>
        <v>0.03627776582</v>
      </c>
      <c r="M15" s="9" t="s">
        <v>282</v>
      </c>
      <c r="N15" s="9" t="s">
        <v>283</v>
      </c>
      <c r="O15" s="29">
        <f>K6 + O12 + O14</f>
        <v>398609844799</v>
      </c>
      <c r="T15" s="22"/>
    </row>
    <row r="16">
      <c r="A16" s="9" t="s">
        <v>284</v>
      </c>
      <c r="B16" s="27">
        <v>-51050.0</v>
      </c>
      <c r="C16" s="20">
        <f t="shared" si="10"/>
        <v>0.0170029383</v>
      </c>
      <c r="D16" s="27">
        <v>-51918.0</v>
      </c>
      <c r="E16" s="20">
        <f t="shared" si="11"/>
        <v>0.01849069687</v>
      </c>
      <c r="F16" s="27">
        <v>-52878.0</v>
      </c>
      <c r="G16" s="20">
        <f t="shared" si="12"/>
        <v>-0.02615454442</v>
      </c>
      <c r="H16" s="27">
        <v>-51495.0</v>
      </c>
      <c r="J16" s="24" t="s">
        <v>293</v>
      </c>
      <c r="K16" s="86"/>
      <c r="L16" s="64">
        <f>SUM(K10/4/K13)</f>
        <v>2.068259991</v>
      </c>
      <c r="M16" s="65" t="s">
        <v>287</v>
      </c>
      <c r="N16" s="9" t="s">
        <v>288</v>
      </c>
      <c r="O16" s="29">
        <f>O15/L2</f>
        <v>36.14885823</v>
      </c>
    </row>
    <row r="17">
      <c r="B17" s="23"/>
      <c r="C17" s="20"/>
      <c r="D17" s="23"/>
      <c r="E17" s="20"/>
      <c r="F17" s="23"/>
      <c r="G17" s="20"/>
      <c r="H17" s="23"/>
      <c r="J17" s="9" t="s">
        <v>296</v>
      </c>
      <c r="K17" s="29">
        <f>SUM(B61,D61,F61,H61)*K3</f>
        <v>90089000000</v>
      </c>
      <c r="L17" s="23">
        <f>K13/(K10/4)</f>
        <v>0.4834982084</v>
      </c>
      <c r="M17" s="9" t="s">
        <v>291</v>
      </c>
    </row>
    <row r="18">
      <c r="A18" s="131" t="s">
        <v>292</v>
      </c>
      <c r="B18" s="202">
        <f>SUM(B19)</f>
        <v>93261</v>
      </c>
      <c r="C18" s="20">
        <f t="shared" ref="C18:C19" si="13">IFERROR(SUM((D18/B18)-1),0)</f>
        <v>0.02236733468</v>
      </c>
      <c r="D18" s="202">
        <f>SUM(D19)</f>
        <v>95347</v>
      </c>
      <c r="E18" s="20">
        <f t="shared" ref="E18:E19" si="14">IFERROR(SUM((F18/D18)-1),0)</f>
        <v>-0.04757359959</v>
      </c>
      <c r="F18" s="202">
        <f>SUM(F19)</f>
        <v>90811</v>
      </c>
      <c r="G18" s="20">
        <f t="shared" ref="G18:G19" si="15">IFERROR(SUM((H18/F18)-1),0)</f>
        <v>0.02403893801</v>
      </c>
      <c r="H18" s="202">
        <f>SUM(H19)</f>
        <v>92994</v>
      </c>
      <c r="J18" s="9" t="s">
        <v>299</v>
      </c>
      <c r="K18" s="29">
        <f>SUM(B63,D63,F63,H63)*K3</f>
        <v>60212000000</v>
      </c>
      <c r="L18" s="73">
        <f>ABS(K21)/K13</f>
        <v>0.3001274063</v>
      </c>
      <c r="M18" s="65" t="s">
        <v>294</v>
      </c>
      <c r="Q18" s="22"/>
    </row>
    <row r="19">
      <c r="A19" s="9" t="s">
        <v>463</v>
      </c>
      <c r="B19" s="27">
        <v>93261.0</v>
      </c>
      <c r="C19" s="20">
        <f t="shared" si="13"/>
        <v>0.02236733468</v>
      </c>
      <c r="D19" s="27">
        <v>95347.0</v>
      </c>
      <c r="E19" s="20">
        <f t="shared" si="14"/>
        <v>-0.04757359959</v>
      </c>
      <c r="F19" s="27">
        <v>90811.0</v>
      </c>
      <c r="G19" s="20">
        <f t="shared" si="15"/>
        <v>0.02403893801</v>
      </c>
      <c r="H19" s="27">
        <v>92994.0</v>
      </c>
      <c r="J19" s="9" t="s">
        <v>464</v>
      </c>
      <c r="K19" s="29">
        <f>SUM(B86,D86,F86,H86)*K3</f>
        <v>70248000000</v>
      </c>
      <c r="L19" s="184">
        <f>IFERROR(K4/K6,0)</f>
        <v>14.12052006</v>
      </c>
      <c r="M19" s="65" t="s">
        <v>297</v>
      </c>
      <c r="N19" s="22"/>
      <c r="P19" s="19"/>
      <c r="Q19" s="28"/>
    </row>
    <row r="20">
      <c r="B20" s="27"/>
      <c r="C20" s="20"/>
      <c r="D20" s="27"/>
      <c r="E20" s="20"/>
      <c r="F20" s="27"/>
      <c r="G20" s="20"/>
      <c r="H20" s="27"/>
      <c r="J20" s="24" t="s">
        <v>307</v>
      </c>
      <c r="K20" s="86"/>
      <c r="L20" s="215">
        <f>SUM(K46,M46,O46,Q46)/4</f>
        <v>0.1545</v>
      </c>
      <c r="M20" s="216" t="s">
        <v>303</v>
      </c>
      <c r="P20" s="19"/>
      <c r="Q20" s="28"/>
      <c r="T20" s="23"/>
    </row>
    <row r="21">
      <c r="A21" s="9" t="s">
        <v>467</v>
      </c>
      <c r="B21" s="27">
        <v>94401.0</v>
      </c>
      <c r="C21" s="20">
        <f>IFERROR(SUM((D21/B21)-1),0)</f>
        <v>-0.06065613712</v>
      </c>
      <c r="D21" s="27">
        <v>88675.0</v>
      </c>
      <c r="E21" s="20">
        <f>IFERROR(SUM((F21/D21)-1),0)</f>
        <v>-0.1017761489</v>
      </c>
      <c r="F21" s="27">
        <v>79650.0</v>
      </c>
      <c r="G21" s="20">
        <f>IFERROR(SUM((H21/F21)-1),0)</f>
        <v>0.002460765851</v>
      </c>
      <c r="H21" s="27">
        <v>79846.0</v>
      </c>
      <c r="J21" s="9" t="s">
        <v>309</v>
      </c>
      <c r="K21" s="29">
        <f>SUM(B60,D60,F60,H60)*K3</f>
        <v>-38633000000</v>
      </c>
      <c r="O21" s="29"/>
      <c r="P21" s="19"/>
      <c r="Q21" s="28"/>
    </row>
    <row r="22">
      <c r="J22" s="9" t="s">
        <v>312</v>
      </c>
      <c r="K22" s="29">
        <f>SUM(B83,D83,F83,H83)*K3</f>
        <v>-67389000000</v>
      </c>
      <c r="M22" s="9" t="s">
        <v>21</v>
      </c>
      <c r="P22" s="19"/>
      <c r="Q22" s="28"/>
    </row>
    <row r="23">
      <c r="A23" s="131" t="s">
        <v>313</v>
      </c>
      <c r="B23" s="132">
        <f>SUM(B24)</f>
        <v>37430</v>
      </c>
      <c r="C23" s="20">
        <f t="shared" ref="C23:C24" si="16">IFERROR(SUM((D23/B23)-1),0)</f>
        <v>0.007694362811</v>
      </c>
      <c r="D23" s="132">
        <f>SUM(D24)</f>
        <v>37718</v>
      </c>
      <c r="E23" s="20">
        <f t="shared" ref="E23:E24" si="17">IFERROR(SUM((F23/D23)-1),0)</f>
        <v>-0.07640914152</v>
      </c>
      <c r="F23" s="132">
        <f>SUM(F24)</f>
        <v>34836</v>
      </c>
      <c r="G23" s="20">
        <f t="shared" ref="G23:G24" si="18">IFERROR(SUM((H23/F23)-1),0)</f>
        <v>0.01122402113</v>
      </c>
      <c r="H23" s="132">
        <f>SUM(H24)</f>
        <v>35227</v>
      </c>
      <c r="J23" s="62" t="s">
        <v>90</v>
      </c>
      <c r="K23" s="74">
        <f>'Indicadores_Ações'!$B$4</f>
        <v>0.04443024618</v>
      </c>
      <c r="L23" s="23">
        <f>SUM(B91,D91,F91,H91)</f>
        <v>31782</v>
      </c>
      <c r="M23" s="9" t="s">
        <v>39</v>
      </c>
    </row>
    <row r="24">
      <c r="A24" s="9" t="s">
        <v>473</v>
      </c>
      <c r="B24" s="27">
        <v>37430.0</v>
      </c>
      <c r="C24" s="20">
        <f t="shared" si="16"/>
        <v>0.007694362811</v>
      </c>
      <c r="D24" s="27">
        <v>37718.0</v>
      </c>
      <c r="E24" s="20">
        <f t="shared" si="17"/>
        <v>-0.07640914152</v>
      </c>
      <c r="F24" s="27">
        <v>34836.0</v>
      </c>
      <c r="G24" s="20">
        <f t="shared" si="18"/>
        <v>0.01122402113</v>
      </c>
      <c r="H24" s="27">
        <v>35227.0</v>
      </c>
      <c r="J24" s="121" t="s">
        <v>129</v>
      </c>
      <c r="K24" s="249">
        <f>SUM(B74,D74,F74,H74)*K3</f>
        <v>48880000000</v>
      </c>
      <c r="L24" s="32"/>
    </row>
    <row r="25">
      <c r="J25" s="9" t="s">
        <v>317</v>
      </c>
      <c r="K25" s="29">
        <f t="array" ref="K25">IFERROR(INDEX(Indicador_Ações[], MATCH($J$2, Indicador_Ações[Stock], 0), MATCH(Indicador_Ações[[#HEADERS],[lucro_liquido_12m]], Indicador_Ações[#HEADERS], 0)),"")</f>
        <v>46613000000</v>
      </c>
    </row>
    <row r="26">
      <c r="A26" s="131" t="s">
        <v>324</v>
      </c>
      <c r="B26" s="202">
        <f>SUM(B4,B8,B11,B14,B18,B21,B23)</f>
        <v>3000494</v>
      </c>
      <c r="C26" s="20">
        <f>IFERROR(SUM((D26/B26)-1),0)</f>
        <v>0.00733779171</v>
      </c>
      <c r="D26" s="202">
        <f>SUM(D4,D8,D11,D14,D18,D21,D23)</f>
        <v>3022511</v>
      </c>
      <c r="E26" s="20">
        <f>IFERROR(SUM((F26/D26)-1),0)</f>
        <v>-0.07145648105</v>
      </c>
      <c r="F26" s="202">
        <f>SUM(F4,F8,F11,F14,F18,F21,F23)</f>
        <v>2806533</v>
      </c>
      <c r="G26" s="20">
        <f>IFERROR(SUM((H26/F26)-1),0)</f>
        <v>0.03289467824</v>
      </c>
      <c r="H26" s="202">
        <f>SUM(H4,H8,H11,H14,H18,H21,H23)</f>
        <v>2898853</v>
      </c>
      <c r="J26" s="24" t="s">
        <v>100</v>
      </c>
      <c r="K26" s="86">
        <f t="array" ref="K26">IFERROR(INDEX(Indicador_Ações[], MATCH($J$2, Indicador_Ações[Stock], 0), MATCH(Indicador_Ações[[#HEADERS],[beta_ibov_3a]], Indicador_Ações[#HEADERS], 0)),"")</f>
        <v>1</v>
      </c>
    </row>
    <row r="27">
      <c r="A27" s="56"/>
      <c r="B27" s="57"/>
      <c r="C27" s="58"/>
      <c r="D27" s="57"/>
      <c r="E27" s="58"/>
      <c r="F27" s="57"/>
      <c r="G27" s="58"/>
      <c r="H27" s="57"/>
      <c r="J27" s="17" t="s">
        <v>235</v>
      </c>
      <c r="K27" s="17"/>
    </row>
    <row r="28">
      <c r="A28" s="131" t="s">
        <v>328</v>
      </c>
      <c r="B28" s="202">
        <f>SUM(B29)</f>
        <v>1099998</v>
      </c>
      <c r="C28" s="20">
        <f t="shared" ref="C28:C29" si="19">IFERROR(SUM((D28/B28)-1),0)</f>
        <v>0.03135187519</v>
      </c>
      <c r="D28" s="202">
        <f>SUM(D29)</f>
        <v>1134485</v>
      </c>
      <c r="E28" s="20">
        <f t="shared" ref="E28:E29" si="20">IFERROR(SUM((F28/D28)-1),0)</f>
        <v>-0.08367056418</v>
      </c>
      <c r="F28" s="202">
        <f>SUM(F29)</f>
        <v>1039562</v>
      </c>
      <c r="G28" s="20">
        <f t="shared" ref="G28:G29" si="21">IFERROR(SUM((H28/F28)-1),0)</f>
        <v>0.0720688136</v>
      </c>
      <c r="H28" s="202">
        <f>SUM(H29)</f>
        <v>1114482</v>
      </c>
      <c r="J28" s="233" t="s">
        <v>322</v>
      </c>
      <c r="K28" s="233"/>
      <c r="L28" s="20"/>
    </row>
    <row r="29">
      <c r="A29" s="9" t="s">
        <v>482</v>
      </c>
      <c r="B29" s="27">
        <v>1099998.0</v>
      </c>
      <c r="C29" s="20">
        <f t="shared" si="19"/>
        <v>0.03135187519</v>
      </c>
      <c r="D29" s="27">
        <v>1134485.0</v>
      </c>
      <c r="E29" s="20">
        <f t="shared" si="20"/>
        <v>-0.08367056418</v>
      </c>
      <c r="F29" s="27">
        <v>1039562.0</v>
      </c>
      <c r="G29" s="20">
        <f t="shared" si="21"/>
        <v>0.0720688136</v>
      </c>
      <c r="H29" s="27">
        <v>1114482.0</v>
      </c>
      <c r="K29" s="9" t="s">
        <v>12</v>
      </c>
      <c r="L29" s="9" t="s">
        <v>301</v>
      </c>
      <c r="M29" s="9" t="s">
        <v>14</v>
      </c>
      <c r="N29" s="9" t="s">
        <v>301</v>
      </c>
      <c r="O29" s="9" t="s">
        <v>16</v>
      </c>
      <c r="P29" s="9" t="s">
        <v>301</v>
      </c>
      <c r="Q29" s="9" t="s">
        <v>18</v>
      </c>
    </row>
    <row r="30">
      <c r="B30" s="23"/>
      <c r="C30" s="20"/>
      <c r="D30" s="23"/>
      <c r="E30" s="20"/>
      <c r="F30" s="23"/>
      <c r="G30" s="20"/>
      <c r="H30" s="23"/>
      <c r="J30" s="9" t="s">
        <v>297</v>
      </c>
      <c r="K30" s="23">
        <f>IFERROR(B26/B51,0)</f>
        <v>14.99512239</v>
      </c>
      <c r="L30" s="20">
        <f t="shared" ref="L30:L36" si="22">IFERROR(SUM((M30/K30)-1),0)</f>
        <v>-0.03331090083</v>
      </c>
      <c r="M30" s="23">
        <f>IFERROR(D26/D51,0)</f>
        <v>14.49562136</v>
      </c>
      <c r="N30" s="20">
        <f t="shared" ref="N30:N36" si="23">IFERROR(SUM((O30/M30)-1),0)</f>
        <v>-0.06541452075</v>
      </c>
      <c r="O30" s="23">
        <f>IFERROR(F26/F51,0)</f>
        <v>13.54739723</v>
      </c>
      <c r="P30" s="20">
        <f t="shared" ref="P30:P36" si="24">IFERROR(SUM((Q30/O30)-1),0)</f>
        <v>0.09091489565</v>
      </c>
      <c r="Q30" s="23">
        <f>IFERROR(H26/H51,0)</f>
        <v>14.77905744</v>
      </c>
    </row>
    <row r="31">
      <c r="A31" s="131" t="s">
        <v>396</v>
      </c>
      <c r="B31" s="202">
        <f>SUM(B32,B33)</f>
        <v>665322</v>
      </c>
      <c r="C31" s="20">
        <f t="shared" ref="C31:C33" si="25">IFERROR(SUM((D31/B31)-1),0)</f>
        <v>-0.07524777476</v>
      </c>
      <c r="D31" s="202">
        <f>SUM(D32,D33)</f>
        <v>615258</v>
      </c>
      <c r="E31" s="20">
        <f t="shared" ref="E31:E33" si="26">IFERROR(SUM((F31/D31)-1),0)</f>
        <v>-0.007110838055</v>
      </c>
      <c r="F31" s="202">
        <f>SUM(F32,F33)</f>
        <v>610883</v>
      </c>
      <c r="G31" s="20">
        <f t="shared" ref="G31:G33" si="27">IFERROR(SUM((H31/F31)-1),0)</f>
        <v>-0.01237716551</v>
      </c>
      <c r="H31" s="202">
        <f>SUM(H32,H33)</f>
        <v>603322</v>
      </c>
      <c r="J31" s="9" t="s">
        <v>326</v>
      </c>
      <c r="K31" s="20">
        <f>IFERROR(B28/B49,0)</f>
        <v>0.3678524468</v>
      </c>
      <c r="L31" s="20">
        <f t="shared" si="22"/>
        <v>0.02491139914</v>
      </c>
      <c r="M31" s="20">
        <f>IFERROR(D28/D49,0)</f>
        <v>0.3770161659</v>
      </c>
      <c r="N31" s="20">
        <f t="shared" si="23"/>
        <v>-0.008399458741</v>
      </c>
      <c r="O31" s="20">
        <f>IFERROR(F28/F49,0)</f>
        <v>0.3738494342</v>
      </c>
      <c r="P31" s="20">
        <f t="shared" si="24"/>
        <v>0.03129110326</v>
      </c>
      <c r="Q31" s="20">
        <f>IFERROR(H28/H49,0)</f>
        <v>0.3855475954</v>
      </c>
    </row>
    <row r="32">
      <c r="A32" s="9" t="s">
        <v>491</v>
      </c>
      <c r="B32" s="27">
        <v>528406.0</v>
      </c>
      <c r="C32" s="20">
        <f t="shared" si="25"/>
        <v>-0.08620265478</v>
      </c>
      <c r="D32" s="27">
        <v>482856.0</v>
      </c>
      <c r="E32" s="20">
        <f t="shared" si="26"/>
        <v>-0.004255927233</v>
      </c>
      <c r="F32" s="27">
        <v>480801.0</v>
      </c>
      <c r="G32" s="20">
        <f t="shared" si="27"/>
        <v>-0.05125405313</v>
      </c>
      <c r="H32" s="27">
        <v>456158.0</v>
      </c>
      <c r="J32" s="9" t="s">
        <v>329</v>
      </c>
      <c r="K32" s="20">
        <f>IFERROR(SUM(B35,B31)/B49,0)</f>
        <v>0.3629091697</v>
      </c>
      <c r="L32" s="20">
        <f t="shared" si="22"/>
        <v>-0.04878818482</v>
      </c>
      <c r="M32" s="20">
        <f>IFERROR(SUM(D35,D31)/D49,0)</f>
        <v>0.3452034901</v>
      </c>
      <c r="N32" s="20">
        <f t="shared" si="23"/>
        <v>0.04642816738</v>
      </c>
      <c r="O32" s="20">
        <f>IFERROR(SUM(F35,F31)/F49,0)</f>
        <v>0.3612306555</v>
      </c>
      <c r="P32" s="20">
        <f t="shared" si="24"/>
        <v>-0.024170221</v>
      </c>
      <c r="Q32" s="20">
        <f>IFERROR(SUM(H35,H31)/H49,0)</f>
        <v>0.3524996307</v>
      </c>
    </row>
    <row r="33">
      <c r="A33" s="9" t="s">
        <v>495</v>
      </c>
      <c r="B33" s="27">
        <v>136916.0</v>
      </c>
      <c r="C33" s="20">
        <f t="shared" si="25"/>
        <v>-0.03296911975</v>
      </c>
      <c r="D33" s="27">
        <v>132402.0</v>
      </c>
      <c r="E33" s="20">
        <f t="shared" si="26"/>
        <v>-0.01752239392</v>
      </c>
      <c r="F33" s="27">
        <v>130082.0</v>
      </c>
      <c r="G33" s="20">
        <f t="shared" si="27"/>
        <v>0.1313171692</v>
      </c>
      <c r="H33" s="27">
        <v>147164.0</v>
      </c>
      <c r="J33" s="9" t="s">
        <v>332</v>
      </c>
      <c r="K33" s="20">
        <f>IFERROR(B14/B26,0)</f>
        <v>0.3399823496</v>
      </c>
      <c r="L33" s="20">
        <f t="shared" si="22"/>
        <v>0.002779882757</v>
      </c>
      <c r="M33" s="20">
        <f>IFERROR(D14/D26,0)</f>
        <v>0.3409274606</v>
      </c>
      <c r="N33" s="20">
        <f t="shared" si="23"/>
        <v>0.01299385143</v>
      </c>
      <c r="O33" s="20">
        <f>IFERROR(F14/F26,0)</f>
        <v>0.3453574214</v>
      </c>
      <c r="P33" s="20">
        <f t="shared" si="24"/>
        <v>0.03134285955</v>
      </c>
      <c r="Q33" s="20">
        <f>IFERROR(H14/H26,0)</f>
        <v>0.3561819106</v>
      </c>
    </row>
    <row r="34">
      <c r="B34" s="23"/>
      <c r="C34" s="20"/>
      <c r="D34" s="23"/>
      <c r="E34" s="20"/>
      <c r="F34" s="23"/>
      <c r="G34" s="20"/>
      <c r="H34" s="23"/>
      <c r="J34" s="9" t="s">
        <v>277</v>
      </c>
      <c r="K34" s="20">
        <f>IFERROR(ABS(B16)/B14,0)</f>
        <v>0.05004337746</v>
      </c>
      <c r="L34" s="20">
        <f t="shared" si="22"/>
        <v>0.006795967614</v>
      </c>
      <c r="M34" s="20">
        <f>IFERROR(ABS(D16)/D14,0)</f>
        <v>0.05038347063</v>
      </c>
      <c r="N34" s="20">
        <f t="shared" si="23"/>
        <v>0.08279936902</v>
      </c>
      <c r="O34" s="20">
        <f>IFERROR(ABS(F16)/F14,0)</f>
        <v>0.05455519021</v>
      </c>
      <c r="P34" s="20">
        <f t="shared" si="24"/>
        <v>-0.08582164131</v>
      </c>
      <c r="Q34" s="20">
        <f>IFERROR(ABS(H16)/H14,0)</f>
        <v>0.04987317425</v>
      </c>
    </row>
    <row r="35">
      <c r="A35" s="131" t="s">
        <v>337</v>
      </c>
      <c r="B35" s="132">
        <f>SUM(B36)</f>
        <v>419894</v>
      </c>
      <c r="C35" s="20">
        <f t="shared" ref="C35:C36" si="28">IFERROR(SUM((D35/B35)-1),0)</f>
        <v>0.00858550015</v>
      </c>
      <c r="D35" s="132">
        <f>SUM(D36)</f>
        <v>423499</v>
      </c>
      <c r="E35" s="20">
        <f t="shared" ref="E35:E36" si="29">IFERROR(SUM((F35/D35)-1),0)</f>
        <v>-0.07062354338</v>
      </c>
      <c r="F35" s="132">
        <f>SUM(F36)</f>
        <v>393590</v>
      </c>
      <c r="G35" s="20">
        <f t="shared" ref="G35:G36" si="30">IFERROR(SUM((H35/F35)-1),0)</f>
        <v>0.05599735766</v>
      </c>
      <c r="H35" s="132">
        <f>SUM(H36)</f>
        <v>415630</v>
      </c>
      <c r="J35" s="9" t="s">
        <v>335</v>
      </c>
      <c r="K35" s="20">
        <f>IFERROR(B4/B26,0)</f>
        <v>0.1322638872</v>
      </c>
      <c r="L35" s="20">
        <f t="shared" si="22"/>
        <v>-0.1297525496</v>
      </c>
      <c r="M35" s="20">
        <f>IFERROR(D4/D26,0)</f>
        <v>0.1151023106</v>
      </c>
      <c r="N35" s="20">
        <f t="shared" si="23"/>
        <v>0.1428082919</v>
      </c>
      <c r="O35" s="20">
        <f>IFERROR(F4/F26,0)</f>
        <v>0.131539875</v>
      </c>
      <c r="P35" s="20">
        <f t="shared" si="24"/>
        <v>-0.009920311628</v>
      </c>
      <c r="Q35" s="20">
        <f>IFERROR(H4/H26,0)</f>
        <v>0.1302349584</v>
      </c>
    </row>
    <row r="36">
      <c r="A36" s="9" t="s">
        <v>507</v>
      </c>
      <c r="B36" s="27">
        <v>419894.0</v>
      </c>
      <c r="C36" s="20">
        <f t="shared" si="28"/>
        <v>0.00858550015</v>
      </c>
      <c r="D36" s="27">
        <v>423499.0</v>
      </c>
      <c r="E36" s="20">
        <f t="shared" si="29"/>
        <v>-0.07062354338</v>
      </c>
      <c r="F36" s="27">
        <v>393590.0</v>
      </c>
      <c r="G36" s="20">
        <f t="shared" si="30"/>
        <v>0.05599735766</v>
      </c>
      <c r="H36" s="27">
        <v>415630.0</v>
      </c>
      <c r="J36" s="9" t="s">
        <v>341</v>
      </c>
      <c r="K36" s="20">
        <f>IFERROR(B51/B26,0)</f>
        <v>0.06668835198</v>
      </c>
      <c r="L36" s="20">
        <f t="shared" si="22"/>
        <v>0.03445875293</v>
      </c>
      <c r="M36" s="20">
        <f>IFERROR(D51/D26,0)</f>
        <v>0.06898634943</v>
      </c>
      <c r="N36" s="20">
        <f t="shared" si="23"/>
        <v>0.06999308485</v>
      </c>
      <c r="O36" s="20">
        <f>IFERROR(F51/F26,0)</f>
        <v>0.07381491684</v>
      </c>
      <c r="P36" s="20">
        <f t="shared" si="24"/>
        <v>-0.0833382109</v>
      </c>
      <c r="Q36" s="20">
        <f>IFERROR(H51/H26,0)</f>
        <v>0.06766331373</v>
      </c>
    </row>
    <row r="37">
      <c r="A37" s="67"/>
      <c r="B37" s="27"/>
      <c r="C37" s="20"/>
      <c r="D37" s="27"/>
      <c r="E37" s="20"/>
      <c r="F37" s="27"/>
      <c r="G37" s="20"/>
      <c r="H37" s="27"/>
      <c r="J37" s="9" t="s">
        <v>343</v>
      </c>
      <c r="K37" s="23"/>
      <c r="L37" s="20"/>
      <c r="M37" s="23"/>
      <c r="N37" s="20"/>
      <c r="O37" s="23"/>
      <c r="P37" s="20"/>
      <c r="Q37" s="23"/>
    </row>
    <row r="38">
      <c r="A38" s="131" t="s">
        <v>344</v>
      </c>
      <c r="B38" s="202">
        <f>SUM(B39:B40)</f>
        <v>197947</v>
      </c>
      <c r="C38" s="20">
        <f t="shared" ref="C38:C40" si="31">IFERROR(SUM((D38/B38)-1),0)</f>
        <v>0.04093519983</v>
      </c>
      <c r="D38" s="202">
        <f>SUM(D39:D40)</f>
        <v>206050</v>
      </c>
      <c r="E38" s="20">
        <f t="shared" ref="E38:E40" si="32">IFERROR(SUM((F38/D38)-1),0)</f>
        <v>-0.0899975734</v>
      </c>
      <c r="F38" s="202">
        <f>SUM(F39:F40)</f>
        <v>187506</v>
      </c>
      <c r="G38" s="20">
        <f t="shared" ref="G38:G40" si="33">IFERROR(SUM((H38/F38)-1),0)</f>
        <v>-0.04077736179</v>
      </c>
      <c r="H38" s="202">
        <f>SUM(H39:H40)</f>
        <v>179860</v>
      </c>
      <c r="K38" s="23"/>
      <c r="L38" s="20"/>
      <c r="M38" s="23"/>
      <c r="N38" s="20"/>
      <c r="O38" s="23"/>
      <c r="P38" s="20"/>
    </row>
    <row r="39">
      <c r="A39" s="9" t="s">
        <v>346</v>
      </c>
      <c r="B39" s="27">
        <v>88588.0</v>
      </c>
      <c r="C39" s="20">
        <f t="shared" si="31"/>
        <v>0.04108908656</v>
      </c>
      <c r="D39" s="27">
        <v>92228.0</v>
      </c>
      <c r="E39" s="20">
        <f t="shared" si="32"/>
        <v>-0.1586394587</v>
      </c>
      <c r="F39" s="27">
        <v>77597.0</v>
      </c>
      <c r="G39" s="20">
        <f t="shared" si="33"/>
        <v>-0.09920486617</v>
      </c>
      <c r="H39" s="27">
        <v>69899.0</v>
      </c>
      <c r="J39" s="81" t="s">
        <v>345</v>
      </c>
      <c r="L39" s="20"/>
      <c r="N39" s="20"/>
      <c r="P39" s="20"/>
    </row>
    <row r="40">
      <c r="A40" s="9" t="s">
        <v>444</v>
      </c>
      <c r="B40" s="27">
        <v>109359.0</v>
      </c>
      <c r="C40" s="20">
        <f t="shared" si="31"/>
        <v>0.04081054143</v>
      </c>
      <c r="D40" s="27">
        <v>113822.0</v>
      </c>
      <c r="E40" s="20">
        <f t="shared" si="32"/>
        <v>-0.03437823971</v>
      </c>
      <c r="F40" s="27">
        <v>109909.0</v>
      </c>
      <c r="G40" s="20">
        <f t="shared" si="33"/>
        <v>0.0004731186709</v>
      </c>
      <c r="H40" s="27">
        <v>109961.0</v>
      </c>
      <c r="J40" s="70" t="s">
        <v>347</v>
      </c>
      <c r="L40" s="20"/>
      <c r="N40" s="20"/>
      <c r="P40" s="20"/>
    </row>
    <row r="41">
      <c r="B41" s="23"/>
      <c r="C41" s="20"/>
      <c r="D41" s="23"/>
      <c r="E41" s="20"/>
      <c r="F41" s="23"/>
      <c r="G41" s="20"/>
      <c r="H41" s="23"/>
      <c r="J41" s="9" t="s">
        <v>350</v>
      </c>
      <c r="K41" s="20">
        <f>IFERROR(B58/H58,"")-1</f>
        <v>0.02534335649</v>
      </c>
      <c r="L41" s="20">
        <f t="shared" ref="L41:L44" si="34">IFERROR(SUM((M41/K41)-1),0)</f>
        <v>0.4183716003</v>
      </c>
      <c r="M41" s="20">
        <f>IFERROR(D58/B58,"")-1</f>
        <v>0.0359462971</v>
      </c>
      <c r="N41" s="20">
        <f t="shared" ref="N41:N44" si="35">IFERROR(SUM((O41/M41)-1),0)</f>
        <v>-2.750334952</v>
      </c>
      <c r="O41" s="20">
        <f>IFERROR(F58/D58,"")-1</f>
        <v>-0.0629180602</v>
      </c>
      <c r="P41" s="20">
        <f t="shared" ref="P41:P44" si="36">IFERROR(SUM((Q41/O41)-1),0)</f>
        <v>-1.07394533</v>
      </c>
      <c r="Q41" s="20">
        <f>IFERROR(H58/F58,"")-1</f>
        <v>0.004652496734</v>
      </c>
    </row>
    <row r="42">
      <c r="A42" s="131" t="s">
        <v>353</v>
      </c>
      <c r="B42" s="202">
        <f>SUM(B43:B47)</f>
        <v>607163</v>
      </c>
      <c r="C42" s="20">
        <f t="shared" ref="C42:C47" si="37">IFERROR(SUM((D42/B42)-1),0)</f>
        <v>0.03732111476</v>
      </c>
      <c r="D42" s="202">
        <f>SUM(D43:D47)</f>
        <v>629823</v>
      </c>
      <c r="E42" s="20">
        <f t="shared" ref="E42:E47" si="38">IFERROR(SUM((F42/D42)-1),0)</f>
        <v>-0.1280788412</v>
      </c>
      <c r="F42" s="202">
        <f>SUM(F43:F47)</f>
        <v>549156</v>
      </c>
      <c r="G42" s="20">
        <f t="shared" ref="G42:G47" si="39">IFERROR(SUM((H42/F42)-1),0)</f>
        <v>0.0513460656</v>
      </c>
      <c r="H42" s="202">
        <f>SUM(H43:H47)</f>
        <v>577353</v>
      </c>
      <c r="J42" s="9" t="s">
        <v>351</v>
      </c>
      <c r="K42" s="20">
        <f>IFERROR(B63/(B54+B63),"")</f>
        <v>0.3096127971</v>
      </c>
      <c r="L42" s="20">
        <f t="shared" si="34"/>
        <v>-0.0242159008</v>
      </c>
      <c r="M42" s="20">
        <f>IFERROR(D63/(D54+D63),"")</f>
        <v>0.3021152443</v>
      </c>
      <c r="N42" s="20">
        <f t="shared" si="35"/>
        <v>0.07937715668</v>
      </c>
      <c r="O42" s="20">
        <f>IFERROR(F63/(F54+F63),"")</f>
        <v>0.3260962934</v>
      </c>
      <c r="P42" s="20">
        <f t="shared" si="36"/>
        <v>0.03377752048</v>
      </c>
      <c r="Q42" s="20">
        <f>IFERROR(H63/(H54+H63),"")</f>
        <v>0.3371110177</v>
      </c>
    </row>
    <row r="43">
      <c r="A43" s="9" t="s">
        <v>525</v>
      </c>
      <c r="B43" s="27">
        <v>2314.0</v>
      </c>
      <c r="C43" s="20">
        <f t="shared" si="37"/>
        <v>0.09377700951</v>
      </c>
      <c r="D43" s="27">
        <v>2531.0</v>
      </c>
      <c r="E43" s="20">
        <f t="shared" si="38"/>
        <v>-0.3713947056</v>
      </c>
      <c r="F43" s="27">
        <v>1591.0</v>
      </c>
      <c r="G43" s="20">
        <f t="shared" si="39"/>
        <v>0.127592709</v>
      </c>
      <c r="H43" s="27">
        <v>1794.0</v>
      </c>
      <c r="J43" s="9" t="s">
        <v>246</v>
      </c>
      <c r="K43" s="20">
        <f>IFERROR(ABS(B83)/(B58+B63),"")</f>
        <v>0.3457275271</v>
      </c>
      <c r="L43" s="20">
        <f t="shared" si="34"/>
        <v>0.008334347132</v>
      </c>
      <c r="M43" s="20">
        <f>IFERROR(ABS(D83)/(D58+D63),"")</f>
        <v>0.3486089403</v>
      </c>
      <c r="N43" s="20">
        <f t="shared" si="35"/>
        <v>0.05646878551</v>
      </c>
      <c r="O43" s="20">
        <f>IFERROR(ABS(F83)/(F58+F63),"")</f>
        <v>0.3682944638</v>
      </c>
      <c r="P43" s="20">
        <f t="shared" si="36"/>
        <v>-0.01102327948</v>
      </c>
      <c r="Q43" s="20">
        <f>IFERROR(ABS(H83)/(H58+H63),"")</f>
        <v>0.364234651</v>
      </c>
    </row>
    <row r="44">
      <c r="A44" s="9" t="s">
        <v>527</v>
      </c>
      <c r="B44" s="27">
        <v>371959.0</v>
      </c>
      <c r="C44" s="20">
        <f t="shared" si="37"/>
        <v>0.03281275624</v>
      </c>
      <c r="D44" s="27">
        <v>384164.0</v>
      </c>
      <c r="E44" s="20">
        <f t="shared" si="38"/>
        <v>-0.09399110796</v>
      </c>
      <c r="F44" s="27">
        <v>348056.0</v>
      </c>
      <c r="G44" s="20">
        <f t="shared" si="39"/>
        <v>0.03608902016</v>
      </c>
      <c r="H44" s="27">
        <v>360617.0</v>
      </c>
      <c r="J44" s="9" t="s">
        <v>356</v>
      </c>
      <c r="K44" s="20">
        <f>IFERROR(ABS(B83/H83)-1,0)</f>
        <v>-0.06551982913</v>
      </c>
      <c r="L44" s="20">
        <f t="shared" si="34"/>
        <v>-1.509128968</v>
      </c>
      <c r="M44" s="20">
        <f>IFERROR(ABS(D83/B83)-1,"")</f>
        <v>0.03335804299</v>
      </c>
      <c r="N44" s="20">
        <f t="shared" si="35"/>
        <v>-0.2437456826</v>
      </c>
      <c r="O44" s="20">
        <f>IFERROR(ABS(F83/D83)-1,"")</f>
        <v>0.02522716404</v>
      </c>
      <c r="P44" s="20">
        <f t="shared" si="36"/>
        <v>-0.6001348569</v>
      </c>
      <c r="Q44" s="20">
        <f>IFERROR(ABS(H83/F83)-1,"")</f>
        <v>0.01008746356</v>
      </c>
    </row>
    <row r="45">
      <c r="A45" s="9" t="s">
        <v>530</v>
      </c>
      <c r="B45" s="27">
        <v>16795.0</v>
      </c>
      <c r="C45" s="20">
        <f t="shared" si="37"/>
        <v>0.0007144983626</v>
      </c>
      <c r="D45" s="27">
        <v>16807.0</v>
      </c>
      <c r="E45" s="20">
        <f t="shared" si="38"/>
        <v>-0.04926518712</v>
      </c>
      <c r="F45" s="27">
        <v>15979.0</v>
      </c>
      <c r="G45" s="20">
        <f t="shared" si="39"/>
        <v>-0.008135678077</v>
      </c>
      <c r="H45" s="27">
        <v>15849.0</v>
      </c>
      <c r="J45" s="10" t="s">
        <v>360</v>
      </c>
    </row>
    <row r="46">
      <c r="A46" s="9" t="s">
        <v>532</v>
      </c>
      <c r="B46" s="27">
        <v>19259.0</v>
      </c>
      <c r="C46" s="20">
        <f t="shared" si="37"/>
        <v>0.1114284231</v>
      </c>
      <c r="D46" s="27">
        <v>21405.0</v>
      </c>
      <c r="E46" s="20">
        <f t="shared" si="38"/>
        <v>0.1167484233</v>
      </c>
      <c r="F46" s="27">
        <v>23904.0</v>
      </c>
      <c r="G46" s="20">
        <f t="shared" si="39"/>
        <v>0.001547858099</v>
      </c>
      <c r="H46" s="27">
        <v>23941.0</v>
      </c>
      <c r="J46" s="9" t="s">
        <v>303</v>
      </c>
      <c r="K46" s="124">
        <v>0.148</v>
      </c>
      <c r="L46" s="20">
        <f>IFERROR(SUM((M46/K46)-1),0)</f>
        <v>0.04054054054</v>
      </c>
      <c r="M46" s="124">
        <v>0.154</v>
      </c>
      <c r="N46" s="20">
        <f>IFERROR(SUM((O46/M46)-1),0)</f>
        <v>0.06493506494</v>
      </c>
      <c r="O46" s="124">
        <v>0.164</v>
      </c>
      <c r="P46" s="20">
        <f>IFERROR(SUM((Q46/O46)-1),0)</f>
        <v>-0.07317073171</v>
      </c>
      <c r="Q46" s="124">
        <v>0.152</v>
      </c>
    </row>
    <row r="47">
      <c r="A47" s="9" t="s">
        <v>534</v>
      </c>
      <c r="B47" s="27">
        <v>196836.0</v>
      </c>
      <c r="C47" s="20">
        <f t="shared" si="37"/>
        <v>0.04104940153</v>
      </c>
      <c r="D47" s="27">
        <v>204916.0</v>
      </c>
      <c r="E47" s="20">
        <f t="shared" si="38"/>
        <v>-0.2210173925</v>
      </c>
      <c r="F47" s="27">
        <v>159626.0</v>
      </c>
      <c r="G47" s="20">
        <f t="shared" si="39"/>
        <v>0.0972648566</v>
      </c>
      <c r="H47" s="27">
        <v>175152.0</v>
      </c>
      <c r="J47" s="22"/>
      <c r="K47" s="50"/>
    </row>
    <row r="48">
      <c r="Q48" s="22"/>
      <c r="R48" s="22"/>
      <c r="S48" s="22"/>
      <c r="T48" s="22"/>
      <c r="U48" s="22"/>
      <c r="V48" s="22"/>
    </row>
    <row r="49">
      <c r="A49" s="131" t="s">
        <v>60</v>
      </c>
      <c r="B49" s="202">
        <f>SUM(B28,B31,B35,B38,B42)</f>
        <v>2990324</v>
      </c>
      <c r="C49" s="20">
        <f>IFERROR(SUM((D49/B49)-1),0)</f>
        <v>0.00628393445</v>
      </c>
      <c r="D49" s="202">
        <f>SUM(D28,D31,D35,D38,D42)</f>
        <v>3009115</v>
      </c>
      <c r="E49" s="20">
        <f>IFERROR(SUM((F49/D49)-1),0)</f>
        <v>-0.07590869741</v>
      </c>
      <c r="F49" s="202">
        <f>SUM(F28,F31,F35,F38,F42)</f>
        <v>2780697</v>
      </c>
      <c r="G49" s="20">
        <f>IFERROR(SUM((H49/F49)-1),0)</f>
        <v>0.03954044615</v>
      </c>
      <c r="H49" s="202">
        <f>SUM(H28,H31,H35,H38,H42)</f>
        <v>2890647</v>
      </c>
      <c r="J49" s="22"/>
      <c r="K49" s="22"/>
      <c r="L49" s="22"/>
      <c r="M49" s="22"/>
      <c r="N49" s="22"/>
      <c r="Q49" s="21"/>
      <c r="R49" s="22"/>
      <c r="S49" s="22"/>
      <c r="T49" s="22"/>
      <c r="U49" s="22"/>
      <c r="V49" s="22"/>
    </row>
    <row r="50" ht="22.5" customHeight="1">
      <c r="A50" s="56"/>
      <c r="B50" s="57"/>
      <c r="C50" s="58"/>
      <c r="D50" s="57"/>
      <c r="E50" s="58"/>
      <c r="F50" s="57"/>
      <c r="G50" s="58"/>
      <c r="H50" s="57"/>
      <c r="J50" s="82" t="s">
        <v>104</v>
      </c>
      <c r="K50" s="82" t="s">
        <v>105</v>
      </c>
      <c r="L50" s="82" t="s">
        <v>11</v>
      </c>
      <c r="M50" s="82" t="s">
        <v>106</v>
      </c>
      <c r="N50" s="82" t="s">
        <v>107</v>
      </c>
      <c r="O50" s="84" t="s">
        <v>108</v>
      </c>
      <c r="Q50" s="107"/>
      <c r="R50" s="107"/>
      <c r="S50" s="107"/>
      <c r="T50" s="107"/>
      <c r="U50" s="107"/>
      <c r="V50" s="107"/>
    </row>
    <row r="51" ht="22.5" customHeight="1">
      <c r="A51" s="131" t="s">
        <v>92</v>
      </c>
      <c r="B51" s="132">
        <v>200098.0</v>
      </c>
      <c r="C51" s="20">
        <f>IFERROR(SUM((D51/B51)-1),0)</f>
        <v>0.0420493958</v>
      </c>
      <c r="D51" s="132">
        <v>208512.0</v>
      </c>
      <c r="E51" s="20">
        <f>IFERROR(SUM((F51/D51)-1),0)</f>
        <v>-0.00646485574</v>
      </c>
      <c r="F51" s="132">
        <v>207164.0</v>
      </c>
      <c r="G51" s="20">
        <f>IFERROR(SUM((H51/F51)-1),0)</f>
        <v>-0.0531849163</v>
      </c>
      <c r="H51" s="132">
        <v>196146.0</v>
      </c>
      <c r="J51" s="87" t="s">
        <v>112</v>
      </c>
      <c r="K51" s="88">
        <f>K2</f>
        <v>45.86</v>
      </c>
      <c r="L51" s="89">
        <v>1.0</v>
      </c>
      <c r="M51" s="90">
        <f>K56</f>
        <v>48880000000</v>
      </c>
      <c r="N51" s="91"/>
      <c r="O51" s="92">
        <v>6.0</v>
      </c>
      <c r="Q51" s="107"/>
      <c r="R51" s="107"/>
      <c r="S51" s="107"/>
      <c r="T51" s="107"/>
      <c r="U51" s="107"/>
      <c r="V51" s="107"/>
    </row>
    <row r="52" ht="22.5" customHeight="1">
      <c r="A52" s="80"/>
      <c r="B52" s="80"/>
      <c r="C52" s="80"/>
      <c r="D52" s="80"/>
      <c r="E52" s="80"/>
      <c r="F52" s="80"/>
      <c r="G52" s="80"/>
      <c r="H52" s="80"/>
      <c r="J52" s="97" t="s">
        <v>10</v>
      </c>
      <c r="K52" s="98">
        <f>L2</f>
        <v>11026900000</v>
      </c>
      <c r="L52" s="99">
        <v>2.0</v>
      </c>
      <c r="M52" s="100">
        <f t="shared" ref="M52:M57" si="40">M51*(1+O51/100)</f>
        <v>51812800000</v>
      </c>
      <c r="N52" s="100">
        <f>M52/(1+K57)^L51</f>
        <v>45093820714</v>
      </c>
      <c r="O52" s="92">
        <v>6.0</v>
      </c>
      <c r="Q52" s="107"/>
      <c r="R52" s="107"/>
      <c r="S52" s="107"/>
      <c r="T52" s="107"/>
      <c r="U52" s="107"/>
      <c r="V52" s="107"/>
    </row>
    <row r="53" ht="22.5" customHeight="1">
      <c r="A53" s="81" t="s">
        <v>345</v>
      </c>
      <c r="B53" s="22" t="s">
        <v>12</v>
      </c>
      <c r="C53" s="22" t="s">
        <v>13</v>
      </c>
      <c r="D53" s="22" t="s">
        <v>14</v>
      </c>
      <c r="E53" s="22" t="s">
        <v>15</v>
      </c>
      <c r="F53" s="22" t="s">
        <v>16</v>
      </c>
      <c r="G53" s="22" t="s">
        <v>17</v>
      </c>
      <c r="H53" s="22" t="s">
        <v>18</v>
      </c>
      <c r="J53" s="87" t="s">
        <v>116</v>
      </c>
      <c r="K53" s="88">
        <f>K51*K52</f>
        <v>505693634000</v>
      </c>
      <c r="L53" s="89">
        <v>3.0</v>
      </c>
      <c r="M53" s="100">
        <f t="shared" si="40"/>
        <v>54921568000</v>
      </c>
      <c r="N53" s="90">
        <f>M53/(1+K57)^L52</f>
        <v>41600913800</v>
      </c>
      <c r="O53" s="92">
        <v>6.0</v>
      </c>
      <c r="Q53" s="107"/>
      <c r="R53" s="107"/>
      <c r="S53" s="107"/>
      <c r="T53" s="107"/>
      <c r="U53" s="107"/>
      <c r="V53" s="107"/>
    </row>
    <row r="54" ht="22.5" customHeight="1">
      <c r="A54" s="231" t="s">
        <v>380</v>
      </c>
      <c r="B54" s="132">
        <f>SUM(B55,B56)</f>
        <v>32326</v>
      </c>
      <c r="C54" s="19">
        <f t="shared" ref="C54:C56" si="41">IFERROR(SUM((D54/B54)-1),0)</f>
        <v>0.0359462971</v>
      </c>
      <c r="D54" s="132">
        <f>SUM(D55,D56)</f>
        <v>33488</v>
      </c>
      <c r="E54" s="19">
        <f t="shared" ref="E54:E56" si="42">IFERROR(SUM((F54/D54)-1),0)</f>
        <v>-0.0629180602</v>
      </c>
      <c r="F54" s="132">
        <f>SUM(F55,F56)</f>
        <v>31381</v>
      </c>
      <c r="G54" s="19">
        <f t="shared" ref="G54:G56" si="43">IFERROR(SUM((H54/F54)-1),0)</f>
        <v>0.004652496734</v>
      </c>
      <c r="H54" s="132">
        <f>SUM(H55,H56)</f>
        <v>31527</v>
      </c>
      <c r="J54" s="97"/>
      <c r="K54" s="92"/>
      <c r="L54" s="99">
        <v>4.0</v>
      </c>
      <c r="M54" s="100">
        <f t="shared" si="40"/>
        <v>58216862080</v>
      </c>
      <c r="N54" s="100">
        <f>M54/(1+K57)^L53</f>
        <v>38378562775</v>
      </c>
      <c r="O54" s="92">
        <v>6.0</v>
      </c>
      <c r="Q54" s="107"/>
      <c r="R54" s="107"/>
      <c r="S54" s="107"/>
      <c r="T54" s="107"/>
      <c r="U54" s="107"/>
      <c r="V54" s="107"/>
    </row>
    <row r="55" ht="22.5" customHeight="1">
      <c r="A55" s="51" t="s">
        <v>546</v>
      </c>
      <c r="B55" s="27">
        <v>31506.0</v>
      </c>
      <c r="C55" s="19">
        <f t="shared" si="41"/>
        <v>0.03335872532</v>
      </c>
      <c r="D55" s="27">
        <v>32557.0</v>
      </c>
      <c r="E55" s="19">
        <f t="shared" si="42"/>
        <v>-0.06382651964</v>
      </c>
      <c r="F55" s="27">
        <v>30479.0</v>
      </c>
      <c r="G55" s="19">
        <f t="shared" si="43"/>
        <v>0.01479707339</v>
      </c>
      <c r="H55" s="27">
        <v>30930.0</v>
      </c>
      <c r="J55" s="87" t="s">
        <v>120</v>
      </c>
      <c r="K55" s="105">
        <v>0.04</v>
      </c>
      <c r="L55" s="89">
        <v>5.0</v>
      </c>
      <c r="M55" s="100">
        <f t="shared" si="40"/>
        <v>61709873805</v>
      </c>
      <c r="N55" s="90">
        <f>M55/(1+K57)^L54</f>
        <v>35405810741</v>
      </c>
      <c r="O55" s="92">
        <v>6.0</v>
      </c>
      <c r="Q55" s="107"/>
      <c r="R55" s="107"/>
      <c r="S55" s="107"/>
      <c r="T55" s="107"/>
      <c r="U55" s="107"/>
      <c r="V55" s="107"/>
    </row>
    <row r="56" ht="22.5" customHeight="1">
      <c r="A56" s="51" t="s">
        <v>549</v>
      </c>
      <c r="B56" s="27">
        <v>820.0</v>
      </c>
      <c r="C56" s="19">
        <f t="shared" si="41"/>
        <v>0.1353658537</v>
      </c>
      <c r="D56" s="27">
        <v>931.0</v>
      </c>
      <c r="E56" s="19">
        <f t="shared" si="42"/>
        <v>-0.03114930183</v>
      </c>
      <c r="F56" s="27">
        <v>902.0</v>
      </c>
      <c r="G56" s="19">
        <f t="shared" si="43"/>
        <v>-0.3381374723</v>
      </c>
      <c r="H56" s="27">
        <v>597.0</v>
      </c>
      <c r="J56" s="108" t="s">
        <v>129</v>
      </c>
      <c r="K56" s="98">
        <f>K24</f>
        <v>48880000000</v>
      </c>
      <c r="L56" s="99">
        <v>6.0</v>
      </c>
      <c r="M56" s="100">
        <f t="shared" si="40"/>
        <v>65412466233</v>
      </c>
      <c r="N56" s="100">
        <f>M56/(1+K57)^L55</f>
        <v>32663324095</v>
      </c>
      <c r="O56" s="92">
        <v>6.0</v>
      </c>
      <c r="Q56" s="107"/>
      <c r="R56" s="107"/>
      <c r="S56" s="107"/>
      <c r="T56" s="107"/>
      <c r="U56" s="107"/>
      <c r="V56" s="107"/>
    </row>
    <row r="57" ht="22.5" customHeight="1">
      <c r="A57" s="22"/>
      <c r="B57" s="232"/>
      <c r="C57" s="19"/>
      <c r="D57" s="232"/>
      <c r="E57" s="19"/>
      <c r="F57" s="232"/>
      <c r="G57" s="19"/>
      <c r="H57" s="232"/>
      <c r="J57" s="110" t="s">
        <v>125</v>
      </c>
      <c r="K57" s="105">
        <f>O6</f>
        <v>0.149</v>
      </c>
      <c r="L57" s="89">
        <v>7.0</v>
      </c>
      <c r="M57" s="100">
        <f t="shared" si="40"/>
        <v>69337214207</v>
      </c>
      <c r="N57" s="90">
        <f>M57/(1+K57)^L56</f>
        <v>30133266789</v>
      </c>
      <c r="O57" s="92"/>
      <c r="Q57" s="22"/>
      <c r="R57" s="22"/>
      <c r="S57" s="22"/>
      <c r="T57" s="22"/>
      <c r="U57" s="22"/>
      <c r="V57" s="22"/>
    </row>
    <row r="58" ht="22.5" customHeight="1">
      <c r="A58" s="233" t="s">
        <v>402</v>
      </c>
      <c r="B58" s="234">
        <f>B54</f>
        <v>32326</v>
      </c>
      <c r="C58" s="19">
        <f>IFERROR(SUM((D58/B58)-1),0)</f>
        <v>0.0359462971</v>
      </c>
      <c r="D58" s="234">
        <f>D54</f>
        <v>33488</v>
      </c>
      <c r="E58" s="19">
        <f>IFERROR(SUM((F58/D58)-1),0)</f>
        <v>-0.0629180602</v>
      </c>
      <c r="F58" s="234">
        <f>F54</f>
        <v>31381</v>
      </c>
      <c r="G58" s="19">
        <f>IFERROR(SUM((H58/F58)-1),0)</f>
        <v>0.004652496734</v>
      </c>
      <c r="H58" s="234">
        <f>H54</f>
        <v>31527</v>
      </c>
      <c r="J58" s="97" t="s">
        <v>128</v>
      </c>
      <c r="K58" s="98">
        <f>K59/K52</f>
        <v>42.94063084</v>
      </c>
      <c r="L58" s="99" t="s">
        <v>131</v>
      </c>
      <c r="M58" s="100">
        <f>IFERROR( M57 * (1 + K55) / (K57  -K55  ), 0 )
</f>
        <v>661566080508</v>
      </c>
      <c r="N58" s="100">
        <f>M58/(1+K57)^L57</f>
        <v>250226343297</v>
      </c>
      <c r="O58" s="92"/>
    </row>
    <row r="59" ht="22.5" customHeight="1">
      <c r="A59" s="79"/>
      <c r="B59" s="232" t="str">
        <f>B136</f>
        <v/>
      </c>
      <c r="C59" s="118"/>
      <c r="D59" s="232"/>
      <c r="E59" s="118"/>
      <c r="F59" s="232"/>
      <c r="G59" s="118"/>
      <c r="H59" s="232"/>
      <c r="J59" s="87" t="s">
        <v>136</v>
      </c>
      <c r="K59" s="88">
        <f>N59</f>
        <v>473502042211</v>
      </c>
      <c r="L59" s="116"/>
      <c r="M59" s="90"/>
      <c r="N59" s="90">
        <f>SUM(N51:N58)</f>
        <v>473502042211</v>
      </c>
      <c r="O59" s="92"/>
      <c r="Q59" s="107"/>
      <c r="R59" s="107"/>
    </row>
    <row r="60">
      <c r="A60" s="71" t="s">
        <v>405</v>
      </c>
      <c r="B60" s="257">
        <v>-9952.0</v>
      </c>
      <c r="C60" s="185">
        <f t="shared" ref="C60:C61" si="44">IFERROR(SUM((D60/B60)-1),0)</f>
        <v>0.01879019293</v>
      </c>
      <c r="D60" s="257">
        <v>-10139.0</v>
      </c>
      <c r="E60" s="185">
        <f t="shared" ref="E60:E61" si="45">IFERROR(SUM((F60/D60)-1),0)</f>
        <v>-0.09803728178</v>
      </c>
      <c r="F60" s="257">
        <v>-9145.0</v>
      </c>
      <c r="G60" s="185">
        <f t="shared" ref="G60:G61" si="46">IFERROR(SUM((H60/F60)-1),0)</f>
        <v>0.02755604155</v>
      </c>
      <c r="H60" s="257">
        <v>-9397.0</v>
      </c>
      <c r="Q60" s="107"/>
      <c r="R60" s="107"/>
    </row>
    <row r="61">
      <c r="A61" s="233" t="s">
        <v>407</v>
      </c>
      <c r="B61" s="234">
        <f>SUM(B58,B60)</f>
        <v>22374</v>
      </c>
      <c r="C61" s="19">
        <f t="shared" si="44"/>
        <v>0.04357736659</v>
      </c>
      <c r="D61" s="234">
        <f>SUM(D58,D60)</f>
        <v>23349</v>
      </c>
      <c r="E61" s="19">
        <f t="shared" si="45"/>
        <v>-0.04766799435</v>
      </c>
      <c r="F61" s="234">
        <f>SUM(F58,F60)</f>
        <v>22236</v>
      </c>
      <c r="G61" s="19">
        <f t="shared" si="46"/>
        <v>-0.004767044432</v>
      </c>
      <c r="H61" s="234">
        <f>SUM(H58,H60)</f>
        <v>22130</v>
      </c>
      <c r="Q61" s="107"/>
      <c r="R61" s="107"/>
    </row>
    <row r="62" ht="22.5" customHeight="1">
      <c r="A62" s="79"/>
      <c r="B62" s="232" t="str">
        <f>B139</f>
        <v/>
      </c>
      <c r="C62" s="118"/>
      <c r="D62" s="232"/>
      <c r="E62" s="118"/>
      <c r="F62" s="232"/>
      <c r="G62" s="118"/>
      <c r="H62" s="232"/>
      <c r="J62" s="84" t="s">
        <v>11</v>
      </c>
      <c r="K62" s="102" t="s">
        <v>110</v>
      </c>
      <c r="P62" s="27"/>
      <c r="Q62" s="107"/>
      <c r="R62" s="107"/>
    </row>
    <row r="63" ht="22.5" customHeight="1">
      <c r="A63" s="233" t="s">
        <v>299</v>
      </c>
      <c r="B63" s="234">
        <f>SUM(B64:B65)</f>
        <v>14497</v>
      </c>
      <c r="C63" s="258">
        <f t="shared" ref="C63:C65" si="47">IFERROR(SUM((D63/B63)-1),0)</f>
        <v>0</v>
      </c>
      <c r="D63" s="234">
        <f>SUM(D64:D65)</f>
        <v>14497</v>
      </c>
      <c r="E63" s="258">
        <f t="shared" ref="E63:E65" si="48">IFERROR(SUM((F63/D63)-1),0)</f>
        <v>0.04745809478</v>
      </c>
      <c r="F63" s="234">
        <f>SUM(F64:F65)</f>
        <v>15185</v>
      </c>
      <c r="G63" s="258">
        <f t="shared" ref="G63:G65" si="49">IFERROR(SUM((H63/F63)-1),0)</f>
        <v>0.05584458347</v>
      </c>
      <c r="H63" s="234">
        <f>SUM(H64:H65)</f>
        <v>16033</v>
      </c>
      <c r="J63" s="103">
        <v>0.0</v>
      </c>
      <c r="K63" s="104">
        <f>-K5</f>
        <v>-505693634000</v>
      </c>
      <c r="P63" s="124"/>
      <c r="Q63" s="107"/>
      <c r="R63" s="107"/>
    </row>
    <row r="64" ht="22.5" customHeight="1">
      <c r="A64" s="51" t="s">
        <v>561</v>
      </c>
      <c r="B64" s="27">
        <v>10993.0</v>
      </c>
      <c r="C64" s="19">
        <f t="shared" si="47"/>
        <v>0.003183844265</v>
      </c>
      <c r="D64" s="27">
        <v>11028.0</v>
      </c>
      <c r="E64" s="19">
        <f t="shared" si="48"/>
        <v>0.06592310482</v>
      </c>
      <c r="F64" s="27">
        <v>11755.0</v>
      </c>
      <c r="G64" s="19">
        <f t="shared" si="49"/>
        <v>0.06848149724</v>
      </c>
      <c r="H64" s="27">
        <v>12560.0</v>
      </c>
      <c r="J64" s="103">
        <v>1.0</v>
      </c>
      <c r="K64" s="106">
        <f t="shared" ref="K64:K68" si="50">M52</f>
        <v>51812800000</v>
      </c>
      <c r="P64" s="27"/>
      <c r="Q64" s="107"/>
      <c r="R64" s="107"/>
    </row>
    <row r="65" ht="22.5" customHeight="1">
      <c r="A65" s="9" t="s">
        <v>563</v>
      </c>
      <c r="B65" s="27">
        <v>3504.0</v>
      </c>
      <c r="C65" s="19">
        <f t="shared" si="47"/>
        <v>-0.009988584475</v>
      </c>
      <c r="D65" s="27">
        <v>3469.0</v>
      </c>
      <c r="E65" s="19">
        <f t="shared" si="48"/>
        <v>-0.01124243298</v>
      </c>
      <c r="F65" s="27">
        <v>3430.0</v>
      </c>
      <c r="G65" s="19">
        <f t="shared" si="49"/>
        <v>0.01253644315</v>
      </c>
      <c r="H65" s="27">
        <v>3473.0</v>
      </c>
      <c r="J65" s="103">
        <v>2.0</v>
      </c>
      <c r="K65" s="106">
        <f t="shared" si="50"/>
        <v>54921568000</v>
      </c>
      <c r="P65" s="29"/>
      <c r="Q65" s="29"/>
    </row>
    <row r="66" ht="22.5" customHeight="1">
      <c r="J66" s="103">
        <v>3.0</v>
      </c>
      <c r="K66" s="106">
        <f t="shared" si="50"/>
        <v>58216862080</v>
      </c>
    </row>
    <row r="67" ht="22.5" customHeight="1">
      <c r="A67" s="131" t="s">
        <v>565</v>
      </c>
      <c r="B67" s="132">
        <v>-470.0</v>
      </c>
      <c r="C67" s="19">
        <f>IFERROR(SUM((D67/B67)-1),0)</f>
        <v>-0.1319148936</v>
      </c>
      <c r="D67" s="132">
        <v>-408.0</v>
      </c>
      <c r="E67" s="19">
        <f>IFERROR(SUM((F67/D67)-1),0)</f>
        <v>0.1004901961</v>
      </c>
      <c r="F67" s="132">
        <v>-449.0</v>
      </c>
      <c r="G67" s="19">
        <f>IFERROR(SUM((H67/F67)-1),0)</f>
        <v>-0.03118040089</v>
      </c>
      <c r="H67" s="132">
        <v>-435.0</v>
      </c>
      <c r="J67" s="93">
        <v>4.0</v>
      </c>
      <c r="K67" s="106">
        <f t="shared" si="50"/>
        <v>61709873805</v>
      </c>
    </row>
    <row r="68" ht="22.5" customHeight="1">
      <c r="J68" s="93">
        <v>5.0</v>
      </c>
      <c r="K68" s="106">
        <f t="shared" si="50"/>
        <v>65412466233</v>
      </c>
    </row>
    <row r="69" ht="22.5" customHeight="1">
      <c r="A69" s="233" t="s">
        <v>413</v>
      </c>
      <c r="B69" s="260">
        <v>-18875.0</v>
      </c>
      <c r="C69" s="19">
        <f>IFERROR(SUM((D69/B69)-1),0)</f>
        <v>0.03894039735</v>
      </c>
      <c r="D69" s="260">
        <v>-19610.0</v>
      </c>
      <c r="E69" s="19">
        <f>IFERROR(SUM((F69/D69)-1),0)</f>
        <v>0.01264660887</v>
      </c>
      <c r="F69" s="260">
        <v>-19858.0</v>
      </c>
      <c r="G69" s="19">
        <f>IFERROR(SUM((H69/F69)-1),0)</f>
        <v>0.004532178467</v>
      </c>
      <c r="H69" s="260">
        <v>-19948.0</v>
      </c>
      <c r="J69" s="93">
        <v>6.0</v>
      </c>
      <c r="K69" s="106">
        <f>M57+M58</f>
        <v>730903294715</v>
      </c>
    </row>
    <row r="70" ht="22.5" customHeight="1">
      <c r="A70" s="22"/>
      <c r="B70" s="32"/>
      <c r="C70" s="19"/>
      <c r="E70" s="19"/>
      <c r="G70" s="19"/>
      <c r="J70" s="93" t="s">
        <v>132</v>
      </c>
      <c r="K70" s="119">
        <f>IFERROR(IRR(K63:K69),0)</f>
        <v>0.1514000711</v>
      </c>
    </row>
    <row r="71">
      <c r="A71" s="233" t="s">
        <v>421</v>
      </c>
      <c r="B71" s="132">
        <f>SUM(B61,B63,B67,B69)</f>
        <v>17526</v>
      </c>
      <c r="C71" s="19">
        <f t="shared" ref="C71:C74" si="51">IFERROR(SUM((D71/B71)-1),0)</f>
        <v>0.01723154171</v>
      </c>
      <c r="D71" s="132">
        <f>SUM(D61,D63,D67,D69)</f>
        <v>17828</v>
      </c>
      <c r="E71" s="19">
        <f t="shared" ref="E71:E74" si="52">IFERROR(SUM((F71/D71)-1),0)</f>
        <v>-0.04004936056</v>
      </c>
      <c r="F71" s="132">
        <f>SUM(F61,F63,F67,F69)</f>
        <v>17114</v>
      </c>
      <c r="G71" s="19">
        <f t="shared" ref="G71:G74" si="53">IFERROR(SUM((H71/F71)-1),0)</f>
        <v>0.03891550777</v>
      </c>
      <c r="H71" s="132">
        <f>SUM(H61,H63,H67,H69)</f>
        <v>17780</v>
      </c>
    </row>
    <row r="72">
      <c r="A72" s="22" t="s">
        <v>152</v>
      </c>
      <c r="B72" s="255">
        <v>-4939.0</v>
      </c>
      <c r="C72" s="19">
        <f t="shared" si="51"/>
        <v>0.02125936424</v>
      </c>
      <c r="D72" s="255">
        <v>-5044.0</v>
      </c>
      <c r="E72" s="19">
        <f t="shared" si="52"/>
        <v>-0.0206185567</v>
      </c>
      <c r="F72" s="255">
        <v>-4940.0</v>
      </c>
      <c r="G72" s="19">
        <f t="shared" si="53"/>
        <v>0.02145748988</v>
      </c>
      <c r="H72" s="255">
        <v>-5046.0</v>
      </c>
      <c r="Q72" s="20"/>
    </row>
    <row r="73">
      <c r="A73" s="22" t="s">
        <v>423</v>
      </c>
      <c r="B73" s="255">
        <v>-305.0</v>
      </c>
      <c r="C73" s="19">
        <f t="shared" si="51"/>
        <v>0.2360655738</v>
      </c>
      <c r="D73" s="255">
        <v>-377.0</v>
      </c>
      <c r="E73" s="19">
        <f t="shared" si="52"/>
        <v>-0.2042440318</v>
      </c>
      <c r="F73" s="255">
        <v>-300.0</v>
      </c>
      <c r="G73" s="19">
        <f t="shared" si="53"/>
        <v>0.39</v>
      </c>
      <c r="H73" s="255">
        <v>-417.0</v>
      </c>
      <c r="O73" s="29"/>
      <c r="Q73" s="20"/>
    </row>
    <row r="74">
      <c r="A74" s="233" t="s">
        <v>424</v>
      </c>
      <c r="B74" s="202">
        <f>SUM(B71:B73)</f>
        <v>12282</v>
      </c>
      <c r="C74" s="19">
        <f t="shared" si="51"/>
        <v>0.01017749552</v>
      </c>
      <c r="D74" s="202">
        <f>SUM(D71:D73)</f>
        <v>12407</v>
      </c>
      <c r="E74" s="19">
        <f t="shared" si="52"/>
        <v>-0.04295961957</v>
      </c>
      <c r="F74" s="202">
        <f>SUM(F71:F73)</f>
        <v>11874</v>
      </c>
      <c r="G74" s="19">
        <f t="shared" si="53"/>
        <v>0.03730840492</v>
      </c>
      <c r="H74" s="202">
        <f>SUM(H71:H73)</f>
        <v>12317</v>
      </c>
      <c r="P74" s="20"/>
      <c r="Q74" s="20"/>
    </row>
    <row r="75">
      <c r="A75" s="80"/>
      <c r="B75" s="80"/>
      <c r="C75" s="80"/>
      <c r="D75" s="80"/>
      <c r="E75" s="80"/>
      <c r="F75" s="80"/>
      <c r="G75" s="80"/>
      <c r="H75" s="80"/>
      <c r="Q75" s="20"/>
    </row>
    <row r="76">
      <c r="A76" s="9" t="s">
        <v>568</v>
      </c>
      <c r="Q76" s="20"/>
    </row>
    <row r="77">
      <c r="A77" s="9" t="s">
        <v>569</v>
      </c>
    </row>
    <row r="78">
      <c r="A78" s="9" t="s">
        <v>570</v>
      </c>
      <c r="B78" s="27">
        <v>-6482.0</v>
      </c>
      <c r="C78" s="19">
        <f t="shared" ref="C78:C83" si="54">IFERROR(SUM((D78/B78)-1),0)</f>
        <v>0.007559395248</v>
      </c>
      <c r="D78" s="27">
        <v>-6531.0</v>
      </c>
      <c r="E78" s="19">
        <f t="shared" ref="E78:E83" si="55">IFERROR(SUM((F78/D78)-1),0)</f>
        <v>-0.03062318175</v>
      </c>
      <c r="F78" s="27">
        <v>-6331.0</v>
      </c>
      <c r="G78" s="19">
        <f t="shared" ref="G78:G83" si="56">IFERROR(SUM((H78/F78)-1),0)</f>
        <v>0.01453166956</v>
      </c>
      <c r="H78" s="27">
        <v>-6423.0</v>
      </c>
      <c r="P78" s="27"/>
      <c r="Q78" s="20"/>
    </row>
    <row r="79">
      <c r="A79" s="9" t="s">
        <v>572</v>
      </c>
      <c r="B79" s="27">
        <v>-3917.0</v>
      </c>
      <c r="C79" s="19">
        <f t="shared" si="54"/>
        <v>0.05284656625</v>
      </c>
      <c r="D79" s="27">
        <v>-4124.0</v>
      </c>
      <c r="E79" s="19">
        <f t="shared" si="55"/>
        <v>0.08414161009</v>
      </c>
      <c r="F79" s="27">
        <v>-4471.0</v>
      </c>
      <c r="G79" s="19">
        <f t="shared" si="56"/>
        <v>0.01409080743</v>
      </c>
      <c r="H79" s="27">
        <v>-4534.0</v>
      </c>
      <c r="P79" s="29"/>
      <c r="Q79" s="217"/>
    </row>
    <row r="80">
      <c r="A80" s="9" t="s">
        <v>573</v>
      </c>
      <c r="B80" s="27">
        <v>-3087.0</v>
      </c>
      <c r="C80" s="19">
        <f t="shared" si="54"/>
        <v>0.007126660188</v>
      </c>
      <c r="D80" s="27">
        <v>-3109.0</v>
      </c>
      <c r="E80" s="19">
        <f t="shared" si="55"/>
        <v>0.0003216468318</v>
      </c>
      <c r="F80" s="27">
        <v>-3110.0</v>
      </c>
      <c r="G80" s="19">
        <f t="shared" si="56"/>
        <v>-0.02958199357</v>
      </c>
      <c r="H80" s="27">
        <v>-3018.0</v>
      </c>
      <c r="P80" s="20"/>
      <c r="Q80" s="20"/>
    </row>
    <row r="81">
      <c r="A81" s="9" t="s">
        <v>575</v>
      </c>
      <c r="B81" s="27">
        <v>-503.0</v>
      </c>
      <c r="C81" s="19">
        <f t="shared" si="54"/>
        <v>0.5944333996</v>
      </c>
      <c r="D81" s="27">
        <v>-802.0</v>
      </c>
      <c r="E81" s="19">
        <f t="shared" si="55"/>
        <v>0.2456359102</v>
      </c>
      <c r="F81" s="27">
        <v>-999.0</v>
      </c>
      <c r="G81" s="19">
        <f t="shared" si="56"/>
        <v>0.004004004004</v>
      </c>
      <c r="H81" s="27">
        <v>-1003.0</v>
      </c>
    </row>
    <row r="82">
      <c r="A82" s="9" t="s">
        <v>576</v>
      </c>
      <c r="B82" s="27">
        <v>-2199.0</v>
      </c>
      <c r="C82" s="19">
        <f t="shared" si="54"/>
        <v>-0.01682582992</v>
      </c>
      <c r="D82" s="27">
        <v>-2162.0</v>
      </c>
      <c r="E82" s="19">
        <f t="shared" si="55"/>
        <v>0.03561517114</v>
      </c>
      <c r="F82" s="27">
        <v>-2239.0</v>
      </c>
      <c r="G82" s="19">
        <f t="shared" si="56"/>
        <v>0.04734256364</v>
      </c>
      <c r="H82" s="27">
        <v>-2345.0</v>
      </c>
    </row>
    <row r="83">
      <c r="A83" s="9" t="s">
        <v>577</v>
      </c>
      <c r="B83" s="23">
        <f>SUM(B78:B82)</f>
        <v>-16188</v>
      </c>
      <c r="C83" s="19">
        <f t="shared" si="54"/>
        <v>0.03335804299</v>
      </c>
      <c r="D83" s="23">
        <f>SUM(D78:D82)</f>
        <v>-16728</v>
      </c>
      <c r="E83" s="19">
        <f t="shared" si="55"/>
        <v>0.02522716404</v>
      </c>
      <c r="F83" s="23">
        <f>SUM(F78:F82)</f>
        <v>-17150</v>
      </c>
      <c r="G83" s="19">
        <f t="shared" si="56"/>
        <v>0.01008746356</v>
      </c>
      <c r="H83" s="23">
        <f>SUM(H78:H82)</f>
        <v>-17323</v>
      </c>
    </row>
    <row r="84">
      <c r="A84" s="80"/>
      <c r="B84" s="80"/>
      <c r="C84" s="80"/>
      <c r="D84" s="80"/>
      <c r="E84" s="80"/>
      <c r="F84" s="80"/>
      <c r="G84" s="80"/>
      <c r="H84" s="80"/>
    </row>
    <row r="85">
      <c r="A85" s="9" t="s">
        <v>580</v>
      </c>
    </row>
    <row r="86">
      <c r="A86" s="9" t="s">
        <v>581</v>
      </c>
      <c r="B86" s="23">
        <f>B61+B63+B67+B69</f>
        <v>17526</v>
      </c>
      <c r="C86" s="19">
        <f t="shared" ref="C86:C87" si="57">IFERROR(SUM((D86/B86)-1),0)</f>
        <v>0.01723154171</v>
      </c>
      <c r="D86" s="23">
        <f>D61+D63+D67+D69</f>
        <v>17828</v>
      </c>
      <c r="E86" s="19">
        <f t="shared" ref="E86:E87" si="58">IFERROR(SUM((F86/D86)-1),0)</f>
        <v>-0.04004936056</v>
      </c>
      <c r="F86" s="23">
        <f>F61+F63+F67+F69</f>
        <v>17114</v>
      </c>
      <c r="G86" s="19">
        <f t="shared" ref="G86:G87" si="59">IFERROR(SUM((H86/F86)-1),0)</f>
        <v>0.03891550777</v>
      </c>
      <c r="H86" s="23">
        <f>H61+H63+H67+H69</f>
        <v>17780</v>
      </c>
    </row>
    <row r="87">
      <c r="A87" s="51" t="s">
        <v>584</v>
      </c>
      <c r="B87" s="232">
        <f>B58+B63</f>
        <v>46823</v>
      </c>
      <c r="C87" s="19">
        <f t="shared" si="57"/>
        <v>0.02481686351</v>
      </c>
      <c r="D87" s="232">
        <f>D58+D63</f>
        <v>47985</v>
      </c>
      <c r="E87" s="19">
        <f t="shared" si="58"/>
        <v>-0.02957174117</v>
      </c>
      <c r="F87" s="232">
        <f>F58+F63</f>
        <v>46566</v>
      </c>
      <c r="G87" s="19">
        <f t="shared" si="59"/>
        <v>0.02134604647</v>
      </c>
      <c r="H87" s="232">
        <f>H58+H63</f>
        <v>47560</v>
      </c>
    </row>
    <row r="88">
      <c r="A88" s="80"/>
      <c r="B88" s="80"/>
      <c r="C88" s="80"/>
      <c r="D88" s="80"/>
      <c r="E88" s="80"/>
      <c r="F88" s="80"/>
      <c r="G88" s="80"/>
      <c r="H88" s="80"/>
    </row>
    <row r="89">
      <c r="A89" s="9"/>
    </row>
    <row r="90">
      <c r="B90" s="27"/>
      <c r="D90" s="27"/>
      <c r="F90" s="27"/>
      <c r="H90" s="27"/>
    </row>
    <row r="91">
      <c r="A91" s="141" t="s">
        <v>27</v>
      </c>
      <c r="B91" s="57">
        <v>3668.0</v>
      </c>
      <c r="C91" s="262">
        <f>IFERROR(SUM((D91/B91)-1),0)</f>
        <v>0.03244274809</v>
      </c>
      <c r="D91" s="57">
        <v>3787.0</v>
      </c>
      <c r="E91" s="262">
        <f>IFERROR(SUM((F91/D91)-1),0)</f>
        <v>-0.7998415632</v>
      </c>
      <c r="F91" s="57">
        <v>758.0</v>
      </c>
      <c r="G91" s="262">
        <f>IFERROR(SUM((H91/F91)-1),0)</f>
        <v>30.09366755</v>
      </c>
      <c r="H91" s="57">
        <v>23569.0</v>
      </c>
      <c r="I91" s="20"/>
    </row>
    <row r="92">
      <c r="I92" s="20"/>
    </row>
    <row r="93">
      <c r="I93" s="20"/>
    </row>
    <row r="94">
      <c r="I94" s="20"/>
    </row>
    <row r="95">
      <c r="G95" s="19"/>
      <c r="H95" s="255"/>
      <c r="I95" s="20"/>
    </row>
    <row r="96">
      <c r="G96" s="118"/>
      <c r="H96" s="232"/>
      <c r="I96" s="20"/>
    </row>
    <row r="97">
      <c r="G97" s="19"/>
      <c r="H97" s="255"/>
      <c r="I97" s="20"/>
    </row>
    <row r="98">
      <c r="G98" s="118"/>
      <c r="H98" s="232"/>
      <c r="I98" s="20"/>
    </row>
    <row r="99">
      <c r="I99" s="20"/>
    </row>
    <row r="100">
      <c r="I100" s="20"/>
    </row>
    <row r="101">
      <c r="I101" s="20"/>
    </row>
    <row r="104">
      <c r="I104" s="20"/>
    </row>
    <row r="105">
      <c r="B105" s="9"/>
      <c r="C105" s="192"/>
      <c r="D105" s="51"/>
      <c r="I105" s="20"/>
    </row>
    <row r="106">
      <c r="A106" s="79"/>
      <c r="B106" s="50"/>
      <c r="C106" s="19"/>
      <c r="D106" s="28"/>
      <c r="I106" s="20"/>
    </row>
    <row r="107">
      <c r="A107" s="22"/>
      <c r="B107" s="29"/>
      <c r="C107" s="19"/>
      <c r="D107" s="53"/>
      <c r="I107" s="20"/>
    </row>
    <row r="108">
      <c r="A108" s="22"/>
      <c r="B108" s="50"/>
      <c r="C108" s="19"/>
      <c r="D108" s="28"/>
      <c r="I108" s="20"/>
    </row>
    <row r="109">
      <c r="A109" s="22"/>
      <c r="C109" s="19"/>
      <c r="D109" s="28"/>
      <c r="I109" s="20"/>
    </row>
    <row r="110">
      <c r="I110" s="20"/>
    </row>
    <row r="113">
      <c r="A113" s="67"/>
      <c r="I113" s="20"/>
      <c r="J113" s="20"/>
    </row>
    <row r="114">
      <c r="A114" s="9"/>
      <c r="B114" s="158"/>
      <c r="C114" s="20"/>
      <c r="D114" s="27"/>
      <c r="E114" s="20"/>
      <c r="F114" s="27"/>
      <c r="G114" s="20"/>
      <c r="H114" s="27"/>
      <c r="I114" s="20"/>
      <c r="J114" s="20"/>
    </row>
    <row r="115">
      <c r="A115" s="9"/>
      <c r="B115" s="27"/>
      <c r="C115" s="20"/>
      <c r="D115" s="27"/>
      <c r="E115" s="20"/>
      <c r="F115" s="27"/>
      <c r="G115" s="20"/>
      <c r="H115" s="27"/>
      <c r="I115" s="20"/>
      <c r="J115" s="20"/>
    </row>
    <row r="116">
      <c r="B116" s="27"/>
      <c r="C116" s="20"/>
      <c r="D116" s="27"/>
      <c r="E116" s="20"/>
      <c r="F116" s="27"/>
      <c r="G116" s="20"/>
      <c r="H116" s="27"/>
      <c r="I116" s="20"/>
      <c r="J116" s="20"/>
    </row>
    <row r="117">
      <c r="B117" s="27"/>
      <c r="C117" s="20"/>
      <c r="D117" s="27"/>
      <c r="E117" s="20"/>
      <c r="F117" s="27"/>
      <c r="G117" s="20"/>
      <c r="H117" s="27"/>
    </row>
    <row r="118">
      <c r="B118" s="27"/>
      <c r="C118" s="20"/>
      <c r="D118" s="27"/>
      <c r="E118" s="20"/>
      <c r="F118" s="27"/>
      <c r="G118" s="20"/>
      <c r="H118" s="27"/>
    </row>
    <row r="119">
      <c r="B119" s="23"/>
      <c r="C119" s="20"/>
      <c r="D119" s="27"/>
      <c r="E119" s="20"/>
      <c r="F119" s="23"/>
      <c r="G119" s="20"/>
      <c r="H119" s="23"/>
      <c r="I119" s="20"/>
      <c r="J119" s="23"/>
    </row>
    <row r="120">
      <c r="A120" s="9"/>
      <c r="B120" s="27"/>
      <c r="C120" s="20"/>
      <c r="D120" s="27"/>
      <c r="E120" s="20"/>
      <c r="F120" s="27"/>
      <c r="G120" s="20"/>
      <c r="H120" s="27"/>
      <c r="I120" s="20"/>
      <c r="J120" s="23"/>
    </row>
    <row r="121">
      <c r="B121" s="27"/>
      <c r="C121" s="20"/>
      <c r="D121" s="27"/>
      <c r="E121" s="20"/>
      <c r="F121" s="27"/>
      <c r="G121" s="20"/>
      <c r="H121" s="27"/>
    </row>
    <row r="122">
      <c r="B122" s="27"/>
      <c r="C122" s="20"/>
      <c r="D122" s="27"/>
      <c r="E122" s="20"/>
      <c r="F122" s="27"/>
      <c r="G122" s="20"/>
      <c r="H122" s="27"/>
    </row>
    <row r="123">
      <c r="B123" s="23"/>
      <c r="C123" s="20"/>
      <c r="D123" s="32"/>
      <c r="E123" s="20"/>
      <c r="F123" s="23"/>
      <c r="G123" s="20"/>
      <c r="H123" s="23"/>
      <c r="I123" s="20"/>
      <c r="J123" s="23"/>
    </row>
    <row r="124">
      <c r="A124" s="9"/>
      <c r="B124" s="158"/>
      <c r="C124" s="20"/>
      <c r="D124" s="158"/>
      <c r="E124" s="20"/>
      <c r="F124" s="27"/>
      <c r="G124" s="20"/>
      <c r="H124" s="27"/>
      <c r="I124" s="20"/>
      <c r="J124" s="23"/>
    </row>
    <row r="125">
      <c r="A125" s="9"/>
      <c r="B125" s="27"/>
      <c r="C125" s="20"/>
      <c r="D125" s="27"/>
      <c r="E125" s="20"/>
      <c r="F125" s="27"/>
      <c r="G125" s="20"/>
      <c r="H125" s="27"/>
      <c r="I125" s="20"/>
      <c r="J125" s="23"/>
    </row>
    <row r="126">
      <c r="B126" s="27"/>
      <c r="C126" s="20"/>
      <c r="D126" s="27"/>
      <c r="E126" s="20"/>
      <c r="F126" s="27"/>
      <c r="G126" s="20"/>
      <c r="H126" s="27"/>
      <c r="I126" s="20"/>
      <c r="J126" s="23"/>
    </row>
    <row r="127">
      <c r="B127" s="27"/>
      <c r="C127" s="20"/>
      <c r="D127" s="27"/>
      <c r="E127" s="20"/>
      <c r="F127" s="23"/>
      <c r="G127" s="20"/>
      <c r="H127" s="23"/>
    </row>
    <row r="128">
      <c r="A128" s="9"/>
      <c r="B128" s="27"/>
      <c r="C128" s="20"/>
      <c r="D128" s="27"/>
      <c r="E128" s="20"/>
      <c r="F128" s="27"/>
      <c r="G128" s="20"/>
      <c r="H128" s="27"/>
    </row>
    <row r="129">
      <c r="B129" s="27"/>
      <c r="C129" s="20"/>
      <c r="D129" s="27"/>
      <c r="E129" s="20"/>
      <c r="F129" s="27"/>
      <c r="G129" s="20"/>
      <c r="H129" s="27"/>
    </row>
    <row r="130">
      <c r="B130" s="27"/>
      <c r="C130" s="20"/>
      <c r="D130" s="158"/>
      <c r="E130" s="20"/>
      <c r="F130" s="27"/>
      <c r="G130" s="20"/>
      <c r="H130" s="27"/>
    </row>
    <row r="131">
      <c r="B131" s="23"/>
      <c r="C131" s="20"/>
      <c r="D131" s="23"/>
      <c r="E131" s="20"/>
      <c r="F131" s="23"/>
      <c r="G131" s="20"/>
      <c r="H131" s="23"/>
    </row>
    <row r="132">
      <c r="A132" s="9"/>
      <c r="B132" s="23"/>
      <c r="C132" s="20"/>
      <c r="D132" s="23"/>
      <c r="E132" s="20"/>
      <c r="F132" s="23"/>
      <c r="G132" s="20"/>
      <c r="H132" s="23"/>
    </row>
    <row r="133">
      <c r="B133" s="27"/>
      <c r="C133" s="20"/>
      <c r="D133" s="27"/>
      <c r="E133" s="20"/>
      <c r="F133" s="27"/>
      <c r="G133" s="20"/>
      <c r="H133" s="27"/>
    </row>
    <row r="134">
      <c r="B134" s="23"/>
      <c r="C134" s="20"/>
      <c r="D134" s="27"/>
      <c r="E134" s="20"/>
      <c r="F134" s="23"/>
      <c r="G134" s="20"/>
      <c r="H134" s="23"/>
    </row>
    <row r="135">
      <c r="A135" s="9"/>
      <c r="B135" s="158"/>
      <c r="C135" s="20"/>
      <c r="D135" s="158"/>
      <c r="E135" s="20"/>
      <c r="F135" s="158"/>
      <c r="G135" s="20"/>
      <c r="H135" s="158"/>
    </row>
    <row r="136">
      <c r="B136" s="23"/>
      <c r="C136" s="20"/>
      <c r="D136" s="27"/>
      <c r="E136" s="20"/>
      <c r="F136" s="23"/>
      <c r="G136" s="20"/>
      <c r="H136" s="23"/>
    </row>
    <row r="137">
      <c r="B137" s="27"/>
      <c r="C137" s="20"/>
      <c r="D137" s="158"/>
      <c r="E137" s="20"/>
      <c r="F137" s="27"/>
      <c r="G137" s="20"/>
      <c r="H137" s="27"/>
    </row>
    <row r="138">
      <c r="A138" s="9"/>
      <c r="B138" s="27"/>
      <c r="C138" s="20"/>
      <c r="D138" s="27"/>
      <c r="E138" s="20"/>
      <c r="F138" s="27"/>
      <c r="G138" s="20"/>
      <c r="H138" s="27"/>
    </row>
    <row r="139">
      <c r="B139" s="23"/>
      <c r="C139" s="20"/>
      <c r="E139" s="20"/>
      <c r="F139" s="23"/>
      <c r="G139" s="20"/>
      <c r="H139" s="23"/>
    </row>
    <row r="140">
      <c r="B140" s="27"/>
      <c r="C140" s="20"/>
      <c r="D140" s="32"/>
      <c r="E140" s="20"/>
      <c r="F140" s="27"/>
      <c r="G140" s="20"/>
      <c r="H140" s="27"/>
    </row>
    <row r="141">
      <c r="B141" s="158"/>
      <c r="C141" s="20"/>
      <c r="E141" s="20"/>
      <c r="F141" s="23"/>
      <c r="G141" s="20"/>
      <c r="H141" s="23"/>
    </row>
    <row r="142">
      <c r="A142" s="9"/>
      <c r="B142" s="146"/>
      <c r="C142" s="20"/>
      <c r="D142" s="146"/>
      <c r="E142" s="20"/>
      <c r="F142" s="146"/>
      <c r="G142" s="20"/>
      <c r="H142" s="146"/>
    </row>
    <row r="143">
      <c r="B143" s="27"/>
      <c r="C143" s="20"/>
      <c r="D143" s="32"/>
      <c r="E143" s="20"/>
      <c r="F143" s="27"/>
      <c r="G143" s="20"/>
      <c r="H143" s="27"/>
    </row>
    <row r="144">
      <c r="B144" s="27"/>
      <c r="C144" s="20"/>
      <c r="D144" s="32"/>
      <c r="E144" s="20"/>
      <c r="F144" s="27"/>
      <c r="G144" s="20"/>
      <c r="H144" s="27"/>
    </row>
    <row r="145">
      <c r="B145" s="27"/>
      <c r="C145" s="20"/>
      <c r="D145" s="32"/>
      <c r="E145" s="20"/>
      <c r="F145" s="27"/>
      <c r="G145" s="20"/>
      <c r="H145" s="27"/>
    </row>
    <row r="146">
      <c r="B146" s="20"/>
      <c r="C146" s="20"/>
      <c r="D146" s="23"/>
      <c r="E146" s="20"/>
      <c r="F146" s="23"/>
      <c r="G146" s="20"/>
      <c r="H146" s="23"/>
    </row>
    <row r="147">
      <c r="A147" s="9"/>
      <c r="B147" s="146"/>
      <c r="C147" s="20"/>
      <c r="D147" s="146"/>
      <c r="E147" s="20"/>
      <c r="F147" s="146"/>
      <c r="G147" s="20"/>
      <c r="H147" s="146"/>
    </row>
    <row r="148">
      <c r="B148" s="27"/>
      <c r="C148" s="20"/>
      <c r="D148" s="27"/>
      <c r="E148" s="20"/>
      <c r="F148" s="27"/>
      <c r="G148" s="20"/>
      <c r="H148" s="27"/>
    </row>
    <row r="149">
      <c r="B149" s="27"/>
      <c r="C149" s="20"/>
      <c r="D149" s="27"/>
      <c r="E149" s="20"/>
      <c r="F149" s="27"/>
      <c r="G149" s="20"/>
      <c r="H149" s="27"/>
    </row>
    <row r="150">
      <c r="C150" s="20"/>
      <c r="D150" s="27"/>
      <c r="E150" s="20"/>
      <c r="F150" s="27"/>
      <c r="G150" s="20"/>
      <c r="H150" s="27"/>
    </row>
    <row r="151">
      <c r="B151" s="158"/>
      <c r="C151" s="20"/>
      <c r="D151" s="32"/>
      <c r="E151" s="20"/>
      <c r="F151" s="27"/>
      <c r="G151" s="20"/>
      <c r="H151" s="27"/>
    </row>
    <row r="152">
      <c r="C152" s="20"/>
      <c r="D152" s="32"/>
      <c r="E152" s="20"/>
      <c r="F152" s="27"/>
      <c r="G152" s="20"/>
      <c r="H152" s="27"/>
    </row>
    <row r="153">
      <c r="A153" s="9"/>
      <c r="C153" s="20"/>
      <c r="E153" s="20"/>
      <c r="F153" s="23"/>
      <c r="G153" s="20"/>
      <c r="H153" s="23"/>
    </row>
    <row r="154">
      <c r="B154" s="27"/>
      <c r="C154" s="20"/>
      <c r="D154" s="27"/>
      <c r="E154" s="20"/>
      <c r="F154" s="27"/>
      <c r="G154" s="20"/>
      <c r="H154" s="27"/>
    </row>
    <row r="155">
      <c r="A155" s="9"/>
      <c r="B155" s="9"/>
      <c r="C155" s="20"/>
      <c r="D155" s="9"/>
      <c r="E155" s="20"/>
      <c r="F155" s="27"/>
      <c r="G155" s="20"/>
      <c r="H155" s="27"/>
    </row>
    <row r="156">
      <c r="B156" s="27"/>
      <c r="C156" s="20"/>
      <c r="D156" s="27"/>
      <c r="E156" s="20"/>
      <c r="F156" s="27"/>
      <c r="G156" s="20"/>
      <c r="H156" s="27"/>
    </row>
    <row r="157">
      <c r="B157" s="27"/>
      <c r="C157" s="20"/>
      <c r="D157" s="27"/>
      <c r="E157" s="20"/>
      <c r="F157" s="27"/>
      <c r="G157" s="20"/>
      <c r="H157" s="27"/>
    </row>
    <row r="158">
      <c r="B158" s="27"/>
      <c r="C158" s="20"/>
      <c r="D158" s="27"/>
      <c r="E158" s="20"/>
      <c r="F158" s="27"/>
      <c r="G158" s="20"/>
      <c r="H158" s="27"/>
    </row>
    <row r="159">
      <c r="A159" s="9"/>
      <c r="C159" s="20"/>
      <c r="E159" s="20"/>
      <c r="F159" s="23"/>
      <c r="G159" s="20"/>
      <c r="H159" s="23"/>
    </row>
    <row r="162">
      <c r="I162" s="20"/>
    </row>
    <row r="163">
      <c r="I163" s="20"/>
      <c r="J163" s="20"/>
    </row>
    <row r="164">
      <c r="I164" s="20"/>
      <c r="J164" s="20"/>
    </row>
    <row r="165">
      <c r="I165" s="20"/>
      <c r="J165" s="20"/>
    </row>
    <row r="166">
      <c r="I166" s="20"/>
      <c r="J166" s="27"/>
    </row>
    <row r="167">
      <c r="I167" s="20"/>
      <c r="J167" s="20"/>
    </row>
    <row r="168">
      <c r="I168" s="20"/>
      <c r="J168" s="23"/>
    </row>
    <row r="171">
      <c r="I171" s="20"/>
      <c r="J171" s="20"/>
    </row>
    <row r="172">
      <c r="I172" s="20"/>
      <c r="J172" s="20"/>
    </row>
    <row r="173">
      <c r="I173" s="20"/>
      <c r="J173" s="20"/>
    </row>
    <row r="174">
      <c r="I174" s="20"/>
      <c r="J174" s="20"/>
    </row>
    <row r="177">
      <c r="I177" s="20"/>
      <c r="J177" s="23"/>
    </row>
    <row r="178">
      <c r="I178" s="20"/>
      <c r="J178" s="23"/>
    </row>
    <row r="181">
      <c r="I181" s="20"/>
      <c r="J181" s="23"/>
    </row>
    <row r="182">
      <c r="I182" s="20"/>
      <c r="J182" s="23"/>
    </row>
    <row r="183">
      <c r="I183" s="20"/>
      <c r="J183" s="23"/>
    </row>
    <row r="184">
      <c r="I184" s="20"/>
      <c r="J184" s="23"/>
    </row>
    <row r="217">
      <c r="C217" s="20"/>
      <c r="D217" s="27"/>
    </row>
    <row r="218">
      <c r="C218" s="20"/>
      <c r="D218" s="27"/>
    </row>
    <row r="219">
      <c r="C219" s="20"/>
      <c r="D219" s="27"/>
    </row>
    <row r="220">
      <c r="C220" s="160"/>
      <c r="D220" s="158"/>
    </row>
    <row r="221">
      <c r="D221" s="23"/>
    </row>
    <row r="222">
      <c r="D222" s="23"/>
    </row>
    <row r="223">
      <c r="C223" s="20"/>
      <c r="D223" s="27"/>
    </row>
    <row r="224">
      <c r="C224" s="20"/>
      <c r="D224" s="27"/>
    </row>
    <row r="225">
      <c r="C225" s="20"/>
      <c r="D225" s="27"/>
    </row>
    <row r="226">
      <c r="C226" s="20"/>
      <c r="D226" s="27"/>
    </row>
    <row r="227">
      <c r="C227" s="160"/>
      <c r="D227" s="146"/>
    </row>
    <row r="228">
      <c r="D228" s="23"/>
    </row>
    <row r="229">
      <c r="C229" s="20"/>
    </row>
    <row r="230">
      <c r="C230" s="20"/>
      <c r="D230" s="32"/>
    </row>
    <row r="237">
      <c r="I237" s="20"/>
    </row>
    <row r="238">
      <c r="I238" s="20"/>
      <c r="J238" s="23"/>
    </row>
    <row r="239">
      <c r="I239" s="20"/>
      <c r="J239" s="23"/>
    </row>
    <row r="240">
      <c r="I240" s="20"/>
      <c r="J240" s="23"/>
    </row>
    <row r="241">
      <c r="I241" s="20"/>
      <c r="J241" s="23"/>
    </row>
    <row r="242">
      <c r="I242" s="20"/>
      <c r="J242" s="20"/>
    </row>
    <row r="243">
      <c r="I243" s="20"/>
      <c r="J243" s="20"/>
    </row>
    <row r="244">
      <c r="I244" s="20"/>
      <c r="J244" s="23"/>
    </row>
    <row r="245">
      <c r="I245" s="20"/>
      <c r="J245" s="23"/>
    </row>
    <row r="246">
      <c r="I246" s="20"/>
      <c r="J246" s="23"/>
    </row>
    <row r="247">
      <c r="I247" s="20"/>
      <c r="J247" s="20"/>
    </row>
    <row r="250">
      <c r="I250" s="20"/>
    </row>
    <row r="251">
      <c r="I251" s="20"/>
      <c r="J251" s="20"/>
    </row>
    <row r="252">
      <c r="I252" s="20"/>
      <c r="J252" s="20"/>
    </row>
    <row r="253">
      <c r="I253" s="20"/>
      <c r="J253" s="20"/>
    </row>
    <row r="254">
      <c r="I254" s="20"/>
      <c r="J254" s="27"/>
    </row>
    <row r="255">
      <c r="I255" s="20"/>
      <c r="J255" s="20"/>
    </row>
    <row r="256">
      <c r="I256" s="20"/>
      <c r="J256" s="23"/>
    </row>
    <row r="259">
      <c r="I259" s="20"/>
      <c r="J259" s="20"/>
    </row>
    <row r="260">
      <c r="I260" s="20"/>
      <c r="J260" s="20"/>
    </row>
    <row r="261">
      <c r="I261" s="20"/>
      <c r="J261" s="20"/>
    </row>
    <row r="262">
      <c r="I262" s="20"/>
      <c r="J262" s="20"/>
    </row>
    <row r="265">
      <c r="E265" s="20"/>
      <c r="F265" s="32"/>
      <c r="H265" s="23"/>
      <c r="I265" s="20"/>
      <c r="J265" s="23"/>
    </row>
    <row r="266">
      <c r="B266" s="32"/>
      <c r="C266" s="20"/>
      <c r="D266" s="32"/>
      <c r="E266" s="20"/>
      <c r="H266" s="23"/>
      <c r="I266" s="20"/>
      <c r="J266" s="23"/>
    </row>
    <row r="267">
      <c r="A267" s="9"/>
      <c r="B267" s="27"/>
      <c r="C267" s="20"/>
      <c r="D267" s="27"/>
      <c r="E267" s="20"/>
    </row>
    <row r="268">
      <c r="B268" s="32"/>
      <c r="C268" s="20"/>
      <c r="D268" s="32"/>
      <c r="E268" s="20"/>
      <c r="G268" s="9"/>
    </row>
    <row r="269">
      <c r="A269" s="9"/>
      <c r="B269" s="27"/>
      <c r="C269" s="20"/>
      <c r="D269" s="27"/>
      <c r="E269" s="20"/>
      <c r="H269" s="23"/>
      <c r="I269" s="20"/>
      <c r="J269" s="23"/>
    </row>
    <row r="270">
      <c r="A270" s="67"/>
      <c r="E270" s="20"/>
      <c r="H270" s="23"/>
      <c r="I270" s="20"/>
      <c r="J270" s="23"/>
    </row>
    <row r="271">
      <c r="B271" s="27"/>
      <c r="C271" s="20"/>
      <c r="D271" s="27"/>
      <c r="E271" s="20"/>
      <c r="F271" s="20"/>
      <c r="H271" s="23"/>
      <c r="I271" s="20"/>
      <c r="J271" s="23"/>
    </row>
    <row r="272">
      <c r="B272" s="27"/>
      <c r="C272" s="20"/>
      <c r="D272" s="27"/>
      <c r="H272" s="23"/>
      <c r="I272" s="20"/>
      <c r="J272" s="23"/>
    </row>
    <row r="273">
      <c r="B273" s="20"/>
      <c r="C273" s="20"/>
      <c r="D273" s="20"/>
      <c r="E273" s="20"/>
      <c r="F273" s="32"/>
    </row>
    <row r="274">
      <c r="B274" s="27"/>
      <c r="C274" s="20"/>
      <c r="D274" s="27"/>
      <c r="E274" s="20"/>
      <c r="F274" s="27"/>
    </row>
    <row r="275">
      <c r="B275" s="27"/>
      <c r="C275" s="20"/>
      <c r="D275" s="27"/>
      <c r="E275" s="20"/>
      <c r="F275" s="32"/>
    </row>
    <row r="276">
      <c r="B276" s="23"/>
      <c r="C276" s="20"/>
      <c r="D276" s="23"/>
      <c r="E276" s="20"/>
      <c r="F276" s="27"/>
    </row>
    <row r="277">
      <c r="E277" s="20"/>
      <c r="F277" s="32"/>
    </row>
    <row r="278">
      <c r="B278" s="27"/>
      <c r="D278" s="27"/>
      <c r="E278" s="20"/>
      <c r="F278" s="32"/>
    </row>
    <row r="279">
      <c r="A279" s="9"/>
      <c r="C279" s="20"/>
      <c r="E279" s="20"/>
    </row>
    <row r="280">
      <c r="E280" s="20"/>
    </row>
    <row r="281">
      <c r="B281" s="27"/>
      <c r="C281" s="20"/>
      <c r="D281" s="27"/>
      <c r="E281" s="20"/>
    </row>
    <row r="282">
      <c r="B282" s="27"/>
      <c r="C282" s="20"/>
      <c r="D282" s="27"/>
      <c r="E282" s="20"/>
      <c r="F282" s="32"/>
    </row>
    <row r="283">
      <c r="B283" s="27"/>
      <c r="C283" s="20"/>
      <c r="D283" s="27"/>
      <c r="E283" s="20"/>
    </row>
    <row r="285">
      <c r="A285" s="9"/>
      <c r="C285" s="20"/>
    </row>
    <row r="286">
      <c r="C286" s="20"/>
      <c r="E286" s="20"/>
      <c r="F286" s="20"/>
    </row>
    <row r="287">
      <c r="B287" s="27"/>
      <c r="C287" s="20"/>
      <c r="D287" s="27"/>
      <c r="E287" s="20"/>
      <c r="F287" s="20"/>
    </row>
    <row r="288">
      <c r="A288" s="9"/>
      <c r="C288" s="20"/>
      <c r="E288" s="20"/>
      <c r="F288" s="20"/>
    </row>
    <row r="290">
      <c r="A290" s="9"/>
    </row>
    <row r="291">
      <c r="A291" s="67"/>
    </row>
    <row r="292">
      <c r="B292" s="27"/>
      <c r="C292" s="20"/>
      <c r="D292" s="27"/>
    </row>
    <row r="293">
      <c r="A293" s="150"/>
      <c r="B293" s="27"/>
      <c r="C293" s="20"/>
      <c r="D293" s="27"/>
    </row>
    <row r="294">
      <c r="B294" s="27"/>
      <c r="C294" s="20"/>
      <c r="D294" s="27"/>
    </row>
    <row r="295">
      <c r="B295" s="27"/>
      <c r="C295" s="20"/>
      <c r="D295" s="27"/>
    </row>
    <row r="296">
      <c r="A296" s="9"/>
      <c r="B296" s="27"/>
      <c r="C296" s="20"/>
      <c r="D296" s="27"/>
    </row>
    <row r="297">
      <c r="B297" s="27"/>
      <c r="C297" s="20"/>
      <c r="D297" s="27"/>
    </row>
    <row r="298">
      <c r="B298" s="27"/>
      <c r="C298" s="20"/>
      <c r="D298" s="27"/>
    </row>
    <row r="299">
      <c r="B299" s="27"/>
      <c r="C299" s="20"/>
      <c r="D299" s="27"/>
    </row>
    <row r="300">
      <c r="B300" s="27"/>
      <c r="C300" s="20"/>
      <c r="D300" s="27"/>
    </row>
    <row r="301">
      <c r="C301" s="20"/>
      <c r="D301" s="32"/>
    </row>
    <row r="302">
      <c r="A302" s="67"/>
      <c r="B302" s="158"/>
      <c r="C302" s="160"/>
      <c r="D302" s="158"/>
    </row>
    <row r="303">
      <c r="B303" s="23"/>
      <c r="D303" s="23"/>
    </row>
    <row r="304">
      <c r="B304" s="27"/>
      <c r="C304" s="20"/>
      <c r="D304" s="27"/>
    </row>
    <row r="305">
      <c r="B305" s="27"/>
      <c r="C305" s="20"/>
      <c r="D305" s="27"/>
    </row>
    <row r="306">
      <c r="B306" s="27"/>
      <c r="C306" s="20"/>
      <c r="D306" s="27"/>
    </row>
    <row r="307">
      <c r="B307" s="27"/>
      <c r="C307" s="20"/>
      <c r="D307" s="27"/>
    </row>
    <row r="308">
      <c r="A308" s="67"/>
      <c r="B308" s="158"/>
      <c r="C308" s="160"/>
      <c r="D308" s="158"/>
    </row>
    <row r="309">
      <c r="B309" s="23"/>
      <c r="D309" s="23"/>
    </row>
    <row r="310">
      <c r="B310" s="27"/>
      <c r="D310" s="23"/>
    </row>
    <row r="311">
      <c r="B311" s="27"/>
      <c r="C311" s="20"/>
      <c r="D311" s="27"/>
    </row>
    <row r="312">
      <c r="B312" s="27"/>
      <c r="C312" s="20"/>
      <c r="D312" s="27"/>
    </row>
    <row r="313">
      <c r="B313" s="27"/>
      <c r="C313" s="20"/>
      <c r="D313" s="27"/>
    </row>
    <row r="314">
      <c r="B314" s="27"/>
      <c r="C314" s="20"/>
      <c r="D314" s="27"/>
    </row>
    <row r="315">
      <c r="A315" s="67"/>
      <c r="B315" s="146"/>
      <c r="C315" s="160"/>
      <c r="D315" s="146"/>
    </row>
    <row r="316">
      <c r="B316" s="23"/>
      <c r="D316" s="23"/>
    </row>
    <row r="317">
      <c r="A317" s="9"/>
      <c r="C317" s="20"/>
    </row>
    <row r="318">
      <c r="B318" s="32"/>
      <c r="C318" s="20"/>
      <c r="D318" s="32"/>
    </row>
    <row r="319">
      <c r="B319" s="9"/>
      <c r="C319" s="20"/>
      <c r="D319" s="9"/>
    </row>
  </sheetData>
  <dataValidations>
    <dataValidation type="list" allowBlank="1" showErrorMessage="1" sqref="B1 D1 F1 H1">
      <formula1>"Feito,Não,Atual"</formula1>
    </dataValidation>
    <dataValidation type="custom" allowBlank="1" showDropDown="1" sqref="K51:K59 M51:N59">
      <formula1>AND(ISNUMBER(K51),(NOT(OR(NOT(ISERROR(DATEVALUE(K51))), AND(ISNUMBER(K51), LEFT(CELL("format", K51))="D")))))</formula1>
    </dataValidation>
  </dataValidations>
  <drawing r:id="rId2"/>
  <legacyDrawing r:id="rId3"/>
  <tableParts count="2">
    <tablePart r:id="rId6"/>
    <tablePart r:id="rId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13"/>
    <col customWidth="1" min="2" max="2" width="19.63"/>
    <col customWidth="1" min="3" max="3" width="9.88"/>
    <col customWidth="1" min="4" max="5" width="19.38"/>
    <col customWidth="1" min="6" max="6" width="16.0"/>
    <col customWidth="1" min="7" max="7" width="12.5"/>
    <col customWidth="1" min="8" max="8" width="15.63"/>
    <col customWidth="1" min="9" max="9" width="9.13"/>
    <col customWidth="1" min="10" max="10" width="45.0"/>
    <col customWidth="1" min="11" max="11" width="20.75"/>
    <col customWidth="1" min="12" max="12" width="20.25"/>
    <col customWidth="1" min="13" max="13" width="36.0"/>
    <col customWidth="1" min="14" max="14" width="24.75"/>
    <col customWidth="1" min="15" max="15" width="19.38"/>
    <col customWidth="1" min="16" max="16" width="24.63"/>
    <col customWidth="1" min="17" max="17" width="22.25"/>
    <col customWidth="1" min="18" max="18" width="25.88"/>
    <col customWidth="1" min="20" max="20" width="18.63"/>
  </cols>
  <sheetData>
    <row r="1">
      <c r="A1" s="1"/>
      <c r="B1" s="2" t="s">
        <v>1</v>
      </c>
      <c r="C1" s="3">
        <v>46058.0</v>
      </c>
      <c r="D1" s="2" t="s">
        <v>2</v>
      </c>
      <c r="E1" s="4">
        <v>46237.0</v>
      </c>
      <c r="F1" s="2" t="s">
        <v>3</v>
      </c>
      <c r="G1" s="3">
        <v>46058.0</v>
      </c>
      <c r="H1" s="2" t="s">
        <v>3</v>
      </c>
      <c r="I1" s="3">
        <v>46058.0</v>
      </c>
      <c r="J1" s="5" t="s">
        <v>4</v>
      </c>
      <c r="K1" s="181">
        <f t="array" ref="K1">IFERROR(INDEX('Indicadores_Ações'!$A$10:$L$23, MATCH($J$2, 'Indicadores_Ações'!$A$10:$A$23, 0), MATCH('Indicadores_Ações'!$B$9, 'Indicadores_Ações'!$A$9:$L$9, 0)),"")</f>
        <v>46203</v>
      </c>
      <c r="L1" s="79"/>
      <c r="M1" s="79"/>
    </row>
    <row r="2">
      <c r="A2" s="10" t="s">
        <v>235</v>
      </c>
      <c r="B2" s="9"/>
      <c r="C2" s="9" t="s">
        <v>236</v>
      </c>
      <c r="D2" s="9"/>
      <c r="J2" s="11" t="s">
        <v>431</v>
      </c>
      <c r="K2" s="170">
        <f>IFERROR(__xludf.DUMMYFUNCTION("(GOOGLEFINANCE(""BVMF:"" &amp; J2))"),40.85)</f>
        <v>40.85</v>
      </c>
      <c r="L2" s="13">
        <f t="array" ref="L2">IFERROR(INDEX(Indicador_Ações[], MATCH($J$2, Indicador_Ações[Stock], 0), MATCH(Indicador_Ações[[#HEADERS],[qtd_acao]], Indicador_Ações[#HEADERS], 0)),"")</f>
        <v>1941400000</v>
      </c>
      <c r="M2" s="15" t="s">
        <v>10</v>
      </c>
    </row>
    <row r="3">
      <c r="A3" s="9" t="s">
        <v>11</v>
      </c>
      <c r="B3" s="9" t="s">
        <v>12</v>
      </c>
      <c r="C3" s="9" t="s">
        <v>13</v>
      </c>
      <c r="D3" s="9" t="s">
        <v>14</v>
      </c>
      <c r="E3" s="9" t="s">
        <v>15</v>
      </c>
      <c r="F3" s="9" t="s">
        <v>16</v>
      </c>
      <c r="G3" s="9" t="s">
        <v>17</v>
      </c>
      <c r="H3" s="9" t="s">
        <v>18</v>
      </c>
      <c r="J3" s="17" t="s">
        <v>19</v>
      </c>
      <c r="K3" s="10">
        <v>1000.0</v>
      </c>
      <c r="L3" s="20">
        <f>K23/K17</f>
        <v>0.1059396217</v>
      </c>
      <c r="M3" s="9" t="s">
        <v>432</v>
      </c>
      <c r="N3" s="21" t="s">
        <v>91</v>
      </c>
      <c r="O3" s="28">
        <f>'Indicadores_Ações'!$B$3</f>
        <v>0.139</v>
      </c>
    </row>
    <row r="4">
      <c r="A4" s="131" t="s">
        <v>240</v>
      </c>
      <c r="B4" s="132">
        <f>SUM(B5)</f>
        <v>6072474</v>
      </c>
      <c r="C4" s="20">
        <f t="shared" ref="C4:C5" si="1">IFERROR(SUM((D4/B4)-1),0)</f>
        <v>0.01351722543</v>
      </c>
      <c r="D4" s="132">
        <f>SUM(D5)</f>
        <v>6154557</v>
      </c>
      <c r="E4" s="20">
        <f t="shared" ref="E4:E5" si="2">IFERROR(SUM((F4/D4)-1),0)</f>
        <v>-0.007680650289</v>
      </c>
      <c r="F4" s="132">
        <f>SUM(F5)</f>
        <v>6107286</v>
      </c>
      <c r="G4" s="20">
        <f t="shared" ref="G4:G5" si="3">IFERROR(SUM((H4/F4)-1),0)</f>
        <v>0.4499245655</v>
      </c>
      <c r="H4" s="132">
        <f>SUM(H5)</f>
        <v>8855104</v>
      </c>
      <c r="J4" s="179" t="s">
        <v>25</v>
      </c>
      <c r="K4" s="26">
        <f t="array" ref="K4">IFERROR(INDEX(Indicador_Ações[], MATCH($J$2, Indicador_Ações[Stock], 0), MATCH(Indicador_Ações[[#HEADERS],[ativo]], Indicador_Ações[#HEADERS], 0)),"")</f>
        <v>21923700000</v>
      </c>
      <c r="L4" s="20">
        <f>K17/K4</f>
        <v>0.4631039925</v>
      </c>
      <c r="M4" s="51" t="s">
        <v>433</v>
      </c>
      <c r="N4" s="118" t="s">
        <v>95</v>
      </c>
      <c r="O4" s="145">
        <f>K28</f>
        <v>0.49</v>
      </c>
    </row>
    <row r="5">
      <c r="A5" s="9" t="s">
        <v>434</v>
      </c>
      <c r="B5" s="27">
        <v>6072474.0</v>
      </c>
      <c r="C5" s="20">
        <f t="shared" si="1"/>
        <v>0.01351722543</v>
      </c>
      <c r="D5" s="27">
        <v>6154557.0</v>
      </c>
      <c r="E5" s="20">
        <f t="shared" si="2"/>
        <v>-0.007680650289</v>
      </c>
      <c r="F5" s="27">
        <v>6107286.0</v>
      </c>
      <c r="G5" s="20">
        <f t="shared" si="3"/>
        <v>0.4499245655</v>
      </c>
      <c r="H5" s="27">
        <v>8855104.0</v>
      </c>
      <c r="J5" s="51" t="s">
        <v>243</v>
      </c>
      <c r="K5" s="29">
        <f>K2*L2</f>
        <v>79306190000</v>
      </c>
      <c r="L5" s="20">
        <f>K27/K17</f>
        <v>0.9050884014</v>
      </c>
      <c r="M5" s="22" t="s">
        <v>20</v>
      </c>
      <c r="N5" s="118" t="s">
        <v>98</v>
      </c>
      <c r="O5" s="28">
        <f>O3+0.01</f>
        <v>0.149</v>
      </c>
    </row>
    <row r="6">
      <c r="B6" s="27"/>
      <c r="C6" s="20"/>
      <c r="D6" s="27"/>
      <c r="E6" s="20"/>
      <c r="F6" s="27"/>
      <c r="G6" s="20"/>
      <c r="H6" s="27"/>
      <c r="J6" s="25" t="s">
        <v>43</v>
      </c>
      <c r="K6" s="45">
        <f t="array" ref="K6">IFERROR(INDEX(Indicador_Ações[], MATCH($J$2, Indicador_Ações[Stock], 0), MATCH(Indicador_Ações[[#HEADERS],[patrimonio_liquido]], Indicador_Ações[#HEADERS], 0)),"")</f>
        <v>10890300000</v>
      </c>
      <c r="L6" s="20">
        <f>K21/K17</f>
        <v>0.9717141407</v>
      </c>
      <c r="M6" s="22" t="s">
        <v>244</v>
      </c>
      <c r="N6" s="10" t="s">
        <v>101</v>
      </c>
      <c r="O6" s="78">
        <f>O3+O4*(O5-O3)</f>
        <v>0.1439</v>
      </c>
    </row>
    <row r="7">
      <c r="A7" s="131" t="s">
        <v>254</v>
      </c>
      <c r="B7" s="132">
        <f>SUM(B8:B10)</f>
        <v>1414517</v>
      </c>
      <c r="C7" s="20">
        <f t="shared" ref="C7:C10" si="4">IFERROR(SUM((D7/B7)-1),0)</f>
        <v>1.471487441</v>
      </c>
      <c r="D7" s="132">
        <f>SUM(D8:D10)</f>
        <v>3495961</v>
      </c>
      <c r="E7" s="20">
        <f t="shared" ref="E7:E10" si="5">IFERROR(SUM((F7/D7)-1),0)</f>
        <v>-0.4363627054</v>
      </c>
      <c r="F7" s="132">
        <f>SUM(F8:F10)</f>
        <v>1970454</v>
      </c>
      <c r="G7" s="20">
        <f t="shared" ref="G7:G10" si="6">IFERROR(SUM((H7/F7)-1),0)</f>
        <v>0.03579581152</v>
      </c>
      <c r="H7" s="132">
        <f>SUM(H8:H10)</f>
        <v>2040988</v>
      </c>
      <c r="J7" s="245" t="s">
        <v>435</v>
      </c>
      <c r="L7" s="20">
        <f>ABS(K19/K17)</f>
        <v>0.0282858593</v>
      </c>
      <c r="M7" s="22" t="s">
        <v>246</v>
      </c>
      <c r="N7" s="9" t="s">
        <v>250</v>
      </c>
      <c r="T7" s="22"/>
    </row>
    <row r="8">
      <c r="A8" s="9" t="s">
        <v>437</v>
      </c>
      <c r="B8" s="27">
        <v>305860.0</v>
      </c>
      <c r="C8" s="20">
        <f t="shared" si="4"/>
        <v>0.03340417184</v>
      </c>
      <c r="D8" s="27">
        <v>316077.0</v>
      </c>
      <c r="E8" s="20">
        <f t="shared" si="5"/>
        <v>2.632883759</v>
      </c>
      <c r="F8" s="27">
        <v>1148271.0</v>
      </c>
      <c r="G8" s="20">
        <f t="shared" si="6"/>
        <v>0.03612387668</v>
      </c>
      <c r="H8" s="27">
        <v>1189751.0</v>
      </c>
      <c r="J8" s="191" t="s">
        <v>438</v>
      </c>
      <c r="K8" s="196">
        <f>SUM(B31,D31,F31,H31)/4*K3</f>
        <v>6243263500</v>
      </c>
      <c r="L8" s="28">
        <f>K27/L2</f>
        <v>4.733347069</v>
      </c>
      <c r="M8" s="9" t="s">
        <v>41</v>
      </c>
      <c r="N8" s="9" t="s">
        <v>253</v>
      </c>
      <c r="O8" s="124">
        <v>0.03</v>
      </c>
      <c r="Q8" s="9"/>
    </row>
    <row r="9">
      <c r="A9" s="9" t="s">
        <v>439</v>
      </c>
      <c r="B9" s="27">
        <v>28139.0</v>
      </c>
      <c r="C9" s="20">
        <f t="shared" si="4"/>
        <v>0.03923380362</v>
      </c>
      <c r="D9" s="27">
        <v>29243.0</v>
      </c>
      <c r="E9" s="20">
        <f t="shared" si="5"/>
        <v>-0.0315289129</v>
      </c>
      <c r="F9" s="27">
        <v>28321.0</v>
      </c>
      <c r="G9" s="20">
        <f t="shared" si="6"/>
        <v>0.01472405635</v>
      </c>
      <c r="H9" s="27">
        <v>28738.0</v>
      </c>
      <c r="J9" s="246" t="s">
        <v>440</v>
      </c>
      <c r="L9" s="23">
        <f>K21/L2</f>
        <v>5.081780159</v>
      </c>
      <c r="M9" s="9" t="s">
        <v>252</v>
      </c>
      <c r="N9" s="9" t="s">
        <v>258</v>
      </c>
      <c r="O9" s="29">
        <f>K6*(1+O8)</f>
        <v>11217009000</v>
      </c>
      <c r="P9" s="79"/>
      <c r="Q9" s="29"/>
    </row>
    <row r="10">
      <c r="A10" s="9" t="s">
        <v>442</v>
      </c>
      <c r="B10" s="27">
        <v>1080518.0</v>
      </c>
      <c r="C10" s="20">
        <f t="shared" si="4"/>
        <v>1.915861652</v>
      </c>
      <c r="D10" s="27">
        <v>3150641.0</v>
      </c>
      <c r="E10" s="20">
        <f t="shared" si="5"/>
        <v>-0.748031591</v>
      </c>
      <c r="F10" s="27">
        <v>793862.0</v>
      </c>
      <c r="G10" s="20">
        <f t="shared" si="6"/>
        <v>0.03607302025</v>
      </c>
      <c r="H10" s="27">
        <v>822499.0</v>
      </c>
      <c r="J10" s="51" t="s">
        <v>443</v>
      </c>
      <c r="K10" s="50">
        <f>SUM(B23,D23,F23,H23)/4*K3</f>
        <v>8881739250</v>
      </c>
      <c r="L10" s="142">
        <f t="array" ref="L10">IFERROR(INDEX(L25*K3,0)/L2,"")</f>
        <v>1.9831297</v>
      </c>
      <c r="M10" s="9" t="s">
        <v>46</v>
      </c>
      <c r="N10" s="9" t="s">
        <v>264</v>
      </c>
      <c r="O10" s="197">
        <v>0.75</v>
      </c>
      <c r="P10" s="22"/>
      <c r="Q10" s="29"/>
    </row>
    <row r="11">
      <c r="A11" s="9"/>
      <c r="B11" s="27"/>
      <c r="C11" s="20"/>
      <c r="D11" s="27"/>
      <c r="E11" s="20"/>
      <c r="F11" s="27"/>
      <c r="G11" s="20"/>
      <c r="H11" s="27"/>
      <c r="J11" s="247" t="s">
        <v>61</v>
      </c>
      <c r="L11" s="20">
        <f>L10/L8</f>
        <v>0.4189698476</v>
      </c>
      <c r="M11" s="9" t="s">
        <v>263</v>
      </c>
      <c r="N11" s="9" t="s">
        <v>266</v>
      </c>
      <c r="O11" s="29">
        <f>O9*(O10-O6)</f>
        <v>6798629155</v>
      </c>
      <c r="P11" s="22"/>
      <c r="Q11" s="29"/>
    </row>
    <row r="12">
      <c r="A12" s="131" t="s">
        <v>445</v>
      </c>
      <c r="B12" s="202">
        <f>SUM(B13:B17)</f>
        <v>3042017</v>
      </c>
      <c r="C12" s="20">
        <f t="shared" ref="C12:C17" si="7">IFERROR(SUM((D12/B12)-1),0)</f>
        <v>0.1551276669</v>
      </c>
      <c r="D12" s="202">
        <f>SUM(D13:D17)</f>
        <v>3513918</v>
      </c>
      <c r="E12" s="20">
        <f t="shared" ref="E12:E17" si="8">IFERROR(SUM((F12/D12)-1),0)</f>
        <v>-0.1227413389</v>
      </c>
      <c r="F12" s="202">
        <f>SUM(F13:F17)</f>
        <v>3082615</v>
      </c>
      <c r="G12" s="20">
        <f t="shared" ref="G12:G17" si="9">IFERROR(SUM((H12/F12)-1),0)</f>
        <v>-0.02414605781</v>
      </c>
      <c r="H12" s="202">
        <f>SUM(H13:H17)</f>
        <v>3008182</v>
      </c>
      <c r="J12" s="248" t="s">
        <v>446</v>
      </c>
      <c r="L12" s="28">
        <f>IFERROR(K17/K4,0)</f>
        <v>0.4631039925</v>
      </c>
      <c r="M12" s="22" t="s">
        <v>53</v>
      </c>
      <c r="N12" s="9" t="s">
        <v>271</v>
      </c>
      <c r="O12" s="29">
        <f>(O11/(1+O6))</f>
        <v>5943377179</v>
      </c>
      <c r="P12" s="22"/>
      <c r="Q12" s="154"/>
      <c r="T12" s="22"/>
    </row>
    <row r="13">
      <c r="A13" s="9" t="s">
        <v>447</v>
      </c>
      <c r="B13" s="27">
        <v>1324431.0</v>
      </c>
      <c r="C13" s="20">
        <f t="shared" si="7"/>
        <v>0.001938190816</v>
      </c>
      <c r="D13" s="27">
        <v>1326998.0</v>
      </c>
      <c r="E13" s="20">
        <f t="shared" si="8"/>
        <v>0.02151095932</v>
      </c>
      <c r="F13" s="27">
        <v>1355543.0</v>
      </c>
      <c r="G13" s="20">
        <f t="shared" si="9"/>
        <v>-0.01663761312</v>
      </c>
      <c r="H13" s="27">
        <v>1332990.0</v>
      </c>
      <c r="J13" s="51" t="s">
        <v>448</v>
      </c>
      <c r="K13" s="50">
        <f>SUM(B62,D62,F62,H62)*K3</f>
        <v>5340918000</v>
      </c>
      <c r="L13" s="19">
        <f>L5*L12*L19</f>
        <v>0.8438077923</v>
      </c>
      <c r="M13" s="199" t="s">
        <v>270</v>
      </c>
      <c r="N13" s="9" t="s">
        <v>273</v>
      </c>
      <c r="O13" s="29">
        <f>O11/(O6-O8)</f>
        <v>59689457023</v>
      </c>
      <c r="Q13" s="124"/>
      <c r="T13" s="22"/>
    </row>
    <row r="14">
      <c r="A14" s="9" t="s">
        <v>449</v>
      </c>
      <c r="B14" s="27">
        <v>1442546.0</v>
      </c>
      <c r="C14" s="20">
        <f t="shared" si="7"/>
        <v>0.03215010128</v>
      </c>
      <c r="D14" s="27">
        <v>1488924.0</v>
      </c>
      <c r="E14" s="20">
        <f t="shared" si="8"/>
        <v>-0.01988751609</v>
      </c>
      <c r="F14" s="27">
        <v>1459313.0</v>
      </c>
      <c r="G14" s="20">
        <f t="shared" si="9"/>
        <v>-0.03517408534</v>
      </c>
      <c r="H14" s="27">
        <v>1407983.0</v>
      </c>
      <c r="J14" s="248" t="s">
        <v>450</v>
      </c>
      <c r="L14" s="19">
        <f>IFERROR(K27/K4,0)</f>
        <v>0.4191500522</v>
      </c>
      <c r="M14" s="51" t="s">
        <v>62</v>
      </c>
      <c r="N14" s="9" t="s">
        <v>278</v>
      </c>
      <c r="O14" s="29">
        <f>O13/(1+O6)</f>
        <v>52180660043</v>
      </c>
      <c r="P14" s="22"/>
      <c r="T14" s="22"/>
    </row>
    <row r="15">
      <c r="A15" s="9" t="s">
        <v>451</v>
      </c>
      <c r="B15" s="27">
        <v>0.0</v>
      </c>
      <c r="C15" s="20">
        <f t="shared" si="7"/>
        <v>0</v>
      </c>
      <c r="D15" s="27">
        <v>422699.0</v>
      </c>
      <c r="E15" s="20">
        <f t="shared" si="8"/>
        <v>-1</v>
      </c>
      <c r="F15" s="27">
        <v>0.0</v>
      </c>
      <c r="G15" s="20">
        <f t="shared" si="9"/>
        <v>0</v>
      </c>
      <c r="H15" s="27">
        <v>0.0</v>
      </c>
      <c r="J15" s="51" t="s">
        <v>452</v>
      </c>
      <c r="K15" s="50">
        <f>SUM(B63,D63,F63,H63)*K3</f>
        <v>4994545000</v>
      </c>
      <c r="L15" s="20">
        <f>IFERROR(SUM(B23,D23,F23,H23)/SUM(B29,D29,F29,H29),0)</f>
        <v>0.4175611209</v>
      </c>
      <c r="M15" s="9" t="s">
        <v>453</v>
      </c>
      <c r="N15" s="9" t="s">
        <v>283</v>
      </c>
      <c r="O15" s="29">
        <f>K6 + O12 + O14</f>
        <v>69014337222</v>
      </c>
      <c r="T15" s="22"/>
    </row>
    <row r="16">
      <c r="A16" s="9" t="s">
        <v>454</v>
      </c>
      <c r="B16" s="27">
        <v>4296.0</v>
      </c>
      <c r="C16" s="20">
        <f t="shared" si="7"/>
        <v>-0.7409217877</v>
      </c>
      <c r="D16" s="27">
        <v>1113.0</v>
      </c>
      <c r="E16" s="20">
        <f t="shared" si="8"/>
        <v>3.315363881</v>
      </c>
      <c r="F16" s="27">
        <v>4803.0</v>
      </c>
      <c r="G16" s="20">
        <f t="shared" si="9"/>
        <v>-0.9256714553</v>
      </c>
      <c r="H16" s="27">
        <v>357.0</v>
      </c>
      <c r="J16" s="248" t="s">
        <v>455</v>
      </c>
      <c r="L16" s="20">
        <f>K8/K4</f>
        <v>0.2847723468</v>
      </c>
      <c r="M16" s="9" t="s">
        <v>456</v>
      </c>
      <c r="N16" s="9" t="s">
        <v>288</v>
      </c>
      <c r="O16" s="29">
        <f>O15/L2</f>
        <v>35.54874689</v>
      </c>
    </row>
    <row r="17">
      <c r="A17" s="9" t="s">
        <v>457</v>
      </c>
      <c r="B17" s="27">
        <v>270744.0</v>
      </c>
      <c r="C17" s="20">
        <f t="shared" si="7"/>
        <v>0.0127057294</v>
      </c>
      <c r="D17" s="27">
        <v>274184.0</v>
      </c>
      <c r="E17" s="20">
        <f t="shared" si="8"/>
        <v>-0.04095060252</v>
      </c>
      <c r="F17" s="27">
        <v>262956.0</v>
      </c>
      <c r="G17" s="20">
        <f t="shared" si="9"/>
        <v>0.01481616696</v>
      </c>
      <c r="H17" s="27">
        <v>266852.0</v>
      </c>
      <c r="J17" s="51" t="s">
        <v>458</v>
      </c>
      <c r="K17" s="50">
        <f>SUM(B61,D61,F61,H61)*K3</f>
        <v>10152953000</v>
      </c>
      <c r="L17" s="29">
        <f>SUM(B5,D5,F5,H5,B7,D7,F7,H7)/4*1%*(1-0.34)
*K3*4</f>
        <v>238334850.6</v>
      </c>
      <c r="M17" s="51" t="s">
        <v>459</v>
      </c>
    </row>
    <row r="18">
      <c r="J18" s="248" t="s">
        <v>460</v>
      </c>
      <c r="L18" s="193">
        <f>L17*2</f>
        <v>476669701.2</v>
      </c>
      <c r="M18" s="65" t="s">
        <v>461</v>
      </c>
      <c r="Q18" s="22"/>
    </row>
    <row r="19">
      <c r="A19" s="131" t="s">
        <v>292</v>
      </c>
      <c r="B19" s="202">
        <f>SUM(B20:B21)</f>
        <v>209586</v>
      </c>
      <c r="C19" s="20">
        <f t="shared" ref="C19:C21" si="10">IFERROR(SUM((D19/B19)-1),0)</f>
        <v>-0.08218583302</v>
      </c>
      <c r="D19" s="202">
        <f>SUM(D20:D21)</f>
        <v>192361</v>
      </c>
      <c r="E19" s="20">
        <f t="shared" ref="E19:E21" si="11">IFERROR(SUM((F19/D19)-1),0)</f>
        <v>0.1648670988</v>
      </c>
      <c r="F19" s="202">
        <f>SUM(F20:F21)</f>
        <v>224075</v>
      </c>
      <c r="G19" s="20">
        <f t="shared" ref="G19:G21" si="12">IFERROR(SUM((H19/F19)-1),0)</f>
        <v>-0.2689055004</v>
      </c>
      <c r="H19" s="202">
        <f>SUM(H20:H21)</f>
        <v>163820</v>
      </c>
      <c r="J19" s="51" t="s">
        <v>465</v>
      </c>
      <c r="K19" s="50">
        <f>SUM(B66,D66,F66,H66)*K3</f>
        <v>-287185000</v>
      </c>
      <c r="L19" s="184">
        <f>IFERROR(K4/K6,0)</f>
        <v>2.013140134</v>
      </c>
      <c r="M19" s="65" t="s">
        <v>297</v>
      </c>
      <c r="N19" s="22"/>
      <c r="P19" s="19"/>
      <c r="Q19" s="28"/>
    </row>
    <row r="20">
      <c r="A20" s="9" t="s">
        <v>466</v>
      </c>
      <c r="B20" s="27">
        <v>52521.0</v>
      </c>
      <c r="C20" s="20">
        <f t="shared" si="10"/>
        <v>-0.9693455951</v>
      </c>
      <c r="D20" s="27">
        <v>1610.0</v>
      </c>
      <c r="E20" s="20">
        <f t="shared" si="11"/>
        <v>29.89751553</v>
      </c>
      <c r="F20" s="27">
        <v>49745.0</v>
      </c>
      <c r="G20" s="20">
        <f t="shared" si="12"/>
        <v>-0.8947632928</v>
      </c>
      <c r="H20" s="27">
        <v>5235.0</v>
      </c>
      <c r="J20" s="248" t="s">
        <v>468</v>
      </c>
      <c r="P20" s="19"/>
      <c r="Q20" s="28"/>
      <c r="T20" s="23"/>
    </row>
    <row r="21">
      <c r="A21" s="9" t="s">
        <v>469</v>
      </c>
      <c r="B21" s="27">
        <v>157065.0</v>
      </c>
      <c r="C21" s="20">
        <f t="shared" si="10"/>
        <v>0.2144717155</v>
      </c>
      <c r="D21" s="27">
        <v>190751.0</v>
      </c>
      <c r="E21" s="20">
        <f t="shared" si="11"/>
        <v>-0.08608604935</v>
      </c>
      <c r="F21" s="27">
        <v>174330.0</v>
      </c>
      <c r="G21" s="20">
        <f t="shared" si="12"/>
        <v>-0.09031721448</v>
      </c>
      <c r="H21" s="27">
        <v>158585.0</v>
      </c>
      <c r="J21" s="51" t="s">
        <v>470</v>
      </c>
      <c r="K21" s="50">
        <f>SUM(B73,D73,F73,H73)*K3</f>
        <v>9865768000</v>
      </c>
      <c r="O21" s="29"/>
      <c r="P21" s="19"/>
      <c r="Q21" s="28"/>
    </row>
    <row r="22">
      <c r="B22" s="27"/>
      <c r="C22" s="20"/>
      <c r="D22" s="27"/>
      <c r="E22" s="20"/>
      <c r="F22" s="27"/>
      <c r="G22" s="20"/>
      <c r="H22" s="27"/>
      <c r="J22" s="248" t="s">
        <v>468</v>
      </c>
      <c r="M22" s="9" t="s">
        <v>21</v>
      </c>
      <c r="P22" s="19"/>
      <c r="Q22" s="28"/>
    </row>
    <row r="23">
      <c r="A23" s="131" t="s">
        <v>471</v>
      </c>
      <c r="B23" s="132">
        <f>SUM(B24)</f>
        <v>8878735</v>
      </c>
      <c r="C23" s="20">
        <f t="shared" ref="C23:C24" si="13">IFERROR(SUM((D23/B23)-1),0)</f>
        <v>-0.03528644565</v>
      </c>
      <c r="D23" s="132">
        <f>SUM(D24)</f>
        <v>8565436</v>
      </c>
      <c r="E23" s="20">
        <f t="shared" ref="E23:E24" si="14">IFERROR(SUM((F23/D23)-1),0)</f>
        <v>0.05716650034</v>
      </c>
      <c r="F23" s="132">
        <f>SUM(F24)</f>
        <v>9055092</v>
      </c>
      <c r="G23" s="20">
        <f t="shared" ref="G23:G24" si="15">IFERROR(SUM((H23/F23)-1),0)</f>
        <v>-0.003025700898</v>
      </c>
      <c r="H23" s="132">
        <f>SUM(H24)</f>
        <v>9027694</v>
      </c>
      <c r="J23" s="9" t="s">
        <v>472</v>
      </c>
      <c r="K23" s="50">
        <f>SUM(B75,D75,F75,H75)*K3</f>
        <v>1075600000</v>
      </c>
      <c r="L23" s="27">
        <v>3850048.0</v>
      </c>
      <c r="M23" s="9" t="s">
        <v>474</v>
      </c>
    </row>
    <row r="24">
      <c r="A24" s="9" t="s">
        <v>475</v>
      </c>
      <c r="B24" s="27">
        <v>8878735.0</v>
      </c>
      <c r="C24" s="20">
        <f t="shared" si="13"/>
        <v>-0.03528644565</v>
      </c>
      <c r="D24" s="27">
        <v>8565436.0</v>
      </c>
      <c r="E24" s="20">
        <f t="shared" si="14"/>
        <v>0.05716650034</v>
      </c>
      <c r="F24" s="27">
        <v>9055092.0</v>
      </c>
      <c r="G24" s="20">
        <f t="shared" si="15"/>
        <v>-0.003025700898</v>
      </c>
      <c r="H24" s="27">
        <v>9027694.0</v>
      </c>
      <c r="J24" s="250" t="s">
        <v>476</v>
      </c>
      <c r="L24" s="32">
        <v>0.0</v>
      </c>
      <c r="M24" s="9" t="s">
        <v>478</v>
      </c>
    </row>
    <row r="25">
      <c r="J25" s="187" t="s">
        <v>90</v>
      </c>
      <c r="K25" s="74">
        <f>'Indicadores_Ações'!$B$4</f>
        <v>0.04443024618</v>
      </c>
      <c r="L25" s="23">
        <f>SUM(L23:L24)</f>
        <v>3850048</v>
      </c>
      <c r="M25" s="9" t="s">
        <v>479</v>
      </c>
    </row>
    <row r="26">
      <c r="A26" s="131" t="s">
        <v>313</v>
      </c>
      <c r="B26" s="132">
        <f>SUM(B27)</f>
        <v>1692</v>
      </c>
      <c r="C26" s="20">
        <f t="shared" ref="C26:C27" si="16">IFERROR(SUM((D26/B26)-1),0)</f>
        <v>-0.1294326241</v>
      </c>
      <c r="D26" s="132">
        <f>SUM(D27)</f>
        <v>1473</v>
      </c>
      <c r="E26" s="20">
        <f t="shared" ref="E26:E27" si="17">IFERROR(SUM((F26/D26)-1),0)</f>
        <v>0.4304141208</v>
      </c>
      <c r="F26" s="132">
        <f>SUM(F27)</f>
        <v>2107</v>
      </c>
      <c r="G26" s="20">
        <f t="shared" ref="G26:G27" si="18">IFERROR(SUM((H26/F26)-1),0)</f>
        <v>-0.09444708116</v>
      </c>
      <c r="H26" s="132">
        <f>SUM(H27)</f>
        <v>1908</v>
      </c>
      <c r="J26" s="51" t="s">
        <v>480</v>
      </c>
      <c r="K26" s="50">
        <f>SUM(B84,D84,F84,H84)*K3</f>
        <v>9017329000</v>
      </c>
    </row>
    <row r="27">
      <c r="A27" s="9" t="s">
        <v>481</v>
      </c>
      <c r="B27" s="27">
        <v>1692.0</v>
      </c>
      <c r="C27" s="20">
        <f t="shared" si="16"/>
        <v>-0.1294326241</v>
      </c>
      <c r="D27" s="27">
        <v>1473.0</v>
      </c>
      <c r="E27" s="20">
        <f t="shared" si="17"/>
        <v>0.4304141208</v>
      </c>
      <c r="F27" s="27">
        <v>2107.0</v>
      </c>
      <c r="G27" s="20">
        <f t="shared" si="18"/>
        <v>-0.09444708116</v>
      </c>
      <c r="H27" s="27">
        <v>1908.0</v>
      </c>
      <c r="J27" s="9" t="s">
        <v>317</v>
      </c>
      <c r="K27" s="29">
        <f t="array" ref="K27">IFERROR(INDEX(Indicador_Ações[], MATCH($J$2, Indicador_Ações[Stock], 0), MATCH(Indicador_Ações[[#HEADERS],[lucro_liquido_12m]], Indicador_Ações[#HEADERS], 0)),"")</f>
        <v>9189320000</v>
      </c>
      <c r="M27" s="29"/>
    </row>
    <row r="28">
      <c r="J28" s="24" t="s">
        <v>100</v>
      </c>
      <c r="K28" s="86">
        <f t="array" ref="K28">IFERROR(INDEX(Indicador_Ações[], MATCH($J$2, Indicador_Ações[Stock], 0), MATCH(Indicador_Ações[[#HEADERS],[beta_ibov_3a]], Indicador_Ações[#HEADERS], 0)),"")</f>
        <v>0.49</v>
      </c>
    </row>
    <row r="29">
      <c r="A29" s="131" t="s">
        <v>324</v>
      </c>
      <c r="B29" s="202">
        <f>SUM(B4,B7,B12,B19,B23,B26)</f>
        <v>19619021</v>
      </c>
      <c r="C29" s="20">
        <f>IFERROR(SUM((D29/B29)-1),0)</f>
        <v>0.1174719676</v>
      </c>
      <c r="D29" s="202">
        <f>SUM(D4,D7,D12,D19,D23,D26)</f>
        <v>21923706</v>
      </c>
      <c r="E29" s="20">
        <f>IFERROR(SUM((F29/D29)-1),0)</f>
        <v>-0.06760157247</v>
      </c>
      <c r="F29" s="202">
        <f>SUM(F4,F7,F12,F19,F23,F26)</f>
        <v>20441629</v>
      </c>
      <c r="G29" s="20">
        <f>IFERROR(SUM((H29/F29)-1),0)</f>
        <v>0.1299342141</v>
      </c>
      <c r="H29" s="202">
        <f>SUM(H4,H7,H12,H19,H23,H26)</f>
        <v>23097696</v>
      </c>
      <c r="J29" s="251" t="s">
        <v>486</v>
      </c>
    </row>
    <row r="30">
      <c r="A30" s="56"/>
      <c r="B30" s="57"/>
      <c r="C30" s="58"/>
      <c r="D30" s="57"/>
      <c r="E30" s="58"/>
      <c r="F30" s="57"/>
      <c r="G30" s="58"/>
      <c r="H30" s="57"/>
      <c r="J30" s="248" t="s">
        <v>488</v>
      </c>
    </row>
    <row r="31">
      <c r="A31" s="131" t="s">
        <v>489</v>
      </c>
      <c r="B31" s="202">
        <f>SUM(B32,B33)</f>
        <v>6268634</v>
      </c>
      <c r="C31" s="20">
        <f t="shared" ref="C31:C33" si="19">IFERROR(SUM((D31/B31)-1),0)</f>
        <v>-0.005728361235</v>
      </c>
      <c r="D31" s="202">
        <f>SUM(D32,D33)</f>
        <v>6232725</v>
      </c>
      <c r="E31" s="20">
        <f t="shared" ref="E31:E33" si="20">IFERROR(SUM((F31/D31)-1),0)</f>
        <v>0.003671748713</v>
      </c>
      <c r="F31" s="202">
        <f>SUM(F32,F33)</f>
        <v>6255610</v>
      </c>
      <c r="G31" s="20">
        <f t="shared" ref="G31:G33" si="21">IFERROR(SUM((H31/F31)-1),0)</f>
        <v>-0.006318328668</v>
      </c>
      <c r="H31" s="202">
        <f>SUM(H32,H33)</f>
        <v>6216085</v>
      </c>
      <c r="J31" s="51" t="s">
        <v>492</v>
      </c>
      <c r="K31" s="19">
        <f>K13/K17</f>
        <v>0.5260457721</v>
      </c>
    </row>
    <row r="32">
      <c r="A32" s="9" t="s">
        <v>493</v>
      </c>
      <c r="B32" s="27">
        <v>2719340.0</v>
      </c>
      <c r="C32" s="20">
        <f t="shared" si="19"/>
        <v>-0.03359749057</v>
      </c>
      <c r="D32" s="27">
        <v>2627977.0</v>
      </c>
      <c r="E32" s="20">
        <f t="shared" si="20"/>
        <v>0.0007089103139</v>
      </c>
      <c r="F32" s="27">
        <v>2629840.0</v>
      </c>
      <c r="G32" s="20">
        <f t="shared" si="21"/>
        <v>0.01681090865</v>
      </c>
      <c r="H32" s="27">
        <v>2674050.0</v>
      </c>
      <c r="J32" s="51" t="s">
        <v>494</v>
      </c>
      <c r="K32" s="19">
        <f>K15/K17</f>
        <v>0.4919302788</v>
      </c>
    </row>
    <row r="33">
      <c r="A33" s="9" t="s">
        <v>496</v>
      </c>
      <c r="B33" s="27">
        <v>3549294.0</v>
      </c>
      <c r="C33" s="20">
        <f t="shared" si="19"/>
        <v>0.01562395226</v>
      </c>
      <c r="D33" s="27">
        <v>3604748.0</v>
      </c>
      <c r="E33" s="20">
        <f t="shared" si="20"/>
        <v>0.00583175301</v>
      </c>
      <c r="F33" s="27">
        <v>3625770.0</v>
      </c>
      <c r="G33" s="20">
        <f t="shared" si="21"/>
        <v>-0.02309440477</v>
      </c>
      <c r="H33" s="27">
        <v>3542035.0</v>
      </c>
      <c r="J33" s="247" t="s">
        <v>235</v>
      </c>
    </row>
    <row r="34">
      <c r="J34" s="233" t="s">
        <v>322</v>
      </c>
      <c r="K34" s="233"/>
      <c r="L34" s="20"/>
    </row>
    <row r="35">
      <c r="A35" s="131" t="s">
        <v>498</v>
      </c>
      <c r="B35" s="202">
        <f>SUM(B36)</f>
        <v>485</v>
      </c>
      <c r="C35" s="20">
        <f t="shared" ref="C35:C36" si="22">IFERROR(SUM((D35/B35)-1),0)</f>
        <v>7938.224742</v>
      </c>
      <c r="D35" s="202">
        <f>SUM(D36)</f>
        <v>3850524</v>
      </c>
      <c r="E35" s="20">
        <f t="shared" ref="E35:E36" si="23">IFERROR(SUM((F35/D35)-1),0)</f>
        <v>-0.999889106</v>
      </c>
      <c r="F35" s="202">
        <f>SUM(F36)</f>
        <v>427</v>
      </c>
      <c r="G35" s="20">
        <f t="shared" ref="G35:G36" si="24">IFERROR(SUM((H35/F35)-1),0)</f>
        <v>11592.57845</v>
      </c>
      <c r="H35" s="202">
        <f>SUM(H36)</f>
        <v>4950458</v>
      </c>
      <c r="K35" s="9" t="s">
        <v>12</v>
      </c>
      <c r="L35" s="9" t="s">
        <v>301</v>
      </c>
      <c r="M35" s="9" t="s">
        <v>14</v>
      </c>
      <c r="N35" s="9" t="s">
        <v>301</v>
      </c>
      <c r="O35" s="9" t="s">
        <v>16</v>
      </c>
      <c r="P35" s="9" t="s">
        <v>301</v>
      </c>
      <c r="Q35" s="9" t="s">
        <v>18</v>
      </c>
    </row>
    <row r="36">
      <c r="A36" s="9" t="s">
        <v>505</v>
      </c>
      <c r="B36" s="27">
        <v>485.0</v>
      </c>
      <c r="C36" s="20">
        <f t="shared" si="22"/>
        <v>7938.224742</v>
      </c>
      <c r="D36" s="27">
        <v>3850524.0</v>
      </c>
      <c r="E36" s="20">
        <f t="shared" si="23"/>
        <v>-0.999889106</v>
      </c>
      <c r="F36" s="27">
        <v>427.0</v>
      </c>
      <c r="G36" s="20">
        <f t="shared" si="24"/>
        <v>11592.57845</v>
      </c>
      <c r="H36" s="27">
        <v>4950458.0</v>
      </c>
      <c r="J36" s="9" t="s">
        <v>297</v>
      </c>
      <c r="K36" s="23">
        <f>IFERROR(B29/B58,0)</f>
        <v>1.552004024</v>
      </c>
      <c r="L36" s="20">
        <f t="shared" ref="L36:L41" si="25">IFERROR(SUM((M36/K36)-1),0)</f>
        <v>0.2971180066</v>
      </c>
      <c r="M36" s="23">
        <f>IFERROR(D29/D58,0)</f>
        <v>2.013132366</v>
      </c>
      <c r="N36" s="20">
        <f t="shared" ref="N36:N41" si="26">IFERROR(SUM((O36/M36)-1),0)</f>
        <v>-0.2110127426</v>
      </c>
      <c r="O36" s="23">
        <f>IFERROR(F29/F58,0)</f>
        <v>1.588335784</v>
      </c>
      <c r="P36" s="20">
        <f t="shared" ref="P36:P41" si="27">IFERROR(SUM((Q36/O36)-1),0)</f>
        <v>0.4003778243</v>
      </c>
      <c r="Q36" s="23">
        <f>IFERROR(H29/H58,0)</f>
        <v>2.22427021</v>
      </c>
    </row>
    <row r="37">
      <c r="J37" s="9" t="s">
        <v>453</v>
      </c>
      <c r="K37" s="20">
        <f>IFERROR(B23/B29,0)</f>
        <v>0.4525574951</v>
      </c>
      <c r="L37" s="20">
        <f t="shared" si="25"/>
        <v>-0.1366999958</v>
      </c>
      <c r="M37" s="20">
        <f>IFERROR(D23/D29,0)</f>
        <v>0.3906928874</v>
      </c>
      <c r="N37" s="20">
        <f t="shared" si="26"/>
        <v>0.1338141176</v>
      </c>
      <c r="O37" s="20">
        <f>IFERROR(F23/F29,0)</f>
        <v>0.4429731114</v>
      </c>
      <c r="P37" s="20">
        <f t="shared" si="27"/>
        <v>-0.1176704921</v>
      </c>
      <c r="Q37" s="20">
        <f>IFERROR(H23/H29,0)</f>
        <v>0.3908482474</v>
      </c>
    </row>
    <row r="38">
      <c r="A38" s="131" t="s">
        <v>516</v>
      </c>
      <c r="B38" s="202">
        <f>SUM(B39:B40)</f>
        <v>547352</v>
      </c>
      <c r="C38" s="20">
        <f t="shared" ref="C38:C40" si="28">IFERROR(SUM((D38/B38)-1),0)</f>
        <v>0.4322958535</v>
      </c>
      <c r="D38" s="202">
        <f>SUM(D39:D40)</f>
        <v>783970</v>
      </c>
      <c r="E38" s="20">
        <f t="shared" ref="E38:E40" si="29">IFERROR(SUM((F38/D38)-1),0)</f>
        <v>0.4386060691</v>
      </c>
      <c r="F38" s="202">
        <f>SUM(F39:F40)</f>
        <v>1127824</v>
      </c>
      <c r="G38" s="20">
        <f t="shared" ref="G38:G40" si="30">IFERROR(SUM((H38/F38)-1),0)</f>
        <v>0.2114762587</v>
      </c>
      <c r="H38" s="202">
        <f>SUM(H39:H40)</f>
        <v>1366332</v>
      </c>
      <c r="J38" s="9" t="s">
        <v>456</v>
      </c>
      <c r="K38" s="20">
        <f>IFERROR(B31/B29,0)</f>
        <v>0.3195181859</v>
      </c>
      <c r="L38" s="20">
        <f t="shared" si="25"/>
        <v>-0.1102491449</v>
      </c>
      <c r="M38" s="20">
        <f>IFERROR(D31/D29,0)</f>
        <v>0.2842915792</v>
      </c>
      <c r="N38" s="20">
        <f t="shared" si="26"/>
        <v>0.07644084233</v>
      </c>
      <c r="O38" s="20">
        <f>IFERROR(F31/F29,0)</f>
        <v>0.3060230669</v>
      </c>
      <c r="P38" s="20">
        <f t="shared" si="27"/>
        <v>-0.1205844917</v>
      </c>
      <c r="Q38" s="20">
        <f>IFERROR(H31/H29,0)</f>
        <v>0.269121431</v>
      </c>
    </row>
    <row r="39">
      <c r="A39" s="9" t="s">
        <v>522</v>
      </c>
      <c r="B39" s="27">
        <v>318787.0</v>
      </c>
      <c r="C39" s="20">
        <f t="shared" si="28"/>
        <v>0.7422448218</v>
      </c>
      <c r="D39" s="27">
        <v>555405.0</v>
      </c>
      <c r="E39" s="20">
        <f t="shared" si="29"/>
        <v>0.6191049774</v>
      </c>
      <c r="F39" s="27">
        <v>899259.0</v>
      </c>
      <c r="G39" s="20">
        <f t="shared" si="30"/>
        <v>0.2652272593</v>
      </c>
      <c r="H39" s="27">
        <v>1137767.0</v>
      </c>
      <c r="J39" s="9" t="s">
        <v>335</v>
      </c>
      <c r="K39" s="20">
        <f>IFERROR(SUM(B4,B7)/B29,0)</f>
        <v>0.3816189911</v>
      </c>
      <c r="L39" s="20">
        <f t="shared" si="25"/>
        <v>0.1534709905</v>
      </c>
      <c r="M39" s="20">
        <f>IFERROR(SUM(D4,D7)/D29,0)</f>
        <v>0.4401864356</v>
      </c>
      <c r="N39" s="20">
        <f t="shared" si="26"/>
        <v>-0.1022865898</v>
      </c>
      <c r="O39" s="20">
        <f>IFERROR(SUM(F4,F7)/F29,0)</f>
        <v>0.3951612663</v>
      </c>
      <c r="P39" s="20">
        <f t="shared" si="27"/>
        <v>0.1937894375</v>
      </c>
      <c r="Q39" s="20">
        <f>IFERROR(SUM(H4,H7)/H29,0)</f>
        <v>0.4717393458</v>
      </c>
    </row>
    <row r="40">
      <c r="A40" s="9" t="s">
        <v>526</v>
      </c>
      <c r="B40" s="27">
        <v>228565.0</v>
      </c>
      <c r="C40" s="20">
        <f t="shared" si="28"/>
        <v>0</v>
      </c>
      <c r="D40" s="27">
        <v>228565.0</v>
      </c>
      <c r="E40" s="20">
        <f t="shared" si="29"/>
        <v>0</v>
      </c>
      <c r="F40" s="27">
        <v>228565.0</v>
      </c>
      <c r="G40" s="20">
        <f t="shared" si="30"/>
        <v>0</v>
      </c>
      <c r="H40" s="27">
        <v>228565.0</v>
      </c>
      <c r="J40" s="9" t="s">
        <v>341</v>
      </c>
      <c r="K40" s="20">
        <f>IFERROR(B58/B29,0)</f>
        <v>0.6443282262</v>
      </c>
      <c r="L40" s="20">
        <f t="shared" si="25"/>
        <v>-0.2290601203</v>
      </c>
      <c r="M40" s="20">
        <f>IFERROR(D58/D29,0)</f>
        <v>0.4967383252</v>
      </c>
      <c r="N40" s="20">
        <f t="shared" si="26"/>
        <v>0.2674475927</v>
      </c>
      <c r="O40" s="20">
        <f>IFERROR(F58/F29,0)</f>
        <v>0.6295897944</v>
      </c>
      <c r="P40" s="20">
        <f t="shared" si="27"/>
        <v>-0.2859070012</v>
      </c>
      <c r="Q40" s="20">
        <f>IFERROR(H58/H29,0)</f>
        <v>0.4495856643</v>
      </c>
    </row>
    <row r="41">
      <c r="J41" s="9" t="s">
        <v>528</v>
      </c>
      <c r="K41" s="20">
        <f>IFERROR(SUM(B4,B7)/B49,0)</f>
        <v>1.072952703</v>
      </c>
      <c r="L41" s="20">
        <f t="shared" si="25"/>
        <v>-0.1848036642</v>
      </c>
      <c r="M41" s="20">
        <f>IFERROR(SUM(D4,D7)/D49,0)</f>
        <v>0.8746671119</v>
      </c>
      <c r="N41" s="20">
        <f t="shared" si="26"/>
        <v>0.2196876532</v>
      </c>
      <c r="O41" s="20">
        <f>IFERROR(SUM(F4,F7)/F49,0)</f>
        <v>1.066820677</v>
      </c>
      <c r="P41" s="20">
        <f t="shared" si="27"/>
        <v>-0.1966201418</v>
      </c>
      <c r="Q41" s="20">
        <f>IFERROR(SUM(H4,H7)/H49,0)</f>
        <v>0.8570622442</v>
      </c>
    </row>
    <row r="42">
      <c r="A42" s="131" t="s">
        <v>533</v>
      </c>
      <c r="B42" s="202">
        <f>SUM(B43,B44)</f>
        <v>54484</v>
      </c>
      <c r="C42" s="20">
        <f t="shared" ref="C42:C44" si="31">IFERROR(SUM((D42/B42)-1),0)</f>
        <v>0.04456354159</v>
      </c>
      <c r="D42" s="202">
        <f>SUM(D43,D44)</f>
        <v>56912</v>
      </c>
      <c r="E42" s="20">
        <f t="shared" ref="E42:E44" si="32">IFERROR(SUM((F42/D42)-1),0)</f>
        <v>0.01126300253</v>
      </c>
      <c r="F42" s="202">
        <f>SUM(F43,F44)</f>
        <v>57553</v>
      </c>
      <c r="G42" s="20">
        <f t="shared" ref="G42:G44" si="33">IFERROR(SUM((H42/F42)-1),0)</f>
        <v>-0.04832067833</v>
      </c>
      <c r="H42" s="202">
        <f>SUM(H43,H44)</f>
        <v>54772</v>
      </c>
      <c r="J42" s="81" t="s">
        <v>345</v>
      </c>
      <c r="L42" s="20"/>
      <c r="N42" s="20"/>
      <c r="P42" s="20"/>
    </row>
    <row r="43">
      <c r="A43" s="9" t="s">
        <v>539</v>
      </c>
      <c r="B43" s="27">
        <v>17709.0</v>
      </c>
      <c r="C43" s="20">
        <f t="shared" si="31"/>
        <v>-0.04037495059</v>
      </c>
      <c r="D43" s="27">
        <v>16994.0</v>
      </c>
      <c r="E43" s="20">
        <f t="shared" si="32"/>
        <v>0.4636342238</v>
      </c>
      <c r="F43" s="27">
        <v>24873.0</v>
      </c>
      <c r="G43" s="20">
        <f t="shared" si="33"/>
        <v>-0.2339886624</v>
      </c>
      <c r="H43" s="27">
        <v>19053.0</v>
      </c>
      <c r="J43" s="70" t="s">
        <v>347</v>
      </c>
      <c r="L43" s="20"/>
      <c r="N43" s="20"/>
      <c r="P43" s="20"/>
    </row>
    <row r="44">
      <c r="A44" s="9" t="s">
        <v>540</v>
      </c>
      <c r="B44" s="27">
        <v>36775.0</v>
      </c>
      <c r="C44" s="20">
        <f t="shared" si="31"/>
        <v>0.08546566961</v>
      </c>
      <c r="D44" s="27">
        <v>39918.0</v>
      </c>
      <c r="E44" s="20">
        <f t="shared" si="32"/>
        <v>-0.1813217095</v>
      </c>
      <c r="F44" s="27">
        <v>32680.0</v>
      </c>
      <c r="G44" s="20">
        <f t="shared" si="33"/>
        <v>0.09299265606</v>
      </c>
      <c r="H44" s="27">
        <v>35719.0</v>
      </c>
      <c r="J44" s="9" t="s">
        <v>541</v>
      </c>
      <c r="K44" s="20">
        <f>B62/B61</f>
        <v>0.5033339699</v>
      </c>
      <c r="L44" s="20">
        <f t="shared" ref="L44:L48" si="34">IFERROR(SUM((M44/K44)-1),0)</f>
        <v>0.1124345935</v>
      </c>
      <c r="M44" s="20">
        <f>D62/D61</f>
        <v>0.5599261202</v>
      </c>
      <c r="N44" s="20">
        <f t="shared" ref="N44:N48" si="35">IFERROR(SUM((O44/M44)-1),0)</f>
        <v>-0.08530599011</v>
      </c>
      <c r="O44" s="20">
        <f>F62/F61</f>
        <v>0.5121610681</v>
      </c>
      <c r="P44" s="20">
        <f t="shared" ref="P44:P48" si="36">IFERROR(SUM((Q44/O44)-1),0)</f>
        <v>0.02798646816</v>
      </c>
      <c r="Q44" s="20">
        <f>H62/H61</f>
        <v>0.5264946475</v>
      </c>
    </row>
    <row r="45">
      <c r="J45" s="9" t="s">
        <v>351</v>
      </c>
      <c r="K45" s="20">
        <f>B63/B61</f>
        <v>0.5150692487</v>
      </c>
      <c r="L45" s="20">
        <f t="shared" si="34"/>
        <v>-0.1142337379</v>
      </c>
      <c r="M45" s="20">
        <f>D63/D61</f>
        <v>0.4562309632</v>
      </c>
      <c r="N45" s="20">
        <f t="shared" si="35"/>
        <v>0.1119060198</v>
      </c>
      <c r="O45" s="20">
        <f>F63/F61</f>
        <v>0.5072859544</v>
      </c>
      <c r="P45" s="20">
        <f t="shared" si="36"/>
        <v>-0.03115521211</v>
      </c>
      <c r="Q45" s="20">
        <f>H63/H61</f>
        <v>0.4914813529</v>
      </c>
    </row>
    <row r="46">
      <c r="A46" s="131" t="s">
        <v>542</v>
      </c>
      <c r="B46" s="132">
        <f>SUM(B47)</f>
        <v>106977</v>
      </c>
      <c r="C46" s="20">
        <f t="shared" ref="C46:C47" si="37">IFERROR(SUM((D46/B46)-1),0)</f>
        <v>0.02106060181</v>
      </c>
      <c r="D46" s="132">
        <f>SUM(D47)</f>
        <v>109230</v>
      </c>
      <c r="E46" s="20">
        <f t="shared" ref="E46:E47" si="38">IFERROR(SUM((F46/D46)-1),0)</f>
        <v>0.1935731942</v>
      </c>
      <c r="F46" s="132">
        <f>SUM(F47)</f>
        <v>130374</v>
      </c>
      <c r="G46" s="20">
        <f t="shared" ref="G46:G47" si="39">IFERROR(SUM((H46/F46)-1),0)</f>
        <v>-0.03618819703</v>
      </c>
      <c r="H46" s="132">
        <f>SUM(H47)</f>
        <v>125656</v>
      </c>
      <c r="J46" s="9" t="s">
        <v>246</v>
      </c>
      <c r="K46" s="124">
        <f>ABS(B66)/B61</f>
        <v>0.02245594251</v>
      </c>
      <c r="L46" s="20">
        <f t="shared" si="34"/>
        <v>-0.03727947853</v>
      </c>
      <c r="M46" s="124">
        <f>ABS(D66)/D61</f>
        <v>0.02161879668</v>
      </c>
      <c r="N46" s="20">
        <f t="shared" si="35"/>
        <v>0.04167523442</v>
      </c>
      <c r="O46" s="124">
        <f>ABS(F66)/F61</f>
        <v>0.0225197651</v>
      </c>
      <c r="P46" s="20">
        <f t="shared" si="36"/>
        <v>1.099150848</v>
      </c>
      <c r="Q46" s="124">
        <f>ABS(H66)/H61</f>
        <v>0.04727238401</v>
      </c>
    </row>
    <row r="47">
      <c r="A47" s="9" t="s">
        <v>544</v>
      </c>
      <c r="B47" s="27">
        <v>106977.0</v>
      </c>
      <c r="C47" s="20">
        <f t="shared" si="37"/>
        <v>0.02106060181</v>
      </c>
      <c r="D47" s="27">
        <v>109230.0</v>
      </c>
      <c r="E47" s="20">
        <f t="shared" si="38"/>
        <v>0.1935731942</v>
      </c>
      <c r="F47" s="27">
        <v>130374.0</v>
      </c>
      <c r="G47" s="20">
        <f t="shared" si="39"/>
        <v>-0.03618819703</v>
      </c>
      <c r="H47" s="27">
        <v>125656.0</v>
      </c>
      <c r="J47" s="9" t="s">
        <v>356</v>
      </c>
      <c r="K47" s="20">
        <f>IFERROR(H66/B66-1,0)
</f>
        <v>1.129233577</v>
      </c>
      <c r="L47" s="20">
        <f t="shared" si="34"/>
        <v>-0.9557060211</v>
      </c>
      <c r="M47" s="20">
        <f>IFERROR(D66/B66-1,0)
</f>
        <v>0.05001824818</v>
      </c>
      <c r="N47" s="20">
        <f t="shared" si="35"/>
        <v>-0.7842326549</v>
      </c>
      <c r="O47" s="20">
        <f>IFERROR(F66/D66-1,0)
</f>
        <v>0.01079230462</v>
      </c>
      <c r="P47" s="20">
        <f t="shared" si="36"/>
        <v>92.22894945</v>
      </c>
      <c r="Q47" s="20">
        <f>IFERROR(H66/F66-1,0)
</f>
        <v>1.006155222</v>
      </c>
    </row>
    <row r="48">
      <c r="B48" s="23"/>
      <c r="C48" s="20"/>
      <c r="D48" s="23"/>
      <c r="E48" s="20"/>
      <c r="F48" s="23"/>
      <c r="G48" s="20"/>
      <c r="H48" s="23"/>
      <c r="J48" s="9" t="s">
        <v>547</v>
      </c>
      <c r="K48" s="20">
        <f>IFERROR(H61/B61-1,0)
</f>
        <v>0.0114562187</v>
      </c>
      <c r="L48" s="20">
        <f t="shared" si="34"/>
        <v>6.915191186</v>
      </c>
      <c r="M48" s="20">
        <f>IFERROR(D61/B61-1,0)
</f>
        <v>0.09067816127</v>
      </c>
      <c r="N48" s="20">
        <f t="shared" si="35"/>
        <v>-1.326951587</v>
      </c>
      <c r="O48" s="20">
        <f>IFERROR(F61/D61-1,0)
</f>
        <v>-0.02964736876</v>
      </c>
      <c r="P48" s="20">
        <f t="shared" si="36"/>
        <v>0.4942825364</v>
      </c>
      <c r="Q48" s="20">
        <f>IFERROR(H61/F61-1,0)
</f>
        <v>-0.04430154539</v>
      </c>
    </row>
    <row r="49">
      <c r="A49" s="131" t="s">
        <v>60</v>
      </c>
      <c r="B49" s="202">
        <f>SUM(B31,B35,B42,B46,B38)</f>
        <v>6977932</v>
      </c>
      <c r="C49" s="20">
        <f>IFERROR(SUM((D49/B49)-1),0)</f>
        <v>0.581179209</v>
      </c>
      <c r="D49" s="202">
        <f>SUM(D31,D35,D42,D46,D38)</f>
        <v>11033361</v>
      </c>
      <c r="E49" s="20">
        <f>IFERROR(SUM((F49/D49)-1),0)</f>
        <v>-0.3137369474</v>
      </c>
      <c r="F49" s="202">
        <f>SUM(F31,F35,F42,F46,F38)</f>
        <v>7571788</v>
      </c>
      <c r="G49" s="20">
        <f>IFERROR(SUM((H49/F49)-1),0)</f>
        <v>0.6790357839</v>
      </c>
      <c r="H49" s="202">
        <f>SUM(H31,H35,H42,H46,H38)</f>
        <v>12713303</v>
      </c>
      <c r="O49" s="9"/>
      <c r="Q49" s="22"/>
      <c r="R49" s="22"/>
      <c r="S49" s="22"/>
      <c r="T49" s="22"/>
      <c r="U49" s="22"/>
      <c r="V49" s="22"/>
    </row>
    <row r="50">
      <c r="A50" s="56"/>
      <c r="B50" s="57"/>
      <c r="C50" s="58"/>
      <c r="D50" s="57"/>
      <c r="E50" s="58"/>
      <c r="F50" s="57"/>
      <c r="G50" s="58"/>
      <c r="H50" s="57"/>
      <c r="J50" s="22"/>
      <c r="K50" s="22"/>
      <c r="L50" s="22"/>
      <c r="M50" s="22"/>
      <c r="N50" s="22"/>
      <c r="O50" s="255"/>
      <c r="Q50" s="21"/>
      <c r="R50" s="22"/>
      <c r="S50" s="22"/>
      <c r="T50" s="22"/>
      <c r="U50" s="22"/>
      <c r="V50" s="22"/>
    </row>
    <row r="51" ht="22.5" customHeight="1">
      <c r="A51" s="9" t="s">
        <v>552</v>
      </c>
      <c r="B51" s="27">
        <v>6269692.0</v>
      </c>
      <c r="C51" s="20">
        <f t="shared" ref="C51:C56" si="40">IFERROR(SUM((D51/B51)-1),0)</f>
        <v>0</v>
      </c>
      <c r="D51" s="27">
        <v>6269692.0</v>
      </c>
      <c r="E51" s="20">
        <f t="shared" ref="E51:E56" si="41">IFERROR(SUM((F51/D51)-1),0)</f>
        <v>0</v>
      </c>
      <c r="F51" s="27">
        <v>6269692.0</v>
      </c>
      <c r="G51" s="20">
        <f t="shared" ref="G51:G56" si="42">IFERROR(SUM((H51/F51)-1),0)</f>
        <v>0</v>
      </c>
      <c r="H51" s="27">
        <v>6269692.0</v>
      </c>
      <c r="J51" s="82" t="s">
        <v>104</v>
      </c>
      <c r="K51" s="82" t="s">
        <v>105</v>
      </c>
      <c r="L51" s="82" t="s">
        <v>11</v>
      </c>
      <c r="M51" s="82" t="s">
        <v>106</v>
      </c>
      <c r="N51" s="82" t="s">
        <v>107</v>
      </c>
      <c r="O51" s="256" t="s">
        <v>108</v>
      </c>
      <c r="Q51" s="107"/>
      <c r="R51" s="107"/>
      <c r="S51" s="107"/>
      <c r="T51" s="107"/>
      <c r="U51" s="107"/>
      <c r="V51" s="107"/>
    </row>
    <row r="52" ht="22.5" customHeight="1">
      <c r="A52" s="9" t="s">
        <v>366</v>
      </c>
      <c r="B52" s="27">
        <v>690.0</v>
      </c>
      <c r="C52" s="20">
        <f t="shared" si="40"/>
        <v>0</v>
      </c>
      <c r="D52" s="27">
        <v>690.0</v>
      </c>
      <c r="E52" s="20">
        <f t="shared" si="41"/>
        <v>-0.1115942029</v>
      </c>
      <c r="F52" s="27">
        <v>613.0</v>
      </c>
      <c r="G52" s="20">
        <f t="shared" si="42"/>
        <v>0</v>
      </c>
      <c r="H52" s="27">
        <v>613.0</v>
      </c>
      <c r="J52" s="87" t="s">
        <v>112</v>
      </c>
      <c r="K52" s="88">
        <f>K2</f>
        <v>40.85</v>
      </c>
      <c r="L52" s="89">
        <v>1.0</v>
      </c>
      <c r="M52" s="90">
        <f>K57</f>
        <v>9017329000</v>
      </c>
      <c r="N52" s="91"/>
      <c r="O52" s="92">
        <v>3.0</v>
      </c>
      <c r="Q52" s="107"/>
      <c r="R52" s="107"/>
      <c r="S52" s="107"/>
      <c r="T52" s="107"/>
      <c r="U52" s="107"/>
      <c r="V52" s="107"/>
    </row>
    <row r="53" ht="22.5" customHeight="1">
      <c r="A53" s="9" t="s">
        <v>367</v>
      </c>
      <c r="B53" s="27">
        <v>4475377.0</v>
      </c>
      <c r="C53" s="20">
        <f t="shared" si="40"/>
        <v>0</v>
      </c>
      <c r="D53" s="27">
        <v>4475377.0</v>
      </c>
      <c r="E53" s="20">
        <f t="shared" si="41"/>
        <v>0.3494257579</v>
      </c>
      <c r="F53" s="27">
        <v>6039189.0</v>
      </c>
      <c r="G53" s="20">
        <f t="shared" si="42"/>
        <v>0.0495460566</v>
      </c>
      <c r="H53" s="27">
        <v>6338407.0</v>
      </c>
      <c r="J53" s="97" t="s">
        <v>10</v>
      </c>
      <c r="K53" s="98">
        <f>L2</f>
        <v>1941400000</v>
      </c>
      <c r="L53" s="99">
        <v>2.0</v>
      </c>
      <c r="M53" s="100">
        <f t="shared" ref="M53:M58" si="43">M52*(1+O52/100)</f>
        <v>9287848870</v>
      </c>
      <c r="N53" s="100">
        <f>M53/(1+K58)^L52</f>
        <v>8119458755</v>
      </c>
      <c r="O53" s="92">
        <v>3.0</v>
      </c>
      <c r="Q53" s="107"/>
      <c r="R53" s="107"/>
      <c r="S53" s="107"/>
      <c r="T53" s="107"/>
      <c r="U53" s="107"/>
      <c r="V53" s="107"/>
    </row>
    <row r="54" ht="22.5" customHeight="1">
      <c r="A54" s="9" t="s">
        <v>557</v>
      </c>
      <c r="B54" s="27">
        <v>-4815.0</v>
      </c>
      <c r="C54" s="20">
        <f t="shared" si="40"/>
        <v>0</v>
      </c>
      <c r="D54" s="27">
        <v>-4815.0</v>
      </c>
      <c r="E54" s="20">
        <f t="shared" si="41"/>
        <v>387.1441329</v>
      </c>
      <c r="F54" s="27">
        <v>-1868914.0</v>
      </c>
      <c r="G54" s="20">
        <f t="shared" si="42"/>
        <v>0</v>
      </c>
      <c r="H54" s="27">
        <v>-1868914.0</v>
      </c>
      <c r="J54" s="87" t="s">
        <v>116</v>
      </c>
      <c r="K54" s="88">
        <f>K52*K53</f>
        <v>79306190000</v>
      </c>
      <c r="L54" s="89">
        <v>3.0</v>
      </c>
      <c r="M54" s="100">
        <f t="shared" si="43"/>
        <v>9566484336</v>
      </c>
      <c r="N54" s="90">
        <f>M54/(1+K58)^L53</f>
        <v>7310990924</v>
      </c>
      <c r="O54" s="92">
        <v>3.0</v>
      </c>
      <c r="Q54" s="107"/>
      <c r="R54" s="107"/>
      <c r="S54" s="107"/>
      <c r="T54" s="107"/>
      <c r="U54" s="107"/>
      <c r="V54" s="107"/>
    </row>
    <row r="55" ht="22.5" customHeight="1">
      <c r="A55" s="9" t="s">
        <v>560</v>
      </c>
      <c r="B55" s="27">
        <v>-239341.0</v>
      </c>
      <c r="C55" s="20">
        <f t="shared" si="40"/>
        <v>1.309541616</v>
      </c>
      <c r="D55" s="27">
        <v>-552768.0</v>
      </c>
      <c r="E55" s="20">
        <f t="shared" si="41"/>
        <v>-0.06437420401</v>
      </c>
      <c r="F55" s="27">
        <v>-517184.0</v>
      </c>
      <c r="G55" s="20">
        <f t="shared" si="42"/>
        <v>-0.3128074341</v>
      </c>
      <c r="H55" s="27">
        <v>-355405.0</v>
      </c>
      <c r="J55" s="97"/>
      <c r="K55" s="92"/>
      <c r="L55" s="99">
        <v>4.0</v>
      </c>
      <c r="M55" s="100">
        <f t="shared" si="43"/>
        <v>9853478866</v>
      </c>
      <c r="N55" s="100">
        <f>M55/(1+K58)^L54</f>
        <v>6583023561</v>
      </c>
      <c r="O55" s="92">
        <v>3.0</v>
      </c>
      <c r="Q55" s="107"/>
      <c r="R55" s="107"/>
      <c r="S55" s="107"/>
      <c r="T55" s="107"/>
      <c r="U55" s="107"/>
      <c r="V55" s="107"/>
    </row>
    <row r="56" ht="22.5" customHeight="1">
      <c r="A56" s="9" t="s">
        <v>564</v>
      </c>
      <c r="B56" s="27">
        <v>2139486.0</v>
      </c>
      <c r="C56" s="20">
        <f t="shared" si="40"/>
        <v>-0.6718048167</v>
      </c>
      <c r="D56" s="27">
        <v>702169.0</v>
      </c>
      <c r="E56" s="20">
        <f t="shared" si="41"/>
        <v>3.196204902</v>
      </c>
      <c r="F56" s="27">
        <v>2946445.0</v>
      </c>
      <c r="G56" s="20">
        <f t="shared" si="42"/>
        <v>-1</v>
      </c>
      <c r="H56" s="27">
        <v>0.0</v>
      </c>
      <c r="J56" s="87" t="s">
        <v>120</v>
      </c>
      <c r="K56" s="105">
        <v>0.04</v>
      </c>
      <c r="L56" s="89">
        <v>5.0</v>
      </c>
      <c r="M56" s="100">
        <f t="shared" si="43"/>
        <v>10149083232</v>
      </c>
      <c r="N56" s="90">
        <f>M56/(1+K58)^L55</f>
        <v>5927541103</v>
      </c>
      <c r="O56" s="92">
        <v>3.0</v>
      </c>
      <c r="Q56" s="107"/>
      <c r="R56" s="107"/>
      <c r="S56" s="107"/>
      <c r="T56" s="107"/>
      <c r="U56" s="107"/>
      <c r="V56" s="107"/>
    </row>
    <row r="57" ht="22.5" customHeight="1">
      <c r="J57" s="259" t="s">
        <v>480</v>
      </c>
      <c r="K57" s="98">
        <f>K26</f>
        <v>9017329000</v>
      </c>
      <c r="L57" s="99">
        <v>6.0</v>
      </c>
      <c r="M57" s="100">
        <f t="shared" si="43"/>
        <v>10453555729</v>
      </c>
      <c r="N57" s="100">
        <f>M57/(1+K58)^L56</f>
        <v>5337326109</v>
      </c>
      <c r="O57" s="92">
        <v>3.0</v>
      </c>
      <c r="Q57" s="107"/>
      <c r="R57" s="107"/>
      <c r="S57" s="107"/>
      <c r="T57" s="107"/>
      <c r="U57" s="107"/>
      <c r="V57" s="107"/>
    </row>
    <row r="58" ht="22.5" customHeight="1">
      <c r="A58" s="131" t="s">
        <v>92</v>
      </c>
      <c r="B58" s="202">
        <f>SUM(B51:B56)</f>
        <v>12641089</v>
      </c>
      <c r="C58" s="20">
        <f>IFERROR(SUM((D58/B58)-1),0)</f>
        <v>-0.1384962957</v>
      </c>
      <c r="D58" s="202">
        <f>SUM(D51:D56)</f>
        <v>10890345</v>
      </c>
      <c r="E58" s="20">
        <f>IFERROR(SUM((F58/D58)-1),0)</f>
        <v>0.1817661424</v>
      </c>
      <c r="F58" s="202">
        <f>SUM(F51:F56)</f>
        <v>12869841</v>
      </c>
      <c r="G58" s="20">
        <f>IFERROR(SUM((H58/F58)-1),0)</f>
        <v>-0.1931218886</v>
      </c>
      <c r="H58" s="202">
        <f>SUM(H51:H56)</f>
        <v>10384393</v>
      </c>
      <c r="J58" s="110" t="s">
        <v>125</v>
      </c>
      <c r="K58" s="105">
        <f>O6</f>
        <v>0.1439</v>
      </c>
      <c r="L58" s="89">
        <v>7.0</v>
      </c>
      <c r="M58" s="100">
        <f t="shared" si="43"/>
        <v>10767162401</v>
      </c>
      <c r="N58" s="90">
        <f>M58/(1+K58)^L57</f>
        <v>4805879791</v>
      </c>
      <c r="O58" s="92"/>
      <c r="Q58" s="22"/>
      <c r="R58" s="22"/>
      <c r="S58" s="22"/>
      <c r="T58" s="22"/>
      <c r="U58" s="22"/>
      <c r="V58" s="22"/>
    </row>
    <row r="59" ht="22.5" customHeight="1">
      <c r="A59" s="80"/>
      <c r="B59" s="80"/>
      <c r="C59" s="80"/>
      <c r="D59" s="80"/>
      <c r="E59" s="80"/>
      <c r="F59" s="80"/>
      <c r="G59" s="80"/>
      <c r="H59" s="80"/>
      <c r="J59" s="97" t="s">
        <v>128</v>
      </c>
      <c r="K59" s="98">
        <f>K60/K53</f>
        <v>41.27833911</v>
      </c>
      <c r="L59" s="99" t="s">
        <v>131</v>
      </c>
      <c r="M59" s="100">
        <f>IFERROR( M58 * (1 + K56) / (K58  -K56  ), 0 )
</f>
        <v>107775254062</v>
      </c>
      <c r="N59" s="100">
        <f>M59/(1+K58)^L58</f>
        <v>42053547307</v>
      </c>
      <c r="O59" s="92"/>
    </row>
    <row r="60" ht="22.5" customHeight="1">
      <c r="A60" s="81" t="s">
        <v>345</v>
      </c>
      <c r="B60" s="22" t="s">
        <v>12</v>
      </c>
      <c r="C60" s="22" t="s">
        <v>13</v>
      </c>
      <c r="D60" s="22" t="s">
        <v>14</v>
      </c>
      <c r="E60" s="22" t="s">
        <v>15</v>
      </c>
      <c r="F60" s="22" t="s">
        <v>16</v>
      </c>
      <c r="G60" s="22" t="s">
        <v>17</v>
      </c>
      <c r="H60" s="22" t="s">
        <v>18</v>
      </c>
      <c r="J60" s="87" t="s">
        <v>136</v>
      </c>
      <c r="K60" s="88">
        <f>N60</f>
        <v>80137767550</v>
      </c>
      <c r="L60" s="116"/>
      <c r="M60" s="90"/>
      <c r="N60" s="90">
        <f>SUM(N52:N59)</f>
        <v>80137767550</v>
      </c>
      <c r="O60" s="92"/>
      <c r="Q60" s="107"/>
      <c r="R60" s="107"/>
    </row>
    <row r="61">
      <c r="A61" s="261" t="s">
        <v>571</v>
      </c>
      <c r="B61" s="132">
        <f>SUM(B62:B64)</f>
        <v>2440334</v>
      </c>
      <c r="C61" s="19">
        <f t="shared" ref="C61:C64" si="44">IFERROR(SUM((D61/B61)-1),0)</f>
        <v>0.09067816127</v>
      </c>
      <c r="D61" s="132">
        <f>SUM(D62:D64)</f>
        <v>2661619</v>
      </c>
      <c r="E61" s="19">
        <f t="shared" ref="E61:E64" si="45">IFERROR(SUM((F61/D61)-1),0)</f>
        <v>-0.02964736876</v>
      </c>
      <c r="F61" s="132">
        <f>SUM(F62:F64)</f>
        <v>2582709</v>
      </c>
      <c r="G61" s="19">
        <f t="shared" ref="G61:G64" si="46">IFERROR(SUM((H61/F61)-1),0)</f>
        <v>-0.04430154539</v>
      </c>
      <c r="H61" s="132">
        <f>SUM(H62:H64)</f>
        <v>2468291</v>
      </c>
      <c r="Q61" s="107"/>
      <c r="R61" s="107"/>
    </row>
    <row r="62">
      <c r="A62" s="51" t="s">
        <v>578</v>
      </c>
      <c r="B62" s="27">
        <v>1228303.0</v>
      </c>
      <c r="C62" s="19">
        <f t="shared" si="44"/>
        <v>0.213308117</v>
      </c>
      <c r="D62" s="27">
        <v>1490310.0</v>
      </c>
      <c r="E62" s="19">
        <f t="shared" si="45"/>
        <v>-0.1124242607</v>
      </c>
      <c r="F62" s="27">
        <v>1322763.0</v>
      </c>
      <c r="G62" s="19">
        <f t="shared" si="46"/>
        <v>-0.01755492103</v>
      </c>
      <c r="H62" s="27">
        <f t="shared" ref="H62:H64" si="47">IFERROR(B88- SUM(B62,D62,F62),"")</f>
        <v>1299542</v>
      </c>
      <c r="Q62" s="107"/>
      <c r="R62" s="107"/>
    </row>
    <row r="63" ht="22.5" customHeight="1">
      <c r="A63" s="51" t="s">
        <v>582</v>
      </c>
      <c r="B63" s="27">
        <v>1256941.0</v>
      </c>
      <c r="C63" s="19">
        <f t="shared" si="44"/>
        <v>-0.03391408189</v>
      </c>
      <c r="D63" s="27">
        <v>1214313.0</v>
      </c>
      <c r="E63" s="19">
        <f t="shared" si="45"/>
        <v>0.07894093203</v>
      </c>
      <c r="F63" s="27">
        <v>1310172.0</v>
      </c>
      <c r="G63" s="19">
        <f t="shared" si="46"/>
        <v>-0.07407653346</v>
      </c>
      <c r="H63" s="27">
        <f t="shared" si="47"/>
        <v>1213119</v>
      </c>
      <c r="J63" s="84" t="s">
        <v>11</v>
      </c>
      <c r="K63" s="102" t="s">
        <v>110</v>
      </c>
      <c r="Q63" s="107"/>
      <c r="R63" s="107"/>
    </row>
    <row r="64" ht="22.5" customHeight="1">
      <c r="A64" s="51" t="s">
        <v>583</v>
      </c>
      <c r="B64" s="27">
        <v>-44910.0</v>
      </c>
      <c r="C64" s="19">
        <f t="shared" si="44"/>
        <v>-0.04244043643</v>
      </c>
      <c r="D64" s="27">
        <v>-43004.0</v>
      </c>
      <c r="E64" s="19">
        <f t="shared" si="45"/>
        <v>0.1679378662</v>
      </c>
      <c r="F64" s="27">
        <v>-50226.0</v>
      </c>
      <c r="G64" s="19">
        <f t="shared" si="46"/>
        <v>-0.1165929996</v>
      </c>
      <c r="H64" s="27">
        <f t="shared" si="47"/>
        <v>-44370</v>
      </c>
      <c r="J64" s="103">
        <v>0.0</v>
      </c>
      <c r="K64" s="104">
        <f>-K5</f>
        <v>-79306190000</v>
      </c>
      <c r="Q64" s="107"/>
      <c r="R64" s="107"/>
    </row>
    <row r="65" ht="22.5" customHeight="1">
      <c r="J65" s="103">
        <v>1.0</v>
      </c>
      <c r="K65" s="106">
        <f t="shared" ref="K65:K69" si="48">M53</f>
        <v>9287848870</v>
      </c>
      <c r="Q65" s="107"/>
      <c r="R65" s="107"/>
    </row>
    <row r="66" ht="22.5" customHeight="1">
      <c r="A66" s="131" t="s">
        <v>585</v>
      </c>
      <c r="B66" s="202">
        <f>SUM(B67:B71)</f>
        <v>-54800</v>
      </c>
      <c r="C66" s="20">
        <f t="shared" ref="C66:C71" si="49">IFERROR(SUM((D66/B66)-1),0)</f>
        <v>0.05001824818</v>
      </c>
      <c r="D66" s="202">
        <f>SUM(D67:D71)</f>
        <v>-57541</v>
      </c>
      <c r="E66" s="20">
        <f t="shared" ref="E66:E71" si="50">IFERROR(SUM((F66/D66)-1),0)</f>
        <v>0.01079230462</v>
      </c>
      <c r="F66" s="202">
        <f>SUM(F67:F71)</f>
        <v>-58162</v>
      </c>
      <c r="G66" s="20">
        <f t="shared" ref="G66:G71" si="51">IFERROR(SUM((H66/F66)-1),0)</f>
        <v>1.006155222</v>
      </c>
      <c r="H66" s="202">
        <f>SUM(H67:H71)</f>
        <v>-116682</v>
      </c>
      <c r="J66" s="103">
        <v>2.0</v>
      </c>
      <c r="K66" s="106">
        <f t="shared" si="48"/>
        <v>9566484336</v>
      </c>
    </row>
    <row r="67" ht="22.5" customHeight="1">
      <c r="A67" s="9" t="s">
        <v>587</v>
      </c>
      <c r="B67" s="27">
        <v>-23752.0</v>
      </c>
      <c r="C67" s="20">
        <f t="shared" si="49"/>
        <v>0.09342371169</v>
      </c>
      <c r="D67" s="27">
        <v>-25971.0</v>
      </c>
      <c r="E67" s="20">
        <f t="shared" si="50"/>
        <v>-0.09260328828</v>
      </c>
      <c r="F67" s="27">
        <v>-23566.0</v>
      </c>
      <c r="G67" s="20">
        <f t="shared" si="51"/>
        <v>0.1174573538</v>
      </c>
      <c r="H67" s="27">
        <f t="shared" ref="H67:H71" si="52">IFERROR(B93- SUM(B67,D67,F67),"")</f>
        <v>-26334</v>
      </c>
      <c r="J67" s="103">
        <v>3.0</v>
      </c>
      <c r="K67" s="106">
        <f t="shared" si="48"/>
        <v>9853478866</v>
      </c>
    </row>
    <row r="68" ht="22.5" customHeight="1">
      <c r="A68" s="9" t="s">
        <v>588</v>
      </c>
      <c r="B68" s="27">
        <v>-13828.0</v>
      </c>
      <c r="C68" s="20">
        <f t="shared" si="49"/>
        <v>0.158374313</v>
      </c>
      <c r="D68" s="27">
        <v>-16018.0</v>
      </c>
      <c r="E68" s="20">
        <f t="shared" si="50"/>
        <v>0.0672992883</v>
      </c>
      <c r="F68" s="27">
        <v>-17096.0</v>
      </c>
      <c r="G68" s="20">
        <f t="shared" si="51"/>
        <v>2.937763219</v>
      </c>
      <c r="H68" s="27">
        <f t="shared" si="52"/>
        <v>-67320</v>
      </c>
      <c r="J68" s="93">
        <v>4.0</v>
      </c>
      <c r="K68" s="106">
        <f t="shared" si="48"/>
        <v>10149083232</v>
      </c>
    </row>
    <row r="69" ht="22.5" customHeight="1">
      <c r="A69" s="9" t="s">
        <v>412</v>
      </c>
      <c r="B69" s="27">
        <v>-20870.0</v>
      </c>
      <c r="C69" s="20">
        <f t="shared" si="49"/>
        <v>-0.3711068519</v>
      </c>
      <c r="D69" s="27">
        <v>-13125.0</v>
      </c>
      <c r="E69" s="20">
        <f t="shared" si="50"/>
        <v>0.1676190476</v>
      </c>
      <c r="F69" s="27">
        <v>-15325.0</v>
      </c>
      <c r="G69" s="20">
        <f t="shared" si="51"/>
        <v>0.5308319739</v>
      </c>
      <c r="H69" s="27">
        <f t="shared" si="52"/>
        <v>-23460</v>
      </c>
      <c r="J69" s="93">
        <v>5.0</v>
      </c>
      <c r="K69" s="106">
        <f t="shared" si="48"/>
        <v>10453555729</v>
      </c>
    </row>
    <row r="70" ht="22.5" customHeight="1">
      <c r="A70" s="9" t="s">
        <v>589</v>
      </c>
      <c r="B70" s="27">
        <v>9288.0</v>
      </c>
      <c r="C70" s="20">
        <f t="shared" si="49"/>
        <v>-0.2406330749</v>
      </c>
      <c r="D70" s="27">
        <v>7053.0</v>
      </c>
      <c r="E70" s="20">
        <f t="shared" si="50"/>
        <v>-0.08889834113</v>
      </c>
      <c r="F70" s="27">
        <v>6426.0</v>
      </c>
      <c r="G70" s="20">
        <f t="shared" si="51"/>
        <v>-0.03470277</v>
      </c>
      <c r="H70" s="27">
        <f t="shared" si="52"/>
        <v>6203</v>
      </c>
      <c r="J70" s="93">
        <v>6.0</v>
      </c>
      <c r="K70" s="106">
        <f>M58+M59</f>
        <v>118542416463</v>
      </c>
    </row>
    <row r="71" ht="22.5" customHeight="1">
      <c r="A71" s="9" t="s">
        <v>590</v>
      </c>
      <c r="B71" s="27">
        <v>-5638.0</v>
      </c>
      <c r="C71" s="20">
        <f t="shared" si="49"/>
        <v>0.6814473217</v>
      </c>
      <c r="D71" s="27">
        <v>-9480.0</v>
      </c>
      <c r="E71" s="20">
        <f t="shared" si="50"/>
        <v>-0.09272151899</v>
      </c>
      <c r="F71" s="27">
        <v>-8601.0</v>
      </c>
      <c r="G71" s="20">
        <f t="shared" si="51"/>
        <v>-0.329031508</v>
      </c>
      <c r="H71" s="27">
        <f t="shared" si="52"/>
        <v>-5771</v>
      </c>
      <c r="J71" s="93" t="s">
        <v>132</v>
      </c>
      <c r="K71" s="119">
        <f>IFERROR(IRR(K64:K70),0)</f>
        <v>0.1641950504</v>
      </c>
    </row>
    <row r="73">
      <c r="A73" s="261" t="s">
        <v>591</v>
      </c>
      <c r="B73" s="234">
        <f>SUM(B61,B66)</f>
        <v>2385534</v>
      </c>
      <c r="C73" s="19">
        <f>IFERROR(SUM((D73/B73)-1),0)</f>
        <v>0.09161219249</v>
      </c>
      <c r="D73" s="234">
        <f>SUM(D61,D66)</f>
        <v>2604078</v>
      </c>
      <c r="E73" s="19">
        <f>IFERROR(SUM((F73/D73)-1),0)</f>
        <v>-0.03054094386</v>
      </c>
      <c r="F73" s="234">
        <f>SUM(F61,F66)</f>
        <v>2524547</v>
      </c>
      <c r="G73" s="19">
        <f>IFERROR(SUM((H73/F73)-1),0)</f>
        <v>-0.0685025868</v>
      </c>
      <c r="H73" s="234">
        <f>SUM(H61,H66)</f>
        <v>2351609</v>
      </c>
    </row>
    <row r="75">
      <c r="A75" s="261" t="s">
        <v>138</v>
      </c>
      <c r="B75" s="234">
        <f>SUM(B76:B77)</f>
        <v>219520</v>
      </c>
      <c r="C75" s="258">
        <f t="shared" ref="C75:C77" si="53">IFERROR(SUM((D75/B75)-1),0)</f>
        <v>0.2712235787</v>
      </c>
      <c r="D75" s="234">
        <f>SUM(D76:D77)</f>
        <v>279059</v>
      </c>
      <c r="E75" s="258">
        <f t="shared" ref="E75:E77" si="54">IFERROR(SUM((F75/D75)-1),0)</f>
        <v>0.1622739277</v>
      </c>
      <c r="F75" s="234">
        <f>SUM(F76:F77)</f>
        <v>324343</v>
      </c>
      <c r="G75" s="258">
        <f t="shared" ref="G75:G77" si="55">IFERROR(SUM((H75/F75)-1),0)</f>
        <v>-0.22095436</v>
      </c>
      <c r="H75" s="234">
        <f>SUM(H76:H77)</f>
        <v>252678</v>
      </c>
    </row>
    <row r="76">
      <c r="A76" s="51" t="s">
        <v>593</v>
      </c>
      <c r="B76" s="27">
        <v>352852.0</v>
      </c>
      <c r="C76" s="19">
        <f t="shared" si="53"/>
        <v>-0.2065965334</v>
      </c>
      <c r="D76" s="27">
        <v>279954.0</v>
      </c>
      <c r="E76" s="19">
        <f t="shared" si="54"/>
        <v>0.1615658287</v>
      </c>
      <c r="F76" s="27">
        <v>325185.0</v>
      </c>
      <c r="G76" s="19">
        <f t="shared" si="55"/>
        <v>-0.3355935852</v>
      </c>
      <c r="H76" s="27">
        <f t="shared" ref="H76:H77" si="56">IFERROR(B102- SUM(B76,D76,F76),"")</f>
        <v>216055</v>
      </c>
    </row>
    <row r="77">
      <c r="A77" s="9" t="s">
        <v>595</v>
      </c>
      <c r="B77" s="27">
        <v>-133332.0</v>
      </c>
      <c r="C77" s="19">
        <f t="shared" si="53"/>
        <v>-0.9932874329</v>
      </c>
      <c r="D77" s="27">
        <v>-895.0</v>
      </c>
      <c r="E77" s="19">
        <f t="shared" si="54"/>
        <v>-0.05921787709</v>
      </c>
      <c r="F77" s="27">
        <v>-842.0</v>
      </c>
      <c r="G77" s="19">
        <f t="shared" si="55"/>
        <v>-44.49524941</v>
      </c>
      <c r="H77" s="27">
        <f t="shared" si="56"/>
        <v>36623</v>
      </c>
      <c r="K77" s="9"/>
      <c r="L77" s="192"/>
      <c r="M77" s="51"/>
    </row>
    <row r="78">
      <c r="J78" s="79"/>
      <c r="K78" s="50"/>
      <c r="L78" s="19"/>
      <c r="M78" s="28"/>
      <c r="R78" s="19"/>
      <c r="S78" s="27"/>
      <c r="T78" s="19"/>
      <c r="U78" s="27"/>
      <c r="V78" s="19"/>
    </row>
    <row r="79">
      <c r="A79" s="261" t="s">
        <v>596</v>
      </c>
      <c r="B79" s="234">
        <f>SUM(B73,B75)</f>
        <v>2605054</v>
      </c>
      <c r="C79" s="19">
        <f>IFERROR(SUM((D79/B79)-1),0)</f>
        <v>0.1067474993</v>
      </c>
      <c r="D79" s="234">
        <f>SUM(D73,D75)</f>
        <v>2883137</v>
      </c>
      <c r="E79" s="19">
        <f>IFERROR(SUM((F79/D79)-1),0)</f>
        <v>-0.01187838108</v>
      </c>
      <c r="F79" s="234">
        <f>SUM(F73,F75)</f>
        <v>2848890</v>
      </c>
      <c r="G79" s="19">
        <f>IFERROR(SUM((H79/F79)-1),0)</f>
        <v>-0.08585905388</v>
      </c>
      <c r="H79" s="234">
        <f>SUM(H73,H75)</f>
        <v>2604287</v>
      </c>
      <c r="J79" s="22"/>
      <c r="K79" s="50"/>
      <c r="L79" s="19"/>
      <c r="M79" s="28"/>
      <c r="O79" s="22"/>
    </row>
    <row r="80">
      <c r="A80" s="79"/>
      <c r="B80" s="232" t="str">
        <f>B135</f>
        <v/>
      </c>
      <c r="C80" s="118"/>
      <c r="D80" s="232"/>
      <c r="E80" s="118"/>
      <c r="F80" s="232"/>
      <c r="G80" s="118"/>
      <c r="H80" s="232"/>
      <c r="O80" s="22"/>
      <c r="R80" s="19"/>
      <c r="S80" s="255"/>
      <c r="T80" s="19"/>
      <c r="U80" s="255"/>
      <c r="V80" s="19"/>
    </row>
    <row r="81">
      <c r="A81" s="261" t="s">
        <v>600</v>
      </c>
      <c r="B81" s="234">
        <f>B82</f>
        <v>-465617</v>
      </c>
      <c r="C81" s="19">
        <f t="shared" ref="C81:C82" si="57">IFERROR(SUM((D81/B81)-1),0)</f>
        <v>0.0102831297</v>
      </c>
      <c r="D81" s="234">
        <f>D82</f>
        <v>-470405</v>
      </c>
      <c r="E81" s="19">
        <f t="shared" ref="E81:E82" si="58">IFERROR(SUM((F81/D81)-1),0)</f>
        <v>0.09383403663</v>
      </c>
      <c r="F81" s="234">
        <f>F82</f>
        <v>-514545</v>
      </c>
      <c r="G81" s="19">
        <f t="shared" ref="G81:G82" si="59">IFERROR(SUM((H81/F81)-1),0)</f>
        <v>-0.07982392211</v>
      </c>
      <c r="H81" s="234">
        <f>H82</f>
        <v>-473472</v>
      </c>
      <c r="J81" s="22"/>
      <c r="L81" s="19"/>
      <c r="M81" s="28"/>
      <c r="O81" s="22"/>
      <c r="P81" s="22"/>
      <c r="Q81" s="32"/>
      <c r="R81" s="19"/>
      <c r="T81" s="19"/>
      <c r="V81" s="50"/>
    </row>
    <row r="82">
      <c r="A82" s="51" t="s">
        <v>602</v>
      </c>
      <c r="B82" s="255">
        <v>-465617.0</v>
      </c>
      <c r="C82" s="19">
        <f t="shared" si="57"/>
        <v>0.0102831297</v>
      </c>
      <c r="D82" s="255">
        <v>-470405.0</v>
      </c>
      <c r="E82" s="19">
        <f t="shared" si="58"/>
        <v>0.09383403663</v>
      </c>
      <c r="F82" s="255">
        <v>-514545.0</v>
      </c>
      <c r="G82" s="19">
        <f t="shared" si="59"/>
        <v>-0.07982392211</v>
      </c>
      <c r="H82" s="27">
        <f>IFERROR(B108- SUM(B82,D82,F82),"")</f>
        <v>-473472</v>
      </c>
      <c r="J82" s="22"/>
      <c r="K82" s="9"/>
      <c r="V82" s="19"/>
    </row>
    <row r="83">
      <c r="J83" s="22"/>
      <c r="K83" s="50"/>
      <c r="V83" s="19"/>
    </row>
    <row r="84">
      <c r="A84" s="233" t="s">
        <v>424</v>
      </c>
      <c r="B84" s="202">
        <f>SUM(B79,B81)</f>
        <v>2139437</v>
      </c>
      <c r="C84" s="19">
        <f>IFERROR(SUM((D84/B84)-1),0)</f>
        <v>0.1277415507</v>
      </c>
      <c r="D84" s="202">
        <f>SUM(D79,D81)</f>
        <v>2412732</v>
      </c>
      <c r="E84" s="19">
        <f>IFERROR(SUM((F84/D84)-1),0)</f>
        <v>-0.0324888964</v>
      </c>
      <c r="F84" s="202">
        <f>SUM(F79,F81)</f>
        <v>2334345</v>
      </c>
      <c r="G84" s="19">
        <f>IFERROR(SUM((H84/F84)-1),0)</f>
        <v>-0.08718934005</v>
      </c>
      <c r="H84" s="202">
        <f>SUM(H79,H81)</f>
        <v>2130815</v>
      </c>
      <c r="J84" s="22"/>
      <c r="K84" s="19"/>
      <c r="V84" s="19"/>
    </row>
    <row r="85">
      <c r="A85" s="238"/>
      <c r="B85" s="238"/>
      <c r="C85" s="238"/>
      <c r="D85" s="238"/>
      <c r="E85" s="238"/>
      <c r="F85" s="238"/>
      <c r="G85" s="238"/>
      <c r="H85" s="80"/>
    </row>
    <row r="86">
      <c r="A86" s="81" t="s">
        <v>230</v>
      </c>
    </row>
    <row r="87">
      <c r="A87" s="261" t="s">
        <v>571</v>
      </c>
      <c r="B87" s="132">
        <f>SUM(B88:B90)</f>
        <v>10152953</v>
      </c>
      <c r="V87" s="19"/>
    </row>
    <row r="88">
      <c r="A88" s="51" t="s">
        <v>578</v>
      </c>
      <c r="B88" s="27">
        <v>5340918.0</v>
      </c>
    </row>
    <row r="89">
      <c r="A89" s="51" t="s">
        <v>582</v>
      </c>
      <c r="B89" s="27">
        <v>4994545.0</v>
      </c>
      <c r="F89" s="232"/>
    </row>
    <row r="90">
      <c r="A90" s="51" t="s">
        <v>583</v>
      </c>
      <c r="B90" s="27">
        <v>-182510.0</v>
      </c>
      <c r="F90" s="232"/>
      <c r="G90" s="19"/>
      <c r="H90" s="255"/>
      <c r="J90" s="51"/>
      <c r="K90" s="19"/>
      <c r="V90" s="19"/>
    </row>
    <row r="91">
      <c r="F91" s="232"/>
      <c r="G91" s="118"/>
      <c r="H91" s="232"/>
      <c r="I91" s="20"/>
      <c r="V91" s="19"/>
    </row>
    <row r="92">
      <c r="A92" s="131" t="s">
        <v>585</v>
      </c>
      <c r="B92" s="202">
        <f>SUM(B93:B97)</f>
        <v>-287185</v>
      </c>
      <c r="F92" s="232"/>
      <c r="G92" s="19"/>
      <c r="H92" s="255"/>
      <c r="I92" s="20"/>
    </row>
    <row r="93">
      <c r="A93" s="9" t="s">
        <v>587</v>
      </c>
      <c r="B93" s="27">
        <v>-99623.0</v>
      </c>
      <c r="G93" s="118"/>
      <c r="H93" s="232"/>
      <c r="I93" s="20"/>
    </row>
    <row r="94">
      <c r="A94" s="9" t="s">
        <v>588</v>
      </c>
      <c r="B94" s="27">
        <v>-114262.0</v>
      </c>
      <c r="I94" s="20"/>
      <c r="O94" s="29"/>
    </row>
    <row r="95">
      <c r="A95" s="9" t="s">
        <v>412</v>
      </c>
      <c r="B95" s="27">
        <v>-72780.0</v>
      </c>
      <c r="I95" s="20"/>
      <c r="P95" s="20"/>
      <c r="Q95" s="20"/>
    </row>
    <row r="96">
      <c r="A96" s="9" t="s">
        <v>589</v>
      </c>
      <c r="B96" s="27">
        <v>28970.0</v>
      </c>
      <c r="I96" s="20"/>
      <c r="Q96" s="20"/>
    </row>
    <row r="97">
      <c r="A97" s="9" t="s">
        <v>590</v>
      </c>
      <c r="B97" s="27">
        <v>-29490.0</v>
      </c>
      <c r="I97" s="20"/>
      <c r="Q97" s="20"/>
    </row>
    <row r="98">
      <c r="F98" s="27"/>
      <c r="I98" s="20"/>
    </row>
    <row r="99">
      <c r="A99" s="261" t="s">
        <v>591</v>
      </c>
      <c r="B99" s="234">
        <f>SUM(B87,B92)</f>
        <v>9865768</v>
      </c>
      <c r="C99" s="20"/>
      <c r="D99" s="27"/>
      <c r="E99" s="20"/>
      <c r="F99" s="23"/>
      <c r="G99" s="20"/>
      <c r="H99" s="27"/>
      <c r="I99" s="20"/>
      <c r="P99" s="27"/>
      <c r="Q99" s="20"/>
    </row>
    <row r="100">
      <c r="C100" s="20"/>
      <c r="D100" s="27"/>
      <c r="E100" s="20"/>
      <c r="F100" s="27"/>
      <c r="G100" s="20"/>
      <c r="H100" s="23"/>
      <c r="I100" s="20"/>
      <c r="P100" s="29"/>
      <c r="Q100" s="217"/>
    </row>
    <row r="101">
      <c r="A101" s="261" t="s">
        <v>138</v>
      </c>
      <c r="B101" s="234">
        <f>SUM(B102:B103)</f>
        <v>1075600</v>
      </c>
      <c r="C101" s="20"/>
      <c r="D101" s="27"/>
      <c r="E101" s="20"/>
      <c r="F101" s="27"/>
      <c r="G101" s="20"/>
      <c r="H101" s="27"/>
      <c r="I101" s="20"/>
      <c r="P101" s="20"/>
      <c r="Q101" s="20"/>
    </row>
    <row r="102">
      <c r="A102" s="51" t="s">
        <v>593</v>
      </c>
      <c r="B102" s="27">
        <v>1174046.0</v>
      </c>
      <c r="C102" s="20"/>
      <c r="D102" s="27"/>
      <c r="E102" s="20"/>
      <c r="F102" s="27"/>
      <c r="G102" s="20"/>
      <c r="H102" s="27"/>
    </row>
    <row r="103">
      <c r="A103" s="9" t="s">
        <v>595</v>
      </c>
      <c r="B103" s="27">
        <v>-98446.0</v>
      </c>
      <c r="C103" s="20"/>
      <c r="D103" s="32"/>
      <c r="E103" s="20"/>
      <c r="F103" s="23"/>
      <c r="G103" s="20"/>
      <c r="H103" s="27"/>
    </row>
    <row r="104">
      <c r="C104" s="20"/>
      <c r="D104" s="158"/>
      <c r="E104" s="20"/>
      <c r="F104" s="27"/>
      <c r="G104" s="20"/>
      <c r="H104" s="23"/>
      <c r="I104" s="20"/>
    </row>
    <row r="105">
      <c r="A105" s="261" t="s">
        <v>596</v>
      </c>
      <c r="B105" s="234">
        <f>SUM(B99,B101)</f>
        <v>10941368</v>
      </c>
      <c r="C105" s="20"/>
      <c r="D105" s="27"/>
      <c r="E105" s="20"/>
      <c r="F105" s="27"/>
      <c r="G105" s="20"/>
      <c r="H105" s="27"/>
      <c r="I105" s="20"/>
      <c r="L105" s="124"/>
    </row>
    <row r="106">
      <c r="A106" s="79"/>
      <c r="B106" s="232" t="str">
        <f>B180</f>
        <v/>
      </c>
      <c r="C106" s="20"/>
      <c r="D106" s="27"/>
      <c r="E106" s="20"/>
      <c r="F106" s="27"/>
      <c r="G106" s="20"/>
      <c r="H106" s="27"/>
      <c r="I106" s="20"/>
    </row>
    <row r="107">
      <c r="A107" s="261" t="s">
        <v>600</v>
      </c>
      <c r="B107" s="234">
        <f>B108</f>
        <v>-1924039</v>
      </c>
      <c r="C107" s="20"/>
      <c r="D107" s="27"/>
      <c r="E107" s="20"/>
      <c r="F107" s="23"/>
      <c r="G107" s="20"/>
      <c r="H107" s="27"/>
      <c r="I107" s="20"/>
    </row>
    <row r="108">
      <c r="A108" s="51" t="s">
        <v>602</v>
      </c>
      <c r="B108" s="255">
        <v>-1924039.0</v>
      </c>
      <c r="C108" s="20"/>
      <c r="D108" s="27"/>
      <c r="E108" s="20"/>
      <c r="F108" s="27"/>
      <c r="G108" s="20"/>
      <c r="H108" s="23"/>
      <c r="I108" s="20"/>
    </row>
    <row r="109">
      <c r="C109" s="20"/>
      <c r="D109" s="27"/>
      <c r="E109" s="20"/>
      <c r="F109" s="27"/>
      <c r="G109" s="20"/>
      <c r="H109" s="27"/>
      <c r="I109" s="20"/>
    </row>
    <row r="110">
      <c r="A110" s="233" t="s">
        <v>424</v>
      </c>
      <c r="B110" s="202">
        <f>SUM(B105,B107)</f>
        <v>9017329</v>
      </c>
      <c r="C110" s="20"/>
      <c r="D110" s="158"/>
      <c r="E110" s="20"/>
      <c r="F110" s="27"/>
      <c r="G110" s="20"/>
      <c r="H110" s="27"/>
      <c r="I110" s="20"/>
    </row>
    <row r="113">
      <c r="I113" s="20"/>
      <c r="J113" s="22"/>
      <c r="K113" s="19"/>
    </row>
    <row r="114">
      <c r="I114" s="20"/>
    </row>
    <row r="115">
      <c r="I115" s="20"/>
    </row>
    <row r="116">
      <c r="I116" s="20"/>
    </row>
    <row r="119">
      <c r="I119" s="20"/>
    </row>
    <row r="120">
      <c r="I120" s="20"/>
    </row>
    <row r="123">
      <c r="I123" s="20"/>
    </row>
    <row r="124">
      <c r="I124" s="20"/>
    </row>
    <row r="125">
      <c r="I125" s="20"/>
    </row>
    <row r="126">
      <c r="I126" s="20"/>
    </row>
    <row r="130">
      <c r="B130" s="23"/>
      <c r="C130" s="20"/>
      <c r="D130" s="23"/>
      <c r="E130" s="20"/>
      <c r="F130" s="23"/>
      <c r="G130" s="20"/>
      <c r="H130" s="27"/>
    </row>
    <row r="131">
      <c r="A131" s="9"/>
      <c r="B131" s="23"/>
      <c r="C131" s="20"/>
      <c r="D131" s="23"/>
      <c r="E131" s="20"/>
      <c r="F131" s="23"/>
      <c r="G131" s="20"/>
      <c r="H131" s="23"/>
    </row>
    <row r="132">
      <c r="B132" s="27"/>
      <c r="C132" s="20"/>
      <c r="D132" s="27"/>
      <c r="E132" s="20"/>
      <c r="F132" s="27"/>
      <c r="G132" s="20"/>
      <c r="H132" s="23"/>
    </row>
    <row r="133">
      <c r="B133" s="23"/>
      <c r="C133" s="20"/>
      <c r="D133" s="27"/>
      <c r="E133" s="20"/>
      <c r="F133" s="23"/>
      <c r="G133" s="20"/>
      <c r="H133" s="27"/>
    </row>
    <row r="134">
      <c r="A134" s="9"/>
      <c r="B134" s="158"/>
      <c r="C134" s="20"/>
      <c r="D134" s="158"/>
      <c r="E134" s="20"/>
      <c r="F134" s="158"/>
      <c r="G134" s="20"/>
      <c r="H134" s="23"/>
    </row>
    <row r="135">
      <c r="B135" s="23"/>
      <c r="C135" s="20"/>
      <c r="D135" s="27"/>
      <c r="E135" s="20"/>
      <c r="F135" s="23"/>
      <c r="G135" s="20"/>
      <c r="H135" s="158"/>
    </row>
    <row r="136">
      <c r="B136" s="27"/>
      <c r="C136" s="20"/>
      <c r="D136" s="158"/>
      <c r="E136" s="20"/>
      <c r="F136" s="27"/>
      <c r="G136" s="20"/>
      <c r="H136" s="23"/>
    </row>
    <row r="137">
      <c r="A137" s="9"/>
      <c r="B137" s="27"/>
      <c r="C137" s="20"/>
      <c r="D137" s="27"/>
      <c r="E137" s="20"/>
      <c r="F137" s="27"/>
      <c r="G137" s="20"/>
      <c r="H137" s="27"/>
    </row>
    <row r="138">
      <c r="B138" s="23"/>
      <c r="C138" s="20"/>
      <c r="E138" s="20"/>
      <c r="F138" s="23"/>
      <c r="G138" s="20"/>
      <c r="H138" s="27"/>
    </row>
    <row r="139">
      <c r="B139" s="27"/>
      <c r="C139" s="20"/>
      <c r="D139" s="32"/>
      <c r="E139" s="20"/>
      <c r="F139" s="27"/>
      <c r="G139" s="20"/>
      <c r="H139" s="23"/>
    </row>
    <row r="140">
      <c r="B140" s="158"/>
      <c r="C140" s="20"/>
      <c r="E140" s="20"/>
      <c r="F140" s="23"/>
      <c r="G140" s="20"/>
      <c r="H140" s="27"/>
    </row>
    <row r="141">
      <c r="A141" s="9"/>
      <c r="B141" s="146"/>
      <c r="C141" s="20"/>
      <c r="D141" s="146"/>
      <c r="E141" s="20"/>
      <c r="F141" s="146"/>
      <c r="G141" s="20"/>
      <c r="H141" s="23"/>
    </row>
    <row r="142">
      <c r="B142" s="27"/>
      <c r="C142" s="20"/>
      <c r="D142" s="32"/>
      <c r="E142" s="20"/>
      <c r="F142" s="27"/>
      <c r="G142" s="20"/>
      <c r="H142" s="146"/>
    </row>
    <row r="143">
      <c r="B143" s="27"/>
      <c r="C143" s="20"/>
      <c r="D143" s="32"/>
      <c r="E143" s="20"/>
      <c r="F143" s="27"/>
      <c r="G143" s="20"/>
      <c r="H143" s="27"/>
    </row>
    <row r="144">
      <c r="B144" s="27"/>
      <c r="C144" s="20"/>
      <c r="D144" s="32"/>
      <c r="E144" s="20"/>
      <c r="F144" s="27"/>
      <c r="G144" s="20"/>
      <c r="H144" s="27"/>
    </row>
    <row r="145">
      <c r="B145" s="20"/>
      <c r="C145" s="20"/>
      <c r="D145" s="23"/>
      <c r="E145" s="20"/>
      <c r="F145" s="23"/>
      <c r="G145" s="20"/>
      <c r="H145" s="27"/>
    </row>
    <row r="146">
      <c r="A146" s="9"/>
      <c r="B146" s="146"/>
      <c r="C146" s="20"/>
      <c r="D146" s="146"/>
      <c r="E146" s="20"/>
      <c r="F146" s="146"/>
      <c r="G146" s="20"/>
      <c r="H146" s="23"/>
    </row>
    <row r="147">
      <c r="B147" s="27"/>
      <c r="C147" s="20"/>
      <c r="D147" s="27"/>
      <c r="E147" s="20"/>
      <c r="F147" s="27"/>
      <c r="G147" s="20"/>
      <c r="H147" s="146"/>
    </row>
    <row r="148">
      <c r="B148" s="27"/>
      <c r="C148" s="20"/>
      <c r="D148" s="27"/>
      <c r="E148" s="20"/>
      <c r="F148" s="27"/>
      <c r="G148" s="20"/>
      <c r="H148" s="27"/>
    </row>
    <row r="149">
      <c r="C149" s="20"/>
      <c r="D149" s="27"/>
      <c r="E149" s="20"/>
      <c r="F149" s="27"/>
      <c r="G149" s="20"/>
      <c r="H149" s="27"/>
    </row>
    <row r="150">
      <c r="B150" s="158"/>
      <c r="C150" s="20"/>
      <c r="D150" s="32"/>
      <c r="E150" s="20"/>
      <c r="F150" s="27"/>
      <c r="G150" s="20"/>
      <c r="H150" s="27"/>
    </row>
    <row r="151">
      <c r="C151" s="20"/>
      <c r="D151" s="32"/>
      <c r="E151" s="20"/>
      <c r="F151" s="27"/>
      <c r="G151" s="20"/>
      <c r="H151" s="27"/>
    </row>
    <row r="152">
      <c r="A152" s="9"/>
      <c r="C152" s="20"/>
      <c r="E152" s="20"/>
      <c r="F152" s="23"/>
      <c r="G152" s="20"/>
      <c r="H152" s="27"/>
    </row>
    <row r="153">
      <c r="B153" s="27"/>
      <c r="C153" s="20"/>
      <c r="D153" s="27"/>
      <c r="E153" s="20"/>
      <c r="F153" s="27"/>
      <c r="G153" s="20"/>
      <c r="H153" s="23"/>
    </row>
    <row r="154">
      <c r="A154" s="9"/>
      <c r="B154" s="9"/>
      <c r="C154" s="20"/>
      <c r="D154" s="9"/>
      <c r="E154" s="20"/>
      <c r="F154" s="27"/>
      <c r="G154" s="20"/>
      <c r="H154" s="27"/>
    </row>
    <row r="155">
      <c r="B155" s="27"/>
      <c r="C155" s="20"/>
      <c r="D155" s="27"/>
      <c r="E155" s="20"/>
      <c r="F155" s="27"/>
      <c r="G155" s="20"/>
      <c r="H155" s="27"/>
    </row>
    <row r="156">
      <c r="B156" s="27"/>
      <c r="C156" s="20"/>
      <c r="D156" s="27"/>
      <c r="E156" s="20"/>
      <c r="F156" s="27"/>
      <c r="G156" s="20"/>
      <c r="H156" s="27"/>
    </row>
    <row r="157">
      <c r="B157" s="27"/>
      <c r="C157" s="20"/>
      <c r="D157" s="27"/>
      <c r="E157" s="20"/>
      <c r="F157" s="27"/>
      <c r="G157" s="20"/>
      <c r="H157" s="27"/>
    </row>
    <row r="158">
      <c r="A158" s="9"/>
      <c r="C158" s="20"/>
      <c r="E158" s="20"/>
      <c r="F158" s="23"/>
      <c r="G158" s="20"/>
      <c r="H158" s="27"/>
    </row>
    <row r="159">
      <c r="G159" s="20"/>
      <c r="H159" s="23"/>
    </row>
    <row r="162">
      <c r="I162" s="20"/>
    </row>
    <row r="163">
      <c r="I163" s="20"/>
      <c r="J163" s="20"/>
    </row>
    <row r="164">
      <c r="I164" s="20"/>
      <c r="J164" s="20"/>
    </row>
    <row r="165">
      <c r="I165" s="20"/>
      <c r="J165" s="20"/>
    </row>
    <row r="166">
      <c r="I166" s="20"/>
      <c r="J166" s="27"/>
    </row>
    <row r="167">
      <c r="I167" s="20"/>
      <c r="J167" s="20"/>
    </row>
    <row r="168">
      <c r="I168" s="20"/>
      <c r="J168" s="23"/>
    </row>
    <row r="171">
      <c r="I171" s="20"/>
      <c r="J171" s="20"/>
    </row>
    <row r="172">
      <c r="I172" s="20"/>
      <c r="J172" s="20"/>
    </row>
    <row r="173">
      <c r="I173" s="20"/>
      <c r="J173" s="20"/>
    </row>
    <row r="174">
      <c r="I174" s="20"/>
      <c r="J174" s="20"/>
    </row>
    <row r="177">
      <c r="I177" s="20"/>
      <c r="J177" s="23"/>
    </row>
    <row r="178">
      <c r="I178" s="20"/>
      <c r="J178" s="23"/>
    </row>
    <row r="181">
      <c r="I181" s="20"/>
      <c r="J181" s="23"/>
    </row>
    <row r="182">
      <c r="I182" s="20"/>
      <c r="J182" s="23"/>
    </row>
    <row r="183">
      <c r="I183" s="20"/>
      <c r="J183" s="23"/>
    </row>
    <row r="184">
      <c r="I184" s="20"/>
      <c r="J184" s="23"/>
    </row>
    <row r="216">
      <c r="C216" s="20"/>
      <c r="D216" s="27"/>
    </row>
    <row r="217">
      <c r="C217" s="20"/>
      <c r="D217" s="27"/>
    </row>
    <row r="218">
      <c r="C218" s="20"/>
      <c r="D218" s="27"/>
    </row>
    <row r="219">
      <c r="C219" s="160"/>
      <c r="D219" s="158"/>
    </row>
    <row r="220">
      <c r="D220" s="23"/>
    </row>
    <row r="221">
      <c r="D221" s="23"/>
    </row>
    <row r="222">
      <c r="C222" s="20"/>
      <c r="D222" s="27"/>
    </row>
    <row r="223">
      <c r="C223" s="20"/>
      <c r="D223" s="27"/>
    </row>
    <row r="224">
      <c r="C224" s="20"/>
      <c r="D224" s="27"/>
    </row>
    <row r="225">
      <c r="C225" s="20"/>
      <c r="D225" s="27"/>
    </row>
    <row r="226">
      <c r="C226" s="160"/>
      <c r="D226" s="146"/>
    </row>
    <row r="227">
      <c r="D227" s="23"/>
    </row>
    <row r="228">
      <c r="C228" s="20"/>
    </row>
    <row r="229">
      <c r="C229" s="20"/>
      <c r="D229" s="32"/>
    </row>
    <row r="237">
      <c r="I237" s="20"/>
    </row>
    <row r="238">
      <c r="I238" s="20"/>
      <c r="J238" s="23"/>
    </row>
    <row r="239">
      <c r="I239" s="20"/>
      <c r="J239" s="23"/>
    </row>
    <row r="240">
      <c r="I240" s="20"/>
      <c r="J240" s="23"/>
    </row>
    <row r="241">
      <c r="I241" s="20"/>
      <c r="J241" s="23"/>
    </row>
    <row r="242">
      <c r="I242" s="20"/>
      <c r="J242" s="20"/>
    </row>
    <row r="243">
      <c r="I243" s="20"/>
      <c r="J243" s="20"/>
    </row>
    <row r="244">
      <c r="I244" s="20"/>
      <c r="J244" s="23"/>
    </row>
    <row r="245">
      <c r="I245" s="20"/>
      <c r="J245" s="23"/>
    </row>
    <row r="246">
      <c r="I246" s="20"/>
      <c r="J246" s="23"/>
    </row>
    <row r="247">
      <c r="I247" s="20"/>
      <c r="J247" s="20"/>
    </row>
    <row r="250">
      <c r="I250" s="20"/>
    </row>
    <row r="251">
      <c r="I251" s="20"/>
      <c r="J251" s="20"/>
    </row>
    <row r="252">
      <c r="I252" s="20"/>
      <c r="J252" s="20"/>
    </row>
    <row r="253">
      <c r="I253" s="20"/>
      <c r="J253" s="20"/>
    </row>
    <row r="254">
      <c r="I254" s="20"/>
      <c r="J254" s="27"/>
    </row>
    <row r="255">
      <c r="I255" s="20"/>
      <c r="J255" s="20"/>
    </row>
    <row r="256">
      <c r="I256" s="20"/>
      <c r="J256" s="23"/>
    </row>
    <row r="259">
      <c r="I259" s="20"/>
      <c r="J259" s="20"/>
    </row>
    <row r="260">
      <c r="I260" s="20"/>
      <c r="J260" s="20"/>
    </row>
    <row r="261">
      <c r="I261" s="20"/>
      <c r="J261" s="20"/>
    </row>
    <row r="262">
      <c r="I262" s="20"/>
      <c r="J262" s="20"/>
    </row>
    <row r="264">
      <c r="E264" s="20"/>
      <c r="F264" s="32"/>
    </row>
    <row r="265">
      <c r="B265" s="32"/>
      <c r="C265" s="20"/>
      <c r="D265" s="32"/>
      <c r="E265" s="20"/>
      <c r="H265" s="23"/>
      <c r="I265" s="20"/>
      <c r="J265" s="23"/>
    </row>
    <row r="266">
      <c r="A266" s="9"/>
      <c r="B266" s="27"/>
      <c r="C266" s="20"/>
      <c r="D266" s="27"/>
      <c r="E266" s="20"/>
      <c r="H266" s="23"/>
      <c r="I266" s="20"/>
      <c r="J266" s="23"/>
    </row>
    <row r="267">
      <c r="B267" s="32"/>
      <c r="C267" s="20"/>
      <c r="D267" s="32"/>
      <c r="E267" s="20"/>
    </row>
    <row r="268">
      <c r="A268" s="9"/>
      <c r="B268" s="27"/>
      <c r="C268" s="20"/>
      <c r="D268" s="27"/>
      <c r="E268" s="20"/>
      <c r="G268" s="9"/>
    </row>
    <row r="269">
      <c r="A269" s="67"/>
      <c r="E269" s="20"/>
      <c r="H269" s="23"/>
      <c r="I269" s="20"/>
      <c r="J269" s="23"/>
    </row>
    <row r="270">
      <c r="B270" s="27"/>
      <c r="C270" s="20"/>
      <c r="D270" s="27"/>
      <c r="E270" s="20"/>
      <c r="F270" s="20"/>
      <c r="H270" s="23"/>
      <c r="I270" s="20"/>
      <c r="J270" s="23"/>
    </row>
    <row r="271">
      <c r="B271" s="27"/>
      <c r="C271" s="20"/>
      <c r="D271" s="27"/>
      <c r="H271" s="23"/>
      <c r="I271" s="20"/>
      <c r="J271" s="23"/>
    </row>
    <row r="272">
      <c r="B272" s="20"/>
      <c r="C272" s="20"/>
      <c r="D272" s="20"/>
      <c r="E272" s="20"/>
      <c r="F272" s="32"/>
      <c r="H272" s="23"/>
      <c r="I272" s="20"/>
      <c r="J272" s="23"/>
    </row>
    <row r="273">
      <c r="B273" s="27"/>
      <c r="C273" s="20"/>
      <c r="D273" s="27"/>
      <c r="E273" s="20"/>
      <c r="F273" s="27"/>
    </row>
    <row r="274">
      <c r="B274" s="27"/>
      <c r="C274" s="20"/>
      <c r="D274" s="27"/>
      <c r="E274" s="20"/>
      <c r="F274" s="32"/>
    </row>
    <row r="275">
      <c r="B275" s="23"/>
      <c r="C275" s="20"/>
      <c r="D275" s="23"/>
      <c r="E275" s="20"/>
      <c r="F275" s="27"/>
    </row>
    <row r="276">
      <c r="E276" s="20"/>
      <c r="F276" s="32"/>
    </row>
    <row r="277">
      <c r="B277" s="27"/>
      <c r="D277" s="27"/>
      <c r="E277" s="20"/>
      <c r="F277" s="32"/>
    </row>
    <row r="278">
      <c r="A278" s="9"/>
      <c r="C278" s="20"/>
      <c r="E278" s="20"/>
    </row>
    <row r="279">
      <c r="E279" s="20"/>
    </row>
    <row r="280">
      <c r="B280" s="27"/>
      <c r="C280" s="20"/>
      <c r="D280" s="27"/>
      <c r="E280" s="20"/>
    </row>
    <row r="281">
      <c r="B281" s="27"/>
      <c r="C281" s="20"/>
      <c r="D281" s="27"/>
      <c r="E281" s="20"/>
      <c r="F281" s="32"/>
    </row>
    <row r="282">
      <c r="B282" s="27"/>
      <c r="C282" s="20"/>
      <c r="D282" s="27"/>
      <c r="E282" s="20"/>
    </row>
    <row r="284">
      <c r="A284" s="9"/>
      <c r="C284" s="20"/>
    </row>
    <row r="285">
      <c r="C285" s="20"/>
      <c r="E285" s="20"/>
      <c r="F285" s="20"/>
    </row>
    <row r="286">
      <c r="B286" s="27"/>
      <c r="C286" s="20"/>
      <c r="D286" s="27"/>
      <c r="E286" s="20"/>
      <c r="F286" s="20"/>
    </row>
    <row r="287">
      <c r="A287" s="9"/>
      <c r="C287" s="20"/>
      <c r="E287" s="20"/>
      <c r="F287" s="20"/>
    </row>
    <row r="289">
      <c r="A289" s="9"/>
    </row>
    <row r="290">
      <c r="A290" s="67"/>
    </row>
    <row r="291">
      <c r="B291" s="27"/>
      <c r="C291" s="20"/>
      <c r="D291" s="27"/>
    </row>
    <row r="292">
      <c r="A292" s="150"/>
      <c r="B292" s="27"/>
      <c r="C292" s="20"/>
      <c r="D292" s="27"/>
    </row>
    <row r="293">
      <c r="B293" s="27"/>
      <c r="C293" s="20"/>
      <c r="D293" s="27"/>
    </row>
    <row r="294">
      <c r="B294" s="27"/>
      <c r="C294" s="20"/>
      <c r="D294" s="27"/>
    </row>
    <row r="295">
      <c r="A295" s="9"/>
      <c r="B295" s="27"/>
      <c r="C295" s="20"/>
      <c r="D295" s="27"/>
    </row>
    <row r="296">
      <c r="B296" s="27"/>
      <c r="C296" s="20"/>
      <c r="D296" s="27"/>
    </row>
    <row r="297">
      <c r="B297" s="27"/>
      <c r="C297" s="20"/>
      <c r="D297" s="27"/>
    </row>
    <row r="298">
      <c r="B298" s="27"/>
      <c r="C298" s="20"/>
      <c r="D298" s="27"/>
    </row>
    <row r="299">
      <c r="B299" s="27"/>
      <c r="C299" s="20"/>
      <c r="D299" s="27"/>
    </row>
    <row r="300">
      <c r="C300" s="20"/>
      <c r="D300" s="32"/>
    </row>
    <row r="301">
      <c r="A301" s="67"/>
      <c r="B301" s="158"/>
      <c r="C301" s="160"/>
      <c r="D301" s="158"/>
    </row>
    <row r="302">
      <c r="B302" s="23"/>
      <c r="D302" s="23"/>
    </row>
    <row r="303">
      <c r="B303" s="27"/>
      <c r="C303" s="20"/>
      <c r="D303" s="27"/>
    </row>
    <row r="304">
      <c r="B304" s="27"/>
      <c r="C304" s="20"/>
      <c r="D304" s="27"/>
    </row>
    <row r="305">
      <c r="B305" s="27"/>
      <c r="C305" s="20"/>
      <c r="D305" s="27"/>
    </row>
    <row r="306">
      <c r="B306" s="27"/>
      <c r="C306" s="20"/>
      <c r="D306" s="27"/>
    </row>
    <row r="307">
      <c r="A307" s="67"/>
      <c r="B307" s="158"/>
      <c r="C307" s="160"/>
      <c r="D307" s="158"/>
    </row>
    <row r="308">
      <c r="B308" s="23"/>
      <c r="D308" s="23"/>
    </row>
    <row r="309">
      <c r="B309" s="27"/>
      <c r="D309" s="23"/>
    </row>
    <row r="310">
      <c r="B310" s="27"/>
      <c r="C310" s="20"/>
      <c r="D310" s="27"/>
    </row>
    <row r="311">
      <c r="B311" s="27"/>
      <c r="C311" s="20"/>
      <c r="D311" s="27"/>
    </row>
    <row r="312">
      <c r="B312" s="27"/>
      <c r="C312" s="20"/>
      <c r="D312" s="27"/>
    </row>
    <row r="313">
      <c r="B313" s="27"/>
      <c r="C313" s="20"/>
      <c r="D313" s="27"/>
    </row>
    <row r="314">
      <c r="A314" s="67"/>
      <c r="B314" s="146"/>
      <c r="C314" s="160"/>
      <c r="D314" s="146"/>
    </row>
    <row r="315">
      <c r="B315" s="23"/>
      <c r="D315" s="23"/>
    </row>
    <row r="316">
      <c r="A316" s="9"/>
      <c r="C316" s="20"/>
    </row>
    <row r="317">
      <c r="B317" s="32"/>
      <c r="C317" s="20"/>
      <c r="D317" s="32"/>
    </row>
    <row r="318">
      <c r="B318" s="9"/>
      <c r="C318" s="20"/>
      <c r="D318" s="9"/>
    </row>
  </sheetData>
  <mergeCells count="13">
    <mergeCell ref="J20:K20"/>
    <mergeCell ref="J22:K22"/>
    <mergeCell ref="J24:K24"/>
    <mergeCell ref="J29:K29"/>
    <mergeCell ref="J30:K30"/>
    <mergeCell ref="J33:K33"/>
    <mergeCell ref="J7:K7"/>
    <mergeCell ref="J9:K9"/>
    <mergeCell ref="J11:K11"/>
    <mergeCell ref="J12:K12"/>
    <mergeCell ref="J14:K14"/>
    <mergeCell ref="J16:K16"/>
    <mergeCell ref="J18:K18"/>
  </mergeCells>
  <dataValidations>
    <dataValidation type="list" allowBlank="1" showErrorMessage="1" sqref="B1 D1 F1 H1">
      <formula1>"Feito,Não,Atual"</formula1>
    </dataValidation>
    <dataValidation type="custom" allowBlank="1" showDropDown="1" sqref="K52:K60 M52:N60">
      <formula1>AND(ISNUMBER(K52),(NOT(OR(NOT(ISERROR(DATEVALUE(K52))), AND(ISNUMBER(K52), LEFT(CELL("format", K52))="D")))))</formula1>
    </dataValidation>
  </dataValidations>
  <drawing r:id="rId2"/>
  <legacyDrawing r:id="rId3"/>
  <tableParts count="2">
    <tablePart r:id="rId6"/>
    <tablePart r:id="rId7"/>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38"/>
    <col customWidth="1" min="2" max="2" width="18.0"/>
    <col customWidth="1" min="3" max="3" width="11.38"/>
    <col customWidth="1" min="4" max="5" width="17.5"/>
    <col customWidth="1" min="6" max="6" width="16.0"/>
    <col customWidth="1" min="7" max="7" width="12.5"/>
    <col customWidth="1" min="8" max="8" width="15.63"/>
    <col customWidth="1" min="9" max="9" width="9.13"/>
    <col customWidth="1" min="10" max="10" width="29.25"/>
    <col customWidth="1" min="11" max="11" width="20.75"/>
    <col customWidth="1" min="12" max="12" width="22.13"/>
    <col customWidth="1" min="13" max="13" width="34.63"/>
    <col customWidth="1" min="14" max="14" width="20.25"/>
    <col customWidth="1" min="15" max="15" width="19.38"/>
    <col customWidth="1" min="16" max="16" width="12.38"/>
    <col customWidth="1" min="17" max="17" width="20.63"/>
    <col customWidth="1" min="18" max="18" width="21.25"/>
  </cols>
  <sheetData>
    <row r="1">
      <c r="A1" s="1"/>
      <c r="B1" s="2" t="s">
        <v>1</v>
      </c>
      <c r="C1" s="3">
        <v>46058.0</v>
      </c>
      <c r="D1" s="2" t="s">
        <v>2</v>
      </c>
      <c r="E1" s="4">
        <v>46244.0</v>
      </c>
      <c r="F1" s="2" t="s">
        <v>3</v>
      </c>
      <c r="G1" s="3">
        <v>46058.0</v>
      </c>
      <c r="H1" s="2" t="s">
        <v>3</v>
      </c>
      <c r="I1" s="3">
        <v>46058.0</v>
      </c>
      <c r="J1" s="5" t="s">
        <v>4</v>
      </c>
      <c r="K1" s="181">
        <f t="array" ref="K1">IFERROR(INDEX('Indicadores_Ações'!$A$10:$L$23, MATCH($J$2, 'Indicadores_Ações'!$A$10:$A$23, 0), MATCH('Indicadores_Ações'!$B$9, 'Indicadores_Ações'!$A$9:$L$9, 0)),"")</f>
        <v>46203</v>
      </c>
      <c r="L1" s="79"/>
      <c r="M1" s="79"/>
    </row>
    <row r="2">
      <c r="A2" s="10" t="s">
        <v>235</v>
      </c>
      <c r="B2" s="9"/>
      <c r="C2" s="9"/>
      <c r="D2" s="9"/>
      <c r="J2" s="11" t="s">
        <v>462</v>
      </c>
      <c r="K2" s="170">
        <f>IFERROR(__xludf.DUMMYFUNCTION("(GOOGLEFINANCE(""BVMF:"" &amp; J2))"),13.98)</f>
        <v>13.98</v>
      </c>
      <c r="L2" s="13">
        <f t="array" ref="L2">IFERROR(INDEX(Indicador_Ações[], MATCH($J$2, Indicador_Ações[Stock], 0), MATCH(Indicador_Ações[[#HEADERS],[qtd_acao]], Indicador_Ações[#HEADERS], 0)),"")</f>
        <v>11213700000</v>
      </c>
      <c r="M2" s="15" t="s">
        <v>10</v>
      </c>
    </row>
    <row r="3">
      <c r="A3" s="9" t="s">
        <v>11</v>
      </c>
      <c r="B3" s="9" t="s">
        <v>12</v>
      </c>
      <c r="C3" s="9" t="s">
        <v>13</v>
      </c>
      <c r="D3" s="9" t="s">
        <v>14</v>
      </c>
      <c r="E3" s="9" t="s">
        <v>15</v>
      </c>
      <c r="F3" s="9" t="s">
        <v>16</v>
      </c>
      <c r="G3" s="9" t="s">
        <v>17</v>
      </c>
      <c r="H3" s="9" t="s">
        <v>18</v>
      </c>
      <c r="J3" s="17" t="s">
        <v>19</v>
      </c>
      <c r="K3" s="10">
        <v>1000000.0</v>
      </c>
      <c r="L3" s="20">
        <f>K17/K4</f>
        <v>0.1544684901</v>
      </c>
      <c r="M3" s="51" t="s">
        <v>433</v>
      </c>
      <c r="N3" s="21" t="s">
        <v>91</v>
      </c>
      <c r="O3" s="28">
        <f>'Indicadores_Ações'!$B$3</f>
        <v>0.139</v>
      </c>
    </row>
    <row r="4">
      <c r="A4" s="43" t="s">
        <v>240</v>
      </c>
      <c r="B4" s="42">
        <f>SUM(B5)</f>
        <v>2248</v>
      </c>
      <c r="C4" s="48">
        <f t="shared" ref="C4:C5" si="1">IFERROR(SUM((D4/B4)-1),0)</f>
        <v>-0.02535587189</v>
      </c>
      <c r="D4" s="42">
        <f>SUM(D5)</f>
        <v>2191</v>
      </c>
      <c r="E4" s="48">
        <f t="shared" ref="E4:E5" si="2">IFERROR(SUM((F4/D4)-1),0)</f>
        <v>0.08854404382</v>
      </c>
      <c r="F4" s="42">
        <f>SUM(F5)</f>
        <v>2385</v>
      </c>
      <c r="G4" s="48">
        <f t="shared" ref="G4:G5" si="3">IFERROR(SUM((H4/F4)-1),0)</f>
        <v>-0.2301886792</v>
      </c>
      <c r="H4" s="42">
        <f>SUM(H5)</f>
        <v>1836</v>
      </c>
      <c r="J4" s="179" t="s">
        <v>25</v>
      </c>
      <c r="K4" s="26">
        <f t="array" ref="K4">IFERROR(INDEX(Indicador_Ações[], MATCH($J$2, Indicador_Ações[Stock], 0), MATCH(Indicador_Ações[[#HEADERS],[ativo]], Indicador_Ações[#HEADERS], 0)),"")</f>
        <v>119772000000</v>
      </c>
      <c r="L4" s="20">
        <f>K25/K17</f>
        <v>0.981622615</v>
      </c>
      <c r="M4" s="9" t="s">
        <v>20</v>
      </c>
      <c r="N4" s="118" t="s">
        <v>95</v>
      </c>
      <c r="O4" s="145">
        <f>K26</f>
        <v>1.13</v>
      </c>
    </row>
    <row r="5">
      <c r="A5" s="24" t="s">
        <v>477</v>
      </c>
      <c r="B5" s="113">
        <v>2248.0</v>
      </c>
      <c r="C5" s="59">
        <f t="shared" si="1"/>
        <v>-0.02535587189</v>
      </c>
      <c r="D5" s="113">
        <v>2191.0</v>
      </c>
      <c r="E5" s="59">
        <f t="shared" si="2"/>
        <v>0.08854404382</v>
      </c>
      <c r="F5" s="113">
        <v>2385.0</v>
      </c>
      <c r="G5" s="59">
        <f t="shared" si="3"/>
        <v>-0.2301886792</v>
      </c>
      <c r="H5" s="113">
        <v>1836.0</v>
      </c>
      <c r="J5" s="51" t="s">
        <v>243</v>
      </c>
      <c r="K5" s="29">
        <f>K2*L2</f>
        <v>156767526000</v>
      </c>
      <c r="L5" s="20">
        <f>K21/K17</f>
        <v>0.9550294579</v>
      </c>
      <c r="M5" s="9" t="s">
        <v>244</v>
      </c>
      <c r="N5" s="118" t="s">
        <v>98</v>
      </c>
      <c r="O5" s="28">
        <f>O3+0.01</f>
        <v>0.149</v>
      </c>
    </row>
    <row r="6">
      <c r="B6" s="27"/>
      <c r="C6" s="20"/>
      <c r="D6" s="27"/>
      <c r="E6" s="20"/>
      <c r="F6" s="27"/>
      <c r="G6" s="20"/>
      <c r="H6" s="27"/>
      <c r="J6" s="25" t="s">
        <v>43</v>
      </c>
      <c r="K6" s="45">
        <f t="array" ref="K6">IFERROR(INDEX(Indicador_Ações[], MATCH($J$2, Indicador_Ações[Stock], 0), MATCH(Indicador_Ações[[#HEADERS],[patrimonio_liquido]], Indicador_Ações[#HEADERS], 0)),"")</f>
        <v>93790000000</v>
      </c>
      <c r="L6" s="73">
        <f>ABS(K19/K17)</f>
        <v>0.04497054213</v>
      </c>
      <c r="M6" s="65" t="s">
        <v>246</v>
      </c>
      <c r="N6" s="10" t="s">
        <v>101</v>
      </c>
      <c r="O6" s="78">
        <f>O3+O4*(O5-O3)</f>
        <v>0.1503</v>
      </c>
      <c r="R6" s="20"/>
    </row>
    <row r="7">
      <c r="A7" s="131" t="s">
        <v>254</v>
      </c>
      <c r="B7" s="132">
        <f>SUM(B8:B9)</f>
        <v>1607</v>
      </c>
      <c r="C7" s="133">
        <f t="shared" ref="C7:C9" si="4">IFERROR(SUM((D7/B7)-1),0)</f>
        <v>-0.03733665215</v>
      </c>
      <c r="D7" s="132">
        <f>SUM(D8:D9)</f>
        <v>1547</v>
      </c>
      <c r="E7" s="133">
        <f t="shared" ref="E7:E9" si="5">IFERROR(SUM((F7/D7)-1),0)</f>
        <v>-0.03684550743</v>
      </c>
      <c r="F7" s="132">
        <f>SUM(F8:F9)</f>
        <v>1490</v>
      </c>
      <c r="G7" s="133">
        <f t="shared" ref="G7:G9" si="6">IFERROR(SUM((H7/F7)-1),0)</f>
        <v>0.04429530201</v>
      </c>
      <c r="H7" s="132">
        <f>SUM(H8:H9)</f>
        <v>1556</v>
      </c>
      <c r="J7" s="245" t="s">
        <v>483</v>
      </c>
      <c r="L7" s="23">
        <f>K25/L2</f>
        <v>1.619536817</v>
      </c>
      <c r="M7" s="22" t="s">
        <v>41</v>
      </c>
      <c r="N7" s="9" t="s">
        <v>250</v>
      </c>
      <c r="R7" s="29"/>
    </row>
    <row r="8">
      <c r="A8" s="24" t="s">
        <v>484</v>
      </c>
      <c r="B8" s="113">
        <v>1573.0</v>
      </c>
      <c r="C8" s="59">
        <f t="shared" si="4"/>
        <v>-0.04322949777</v>
      </c>
      <c r="D8" s="113">
        <v>1505.0</v>
      </c>
      <c r="E8" s="59">
        <f t="shared" si="5"/>
        <v>-0.02458471761</v>
      </c>
      <c r="F8" s="113">
        <v>1468.0</v>
      </c>
      <c r="G8" s="59">
        <f t="shared" si="6"/>
        <v>0.04155313351</v>
      </c>
      <c r="H8" s="113">
        <v>1529.0</v>
      </c>
      <c r="J8" s="191" t="s">
        <v>485</v>
      </c>
      <c r="K8" s="196">
        <f>SUM(B35,D35,F35,H35)/4*K3</f>
        <v>3229500000</v>
      </c>
      <c r="L8" s="145">
        <f>K21/L2</f>
        <v>1.575661914</v>
      </c>
      <c r="M8" s="22" t="s">
        <v>252</v>
      </c>
      <c r="N8" s="9" t="s">
        <v>253</v>
      </c>
      <c r="O8" s="124">
        <v>0.07</v>
      </c>
      <c r="Q8" s="9"/>
    </row>
    <row r="9">
      <c r="A9" s="9" t="s">
        <v>487</v>
      </c>
      <c r="B9" s="27">
        <v>34.0</v>
      </c>
      <c r="C9" s="20">
        <f t="shared" si="4"/>
        <v>0.2352941176</v>
      </c>
      <c r="D9" s="27">
        <v>42.0</v>
      </c>
      <c r="E9" s="20">
        <f t="shared" si="5"/>
        <v>-0.4761904762</v>
      </c>
      <c r="F9" s="27">
        <v>22.0</v>
      </c>
      <c r="G9" s="20">
        <f t="shared" si="6"/>
        <v>0.2272727273</v>
      </c>
      <c r="H9" s="27">
        <v>27.0</v>
      </c>
      <c r="J9" s="246" t="s">
        <v>440</v>
      </c>
      <c r="L9" s="142">
        <f t="array" ref="L9">IFERROR(INDEX(L21*K3,0)/L2,"")</f>
        <v>0.3029330194</v>
      </c>
      <c r="M9" s="9" t="s">
        <v>46</v>
      </c>
      <c r="N9" s="9" t="s">
        <v>258</v>
      </c>
      <c r="O9" s="29">
        <f>K6*(1+O8)</f>
        <v>100355300000</v>
      </c>
      <c r="P9" s="79"/>
      <c r="Q9" s="29"/>
      <c r="R9" s="29"/>
    </row>
    <row r="10">
      <c r="J10" s="51" t="s">
        <v>490</v>
      </c>
      <c r="K10" s="50">
        <f>SUM(B29,D29,F29,H29)/4*K3</f>
        <v>91518250000</v>
      </c>
      <c r="L10" s="20">
        <f>L9/L7</f>
        <v>0.1870491713</v>
      </c>
      <c r="M10" s="9" t="s">
        <v>263</v>
      </c>
      <c r="N10" s="9" t="s">
        <v>264</v>
      </c>
      <c r="O10" s="197">
        <v>0.19</v>
      </c>
      <c r="P10" s="22"/>
      <c r="Q10" s="29"/>
    </row>
    <row r="11">
      <c r="A11" s="131" t="s">
        <v>467</v>
      </c>
      <c r="B11" s="132">
        <f>SUM(B12:B15)</f>
        <v>60</v>
      </c>
      <c r="C11" s="133">
        <f t="shared" ref="C11:C15" si="7">IFERROR(SUM((D11/B11)-1),0)</f>
        <v>-0.01666666667</v>
      </c>
      <c r="D11" s="132">
        <f>SUM(D12:D15)</f>
        <v>59</v>
      </c>
      <c r="E11" s="133">
        <f t="shared" ref="E11:E15" si="8">IFERROR(SUM((F11/D11)-1),0)</f>
        <v>-0.01694915254</v>
      </c>
      <c r="F11" s="132">
        <f>SUM(F12:F15)</f>
        <v>58</v>
      </c>
      <c r="G11" s="133">
        <f t="shared" ref="G11:G15" si="9">IFERROR(SUM((H11/F11)-1),0)</f>
        <v>0.03448275862</v>
      </c>
      <c r="H11" s="132">
        <f>SUM(H12:H15)</f>
        <v>60</v>
      </c>
      <c r="J11" s="247" t="s">
        <v>61</v>
      </c>
      <c r="L11" s="28">
        <f>K21/K4</f>
        <v>0.1475219584</v>
      </c>
      <c r="M11" s="22" t="s">
        <v>53</v>
      </c>
      <c r="N11" s="9" t="s">
        <v>266</v>
      </c>
      <c r="O11" s="29">
        <f>O9*(O10-O6)</f>
        <v>3984105410</v>
      </c>
      <c r="P11" s="22"/>
      <c r="Q11" s="29"/>
    </row>
    <row r="12">
      <c r="A12" s="24" t="s">
        <v>497</v>
      </c>
      <c r="B12" s="113">
        <v>17.0</v>
      </c>
      <c r="C12" s="59">
        <f t="shared" si="7"/>
        <v>0</v>
      </c>
      <c r="D12" s="113">
        <v>17.0</v>
      </c>
      <c r="E12" s="59">
        <f t="shared" si="8"/>
        <v>-0.2352941176</v>
      </c>
      <c r="F12" s="113">
        <v>13.0</v>
      </c>
      <c r="G12" s="59">
        <f t="shared" si="9"/>
        <v>0.1538461538</v>
      </c>
      <c r="H12" s="113">
        <v>15.0</v>
      </c>
      <c r="J12" s="248" t="s">
        <v>499</v>
      </c>
      <c r="L12" s="19">
        <f>L4*L11*L14</f>
        <v>0.1849268577</v>
      </c>
      <c r="M12" s="22" t="s">
        <v>500</v>
      </c>
      <c r="N12" s="9" t="s">
        <v>271</v>
      </c>
      <c r="O12" s="29">
        <f>(O11/(1+O6))</f>
        <v>3463535956</v>
      </c>
      <c r="P12" s="22"/>
      <c r="Q12" s="154"/>
    </row>
    <row r="13">
      <c r="A13" s="9" t="s">
        <v>501</v>
      </c>
      <c r="B13" s="27">
        <v>21.0</v>
      </c>
      <c r="C13" s="20">
        <f t="shared" si="7"/>
        <v>-0.09523809524</v>
      </c>
      <c r="D13" s="27">
        <v>19.0</v>
      </c>
      <c r="E13" s="20">
        <f t="shared" si="8"/>
        <v>0.2105263158</v>
      </c>
      <c r="F13" s="27">
        <v>23.0</v>
      </c>
      <c r="G13" s="20">
        <f t="shared" si="9"/>
        <v>0</v>
      </c>
      <c r="H13" s="27">
        <v>23.0</v>
      </c>
      <c r="J13" s="51" t="s">
        <v>502</v>
      </c>
      <c r="K13" s="50">
        <f>SUM(B68,D68,F68,H68)*K3</f>
        <v>17454000000</v>
      </c>
      <c r="L13" s="19">
        <f>K25/K4</f>
        <v>0.1516297632</v>
      </c>
      <c r="M13" s="22" t="s">
        <v>62</v>
      </c>
      <c r="N13" s="9" t="s">
        <v>273</v>
      </c>
      <c r="O13" s="29">
        <f>O11/(O6-O8)</f>
        <v>49615260399</v>
      </c>
      <c r="Q13" s="124"/>
    </row>
    <row r="14">
      <c r="A14" s="24" t="s">
        <v>503</v>
      </c>
      <c r="B14" s="113">
        <v>2.0</v>
      </c>
      <c r="C14" s="59">
        <f t="shared" si="7"/>
        <v>0</v>
      </c>
      <c r="D14" s="113">
        <v>2.0</v>
      </c>
      <c r="E14" s="59">
        <f t="shared" si="8"/>
        <v>0</v>
      </c>
      <c r="F14" s="113">
        <v>2.0</v>
      </c>
      <c r="G14" s="59">
        <f t="shared" si="9"/>
        <v>0</v>
      </c>
      <c r="H14" s="113">
        <v>2.0</v>
      </c>
      <c r="J14" s="248" t="s">
        <v>504</v>
      </c>
      <c r="L14" s="184">
        <f>IFERROR(K4/K6,0)</f>
        <v>1.277023137</v>
      </c>
      <c r="M14" s="71" t="s">
        <v>297</v>
      </c>
      <c r="N14" s="9" t="s">
        <v>278</v>
      </c>
      <c r="O14" s="29">
        <f>O13/(1+O6)</f>
        <v>43132452750</v>
      </c>
      <c r="P14" s="22"/>
    </row>
    <row r="15">
      <c r="A15" s="9" t="s">
        <v>506</v>
      </c>
      <c r="B15" s="27">
        <v>20.0</v>
      </c>
      <c r="C15" s="20">
        <f t="shared" si="7"/>
        <v>0.05</v>
      </c>
      <c r="D15" s="27">
        <v>21.0</v>
      </c>
      <c r="E15" s="20">
        <f t="shared" si="8"/>
        <v>-0.04761904762</v>
      </c>
      <c r="F15" s="27">
        <v>20.0</v>
      </c>
      <c r="G15" s="20">
        <f t="shared" si="9"/>
        <v>0</v>
      </c>
      <c r="H15" s="27">
        <v>20.0</v>
      </c>
      <c r="J15" s="51" t="s">
        <v>508</v>
      </c>
      <c r="K15" s="50">
        <f>SUM(B69,D69,F69,H69)*K3</f>
        <v>1224000000</v>
      </c>
      <c r="L15" s="20">
        <f>K10/K4</f>
        <v>0.7641038807</v>
      </c>
      <c r="M15" s="9" t="s">
        <v>509</v>
      </c>
      <c r="N15" s="9" t="s">
        <v>283</v>
      </c>
      <c r="O15" s="29">
        <f>K6 + O12 + O14</f>
        <v>140385988706</v>
      </c>
      <c r="R15" s="20"/>
    </row>
    <row r="16">
      <c r="J16" s="248" t="s">
        <v>510</v>
      </c>
      <c r="L16" s="20">
        <f>K8/K4</f>
        <v>0.02696373109</v>
      </c>
      <c r="M16" s="9" t="s">
        <v>511</v>
      </c>
      <c r="N16" s="9" t="s">
        <v>288</v>
      </c>
      <c r="O16" s="29">
        <f>O15/L2</f>
        <v>12.51914967</v>
      </c>
    </row>
    <row r="17">
      <c r="A17" s="131" t="s">
        <v>512</v>
      </c>
      <c r="B17" s="202">
        <f t="shared" ref="B17:H17" si="10">B18</f>
        <v>1340</v>
      </c>
      <c r="C17" s="133">
        <f t="shared" si="10"/>
        <v>0.8634328358</v>
      </c>
      <c r="D17" s="202">
        <f t="shared" si="10"/>
        <v>2497</v>
      </c>
      <c r="E17" s="133">
        <f t="shared" si="10"/>
        <v>-0.8918702443</v>
      </c>
      <c r="F17" s="202">
        <f t="shared" si="10"/>
        <v>270</v>
      </c>
      <c r="G17" s="133">
        <f t="shared" si="10"/>
        <v>4.211111111</v>
      </c>
      <c r="H17" s="202">
        <f t="shared" si="10"/>
        <v>1407</v>
      </c>
      <c r="J17" s="51" t="s">
        <v>513</v>
      </c>
      <c r="K17" s="50">
        <f>SUM(B67,D67,F67,H67)*K3</f>
        <v>18501000000</v>
      </c>
    </row>
    <row r="18">
      <c r="A18" s="24" t="s">
        <v>514</v>
      </c>
      <c r="B18" s="113">
        <v>1340.0</v>
      </c>
      <c r="C18" s="59">
        <f>IFERROR(SUM((D18/B18)-1),0)</f>
        <v>0.8634328358</v>
      </c>
      <c r="D18" s="113">
        <v>2497.0</v>
      </c>
      <c r="E18" s="59">
        <f>IFERROR(SUM((F18/D18)-1),0)</f>
        <v>-0.8918702443</v>
      </c>
      <c r="F18" s="113">
        <v>270.0</v>
      </c>
      <c r="G18" s="59">
        <f>IFERROR(SUM((H18/F18)-1),0)</f>
        <v>4.211111111</v>
      </c>
      <c r="H18" s="113">
        <v>1407.0</v>
      </c>
      <c r="J18" s="248" t="s">
        <v>460</v>
      </c>
      <c r="M18" s="9" t="s">
        <v>21</v>
      </c>
      <c r="Q18" s="22"/>
    </row>
    <row r="19">
      <c r="J19" s="51" t="s">
        <v>515</v>
      </c>
      <c r="K19" s="50">
        <f>SUM(B72,D72,F72,H72)*K3</f>
        <v>-832000000</v>
      </c>
      <c r="M19" s="9" t="s">
        <v>27</v>
      </c>
      <c r="N19" s="22"/>
      <c r="P19" s="19"/>
      <c r="Q19" s="28"/>
    </row>
    <row r="20">
      <c r="A20" s="131" t="s">
        <v>292</v>
      </c>
      <c r="B20" s="202">
        <f>SUM(B21:B24)</f>
        <v>1599</v>
      </c>
      <c r="C20" s="133">
        <f t="shared" ref="C20:C24" si="11">IFERROR(SUM((D20/B20)-1),0)</f>
        <v>-0.0162601626</v>
      </c>
      <c r="D20" s="202">
        <f>SUM(D21:D24)</f>
        <v>1573</v>
      </c>
      <c r="E20" s="133">
        <f t="shared" ref="E20:E24" si="12">IFERROR(SUM((F20/D20)-1),0)</f>
        <v>-0.277813096</v>
      </c>
      <c r="F20" s="202">
        <f>SUM(F21:F24)</f>
        <v>1136</v>
      </c>
      <c r="G20" s="133">
        <f t="shared" ref="G20:G24" si="13">IFERROR(SUM((H20/F20)-1),0)</f>
        <v>0.1496478873</v>
      </c>
      <c r="H20" s="202">
        <f>SUM(H21:H24)</f>
        <v>1306</v>
      </c>
      <c r="J20" s="250" t="s">
        <v>517</v>
      </c>
      <c r="L20" s="32">
        <v>3397.0</v>
      </c>
      <c r="M20" s="9" t="s">
        <v>32</v>
      </c>
      <c r="P20" s="19"/>
      <c r="Q20" s="28"/>
    </row>
    <row r="21">
      <c r="A21" s="24" t="s">
        <v>518</v>
      </c>
      <c r="B21" s="113">
        <v>722.0</v>
      </c>
      <c r="C21" s="59">
        <f t="shared" si="11"/>
        <v>-0.06648199446</v>
      </c>
      <c r="D21" s="113">
        <v>674.0</v>
      </c>
      <c r="E21" s="59">
        <f t="shared" si="12"/>
        <v>-0.6735905045</v>
      </c>
      <c r="F21" s="113">
        <v>220.0</v>
      </c>
      <c r="G21" s="59">
        <f t="shared" si="13"/>
        <v>0.8727272727</v>
      </c>
      <c r="H21" s="113">
        <v>412.0</v>
      </c>
      <c r="J21" s="9" t="s">
        <v>519</v>
      </c>
      <c r="K21" s="29">
        <f>SUM(B78,D78,F78,H78)*K3</f>
        <v>17669000000</v>
      </c>
      <c r="L21" s="23">
        <f>SUM(L19:L20)</f>
        <v>3397</v>
      </c>
      <c r="M21" s="9" t="s">
        <v>39</v>
      </c>
      <c r="O21" s="29"/>
      <c r="P21" s="19"/>
      <c r="Q21" s="28"/>
    </row>
    <row r="22">
      <c r="A22" s="9" t="s">
        <v>520</v>
      </c>
      <c r="B22" s="27">
        <v>9.0</v>
      </c>
      <c r="C22" s="20">
        <f t="shared" si="11"/>
        <v>0</v>
      </c>
      <c r="D22" s="27">
        <v>9.0</v>
      </c>
      <c r="E22" s="20">
        <f t="shared" si="12"/>
        <v>-0.1111111111</v>
      </c>
      <c r="F22" s="27">
        <v>8.0</v>
      </c>
      <c r="G22" s="20">
        <f t="shared" si="13"/>
        <v>0</v>
      </c>
      <c r="H22" s="27">
        <v>8.0</v>
      </c>
      <c r="J22" s="250" t="s">
        <v>476</v>
      </c>
      <c r="P22" s="19"/>
      <c r="Q22" s="28"/>
    </row>
    <row r="23">
      <c r="A23" s="9" t="s">
        <v>521</v>
      </c>
      <c r="B23" s="27">
        <v>837.0</v>
      </c>
      <c r="C23" s="20">
        <f t="shared" si="11"/>
        <v>0.02508960573</v>
      </c>
      <c r="D23" s="27">
        <v>858.0</v>
      </c>
      <c r="E23" s="20">
        <f t="shared" si="12"/>
        <v>0.02214452214</v>
      </c>
      <c r="F23" s="27">
        <v>877.0</v>
      </c>
      <c r="G23" s="20">
        <f t="shared" si="13"/>
        <v>-0.02508551881</v>
      </c>
      <c r="H23" s="27">
        <v>855.0</v>
      </c>
      <c r="J23" s="187" t="s">
        <v>90</v>
      </c>
      <c r="K23" s="74">
        <f>'Indicadores_Ações'!$B$4</f>
        <v>0.04443024618</v>
      </c>
    </row>
    <row r="24">
      <c r="A24" s="9" t="s">
        <v>523</v>
      </c>
      <c r="B24" s="27">
        <v>31.0</v>
      </c>
      <c r="C24" s="20">
        <f t="shared" si="11"/>
        <v>0.03225806452</v>
      </c>
      <c r="D24" s="27">
        <v>32.0</v>
      </c>
      <c r="E24" s="20">
        <f t="shared" si="12"/>
        <v>-0.03125</v>
      </c>
      <c r="F24" s="27">
        <v>31.0</v>
      </c>
      <c r="G24" s="20">
        <f t="shared" si="13"/>
        <v>0</v>
      </c>
      <c r="H24" s="27">
        <v>31.0</v>
      </c>
      <c r="J24" s="51" t="s">
        <v>524</v>
      </c>
      <c r="K24" s="50">
        <f>SUM(B87,D87,F87,H87)*K3</f>
        <v>17366000000</v>
      </c>
    </row>
    <row r="25">
      <c r="J25" s="9" t="s">
        <v>317</v>
      </c>
      <c r="K25" s="29">
        <f t="array" ref="K25">IFERROR(INDEX(Indicador_Ações[], MATCH($J$2, Indicador_Ações[Stock], 0), MATCH(Indicador_Ações[[#HEADERS],[lucro_liquido_12m]], Indicador_Ações[#HEADERS], 0)),"")</f>
        <v>18161000000</v>
      </c>
    </row>
    <row r="26">
      <c r="A26" s="70" t="s">
        <v>313</v>
      </c>
      <c r="B26" s="132">
        <f>B27</f>
        <v>111</v>
      </c>
      <c r="C26" s="133">
        <f t="shared" ref="C26:C27" si="14">IFERROR(SUM((D26/B26)-1),0)</f>
        <v>0</v>
      </c>
      <c r="D26" s="132">
        <f>D27</f>
        <v>111</v>
      </c>
      <c r="E26" s="133">
        <f t="shared" ref="E26:E27" si="15">IFERROR(SUM((F26/D26)-1),0)</f>
        <v>0.02702702703</v>
      </c>
      <c r="F26" s="132">
        <f>F27</f>
        <v>114</v>
      </c>
      <c r="G26" s="133">
        <f t="shared" ref="G26:G27" si="16">IFERROR(SUM((H26/F26)-1),0)</f>
        <v>-0.008771929825</v>
      </c>
      <c r="H26" s="132">
        <f>H27</f>
        <v>113</v>
      </c>
      <c r="J26" s="24" t="s">
        <v>100</v>
      </c>
      <c r="K26" s="86">
        <f t="array" ref="K26">IFERROR(INDEX(Indicador_Ações[], MATCH($J$2, Indicador_Ações[Stock], 0), MATCH(Indicador_Ações[[#HEADERS],[beta_ibov_3a]], Indicador_Ações[#HEADERS], 0)),"")</f>
        <v>1.13</v>
      </c>
    </row>
    <row r="27">
      <c r="A27" s="9" t="s">
        <v>529</v>
      </c>
      <c r="B27" s="27">
        <v>111.0</v>
      </c>
      <c r="C27" s="20">
        <f t="shared" si="14"/>
        <v>0</v>
      </c>
      <c r="D27" s="27">
        <v>111.0</v>
      </c>
      <c r="E27" s="20">
        <f t="shared" si="15"/>
        <v>0.02702702703</v>
      </c>
      <c r="F27" s="27">
        <v>114.0</v>
      </c>
      <c r="G27" s="20">
        <f t="shared" si="16"/>
        <v>-0.008771929825</v>
      </c>
      <c r="H27" s="27">
        <v>113.0</v>
      </c>
      <c r="J27" s="251" t="s">
        <v>486</v>
      </c>
    </row>
    <row r="28">
      <c r="B28" s="27"/>
      <c r="C28" s="20"/>
      <c r="D28" s="27"/>
      <c r="E28" s="20"/>
      <c r="F28" s="27"/>
      <c r="G28" s="20"/>
      <c r="H28" s="27"/>
      <c r="J28" s="248" t="s">
        <v>488</v>
      </c>
    </row>
    <row r="29">
      <c r="A29" s="131" t="s">
        <v>531</v>
      </c>
      <c r="B29" s="202">
        <f>SUM(B30:B31)</f>
        <v>90471</v>
      </c>
      <c r="C29" s="133">
        <f t="shared" ref="C29:C31" si="17">IFERROR(SUM((D29/B29)-1),0)</f>
        <v>0.04540681544</v>
      </c>
      <c r="D29" s="202">
        <f>SUM(D30:D31)</f>
        <v>94579</v>
      </c>
      <c r="E29" s="133">
        <f t="shared" ref="E29:E31" si="18">IFERROR(SUM((F29/D29)-1),0)</f>
        <v>-0.02168557502</v>
      </c>
      <c r="F29" s="202">
        <f>SUM(F30:F31)</f>
        <v>92528</v>
      </c>
      <c r="G29" s="133">
        <f t="shared" ref="G29:G31" si="19">IFERROR(SUM((H29/F29)-1),0)</f>
        <v>-0.04358680616</v>
      </c>
      <c r="H29" s="202">
        <f>SUM(H30:H31)</f>
        <v>88495</v>
      </c>
      <c r="J29" s="51" t="s">
        <v>535</v>
      </c>
      <c r="K29" s="19">
        <f>K13/K17</f>
        <v>0.9434084644</v>
      </c>
    </row>
    <row r="30">
      <c r="A30" s="9" t="s">
        <v>536</v>
      </c>
      <c r="B30" s="27">
        <v>90464.0</v>
      </c>
      <c r="C30" s="20">
        <f t="shared" si="17"/>
        <v>0.04541032897</v>
      </c>
      <c r="D30" s="27">
        <v>94572.0</v>
      </c>
      <c r="E30" s="20">
        <f t="shared" si="18"/>
        <v>-0.02168718014</v>
      </c>
      <c r="F30" s="27">
        <v>92521.0</v>
      </c>
      <c r="G30" s="20">
        <f t="shared" si="19"/>
        <v>-0.04359010387</v>
      </c>
      <c r="H30" s="27">
        <v>88488.0</v>
      </c>
      <c r="J30" s="51" t="s">
        <v>537</v>
      </c>
      <c r="K30" s="19">
        <f>K15/K17</f>
        <v>0.06615858602</v>
      </c>
    </row>
    <row r="31">
      <c r="A31" s="9" t="s">
        <v>538</v>
      </c>
      <c r="B31" s="27">
        <v>7.0</v>
      </c>
      <c r="C31" s="20">
        <f t="shared" si="17"/>
        <v>0</v>
      </c>
      <c r="D31" s="27">
        <v>7.0</v>
      </c>
      <c r="E31" s="20">
        <f t="shared" si="18"/>
        <v>0</v>
      </c>
      <c r="F31" s="27">
        <v>7.0</v>
      </c>
      <c r="G31" s="20">
        <f t="shared" si="19"/>
        <v>0</v>
      </c>
      <c r="H31" s="27">
        <v>7.0</v>
      </c>
      <c r="J31" s="247" t="s">
        <v>235</v>
      </c>
    </row>
    <row r="32">
      <c r="J32" s="233" t="s">
        <v>322</v>
      </c>
      <c r="L32" s="20"/>
    </row>
    <row r="33">
      <c r="A33" s="131" t="s">
        <v>24</v>
      </c>
      <c r="B33" s="202">
        <f>IFERROR(SUM(B4,B7,B17,B11,B20,B26,B29),0)</f>
        <v>97436</v>
      </c>
      <c r="C33" s="20">
        <f>IFERROR(SUM((D33/B33)-1),0)</f>
        <v>0.05255757626</v>
      </c>
      <c r="D33" s="202">
        <f>IFERROR(SUM(D4,D7,D17,D11,D20,D26,D29),0)</f>
        <v>102557</v>
      </c>
      <c r="E33" s="20">
        <f>IFERROR(SUM((F33/D33)-1),0)</f>
        <v>-0.04461908987</v>
      </c>
      <c r="F33" s="202">
        <f>IFERROR(SUM(F4,F7,F17,F11,F20,F26,F29),0)</f>
        <v>97981</v>
      </c>
      <c r="G33" s="20">
        <f>IFERROR(SUM((H33/F33)-1),0)</f>
        <v>-0.03274104163</v>
      </c>
      <c r="H33" s="202">
        <f>IFERROR(SUM(H4,H7,H17,H11,H20,H26,H29),0)</f>
        <v>94773</v>
      </c>
      <c r="K33" s="9" t="s">
        <v>12</v>
      </c>
      <c r="L33" s="9" t="s">
        <v>301</v>
      </c>
      <c r="M33" s="9" t="s">
        <v>14</v>
      </c>
      <c r="N33" s="9" t="s">
        <v>301</v>
      </c>
      <c r="O33" s="9" t="s">
        <v>16</v>
      </c>
      <c r="P33" s="9" t="s">
        <v>301</v>
      </c>
      <c r="Q33" s="9" t="s">
        <v>18</v>
      </c>
    </row>
    <row r="34">
      <c r="A34" s="252"/>
      <c r="B34" s="253"/>
      <c r="C34" s="254"/>
      <c r="D34" s="253"/>
      <c r="E34" s="254"/>
      <c r="F34" s="253"/>
      <c r="G34" s="254"/>
      <c r="H34" s="253"/>
      <c r="J34" s="9" t="s">
        <v>297</v>
      </c>
      <c r="K34" s="23">
        <f>IFERROR(B33/B64,0)</f>
        <v>1.080269635</v>
      </c>
      <c r="L34" s="20">
        <f t="shared" ref="L34:L39" si="20">IFERROR(SUM((M34/K34)-1),0)</f>
        <v>0.01222393803</v>
      </c>
      <c r="M34" s="23">
        <f>IFERROR(D33/D64,0)</f>
        <v>1.093474784</v>
      </c>
      <c r="N34" s="20">
        <f t="shared" ref="N34:N39" si="21">IFERROR(SUM((O34/M34)-1),0)</f>
        <v>-0.03037294333</v>
      </c>
      <c r="O34" s="23">
        <f>IFERROR(F33/F64,0)</f>
        <v>1.060262736</v>
      </c>
      <c r="P34" s="20">
        <f t="shared" ref="P34:P39" si="22">IFERROR(SUM((Q34/O34)-1),0)</f>
        <v>0.007113231489</v>
      </c>
      <c r="Q34" s="23">
        <f>IFERROR(H33/H64,0)</f>
        <v>1.067804631</v>
      </c>
    </row>
    <row r="35">
      <c r="A35" s="131" t="s">
        <v>543</v>
      </c>
      <c r="B35" s="202">
        <f>SUM(B36:B37)</f>
        <v>3258</v>
      </c>
      <c r="C35" s="20">
        <f t="shared" ref="C35:C37" si="23">IFERROR(SUM((D35/B35)-1),0)</f>
        <v>0.03591160221</v>
      </c>
      <c r="D35" s="202">
        <f>SUM(D36:D37)</f>
        <v>3375</v>
      </c>
      <c r="E35" s="20">
        <f t="shared" ref="E35:E37" si="24">IFERROR(SUM((F35/D35)-1),0)</f>
        <v>-0.08681481481</v>
      </c>
      <c r="F35" s="202">
        <f>SUM(F36:F37)</f>
        <v>3082</v>
      </c>
      <c r="G35" s="20">
        <f t="shared" ref="G35:G37" si="25">IFERROR(SUM((H35/F35)-1),0)</f>
        <v>0.03926022064</v>
      </c>
      <c r="H35" s="202">
        <f>SUM(H36:H37)</f>
        <v>3203</v>
      </c>
      <c r="J35" s="9" t="s">
        <v>509</v>
      </c>
      <c r="K35" s="20">
        <f>IFERROR(B29/B33,0)</f>
        <v>0.9285171805</v>
      </c>
      <c r="L35" s="20">
        <f t="shared" si="20"/>
        <v>-0.006793700385</v>
      </c>
      <c r="M35" s="20">
        <f>IFERROR(D29/D33,0)</f>
        <v>0.922209113</v>
      </c>
      <c r="N35" s="20">
        <f t="shared" si="21"/>
        <v>0.02400457724</v>
      </c>
      <c r="O35" s="20">
        <f>IFERROR(F29/F33,0)</f>
        <v>0.9443463529</v>
      </c>
      <c r="P35" s="20">
        <f t="shared" si="22"/>
        <v>-0.0112128861</v>
      </c>
      <c r="Q35" s="20">
        <f>IFERROR(H29/H33,0)</f>
        <v>0.9337575048</v>
      </c>
    </row>
    <row r="36">
      <c r="A36" s="24" t="s">
        <v>545</v>
      </c>
      <c r="B36" s="113">
        <v>234.0</v>
      </c>
      <c r="C36" s="59">
        <f t="shared" si="23"/>
        <v>0.5</v>
      </c>
      <c r="D36" s="113">
        <v>351.0</v>
      </c>
      <c r="E36" s="59">
        <f t="shared" si="24"/>
        <v>-0.8319088319</v>
      </c>
      <c r="F36" s="113">
        <v>59.0</v>
      </c>
      <c r="G36" s="59">
        <f t="shared" si="25"/>
        <v>2.033898305</v>
      </c>
      <c r="H36" s="113">
        <v>179.0</v>
      </c>
      <c r="J36" s="9" t="s">
        <v>511</v>
      </c>
      <c r="K36" s="20">
        <f>IFERROR(B35/B33,0)</f>
        <v>0.03343733322</v>
      </c>
      <c r="L36" s="20">
        <f t="shared" si="20"/>
        <v>-0.01581478716</v>
      </c>
      <c r="M36" s="20">
        <f>IFERROR(D35/D33,0)</f>
        <v>0.03290852892</v>
      </c>
      <c r="N36" s="20">
        <f t="shared" si="21"/>
        <v>-0.04416638902</v>
      </c>
      <c r="O36" s="20">
        <f>IFERROR(F35/F33,0)</f>
        <v>0.03145507803</v>
      </c>
      <c r="P36" s="20">
        <f t="shared" si="22"/>
        <v>0.07443845481</v>
      </c>
      <c r="Q36" s="20">
        <f>IFERROR(H35/H33,0)</f>
        <v>0.03379654543</v>
      </c>
    </row>
    <row r="37">
      <c r="A37" s="9" t="s">
        <v>548</v>
      </c>
      <c r="B37" s="27">
        <v>3024.0</v>
      </c>
      <c r="C37" s="20">
        <f t="shared" si="23"/>
        <v>0</v>
      </c>
      <c r="D37" s="27">
        <v>3024.0</v>
      </c>
      <c r="E37" s="20">
        <f t="shared" si="24"/>
        <v>-0.0003306878307</v>
      </c>
      <c r="F37" s="27">
        <v>3023.0</v>
      </c>
      <c r="G37" s="20">
        <f t="shared" si="25"/>
        <v>0.0003307972213</v>
      </c>
      <c r="H37" s="27">
        <v>3024.0</v>
      </c>
      <c r="J37" s="9" t="s">
        <v>335</v>
      </c>
      <c r="K37" s="20">
        <f>IFERROR(SUM(B4,B7,B17)/B33,0)</f>
        <v>0.05331704914</v>
      </c>
      <c r="L37" s="20">
        <f t="shared" si="20"/>
        <v>0.1402630315</v>
      </c>
      <c r="M37" s="20">
        <f>IFERROR(SUM(D4,D7,D17)/D33,0)</f>
        <v>0.06079546009</v>
      </c>
      <c r="N37" s="20">
        <f t="shared" si="21"/>
        <v>-0.3041565912</v>
      </c>
      <c r="O37" s="20">
        <f>IFERROR(SUM(F4,F7,F17)/F33,0)</f>
        <v>0.04230412019</v>
      </c>
      <c r="P37" s="20">
        <f t="shared" si="22"/>
        <v>0.19697052</v>
      </c>
      <c r="Q37" s="20">
        <f>IFERROR(SUM(H4,H7,H17)/H33,0)</f>
        <v>0.05063678474</v>
      </c>
    </row>
    <row r="38">
      <c r="J38" s="9" t="s">
        <v>341</v>
      </c>
      <c r="K38" s="20">
        <f>IFERROR(B64/B33,0)</f>
        <v>0.9256948151</v>
      </c>
      <c r="L38" s="20">
        <f t="shared" si="20"/>
        <v>-0.01207631787</v>
      </c>
      <c r="M38" s="20">
        <f>IFERROR(D64/D33,0)</f>
        <v>0.9145158302</v>
      </c>
      <c r="N38" s="20">
        <f t="shared" si="21"/>
        <v>0.03132435623</v>
      </c>
      <c r="O38" s="20">
        <f>IFERROR(F64/F33,0)</f>
        <v>0.9431624499</v>
      </c>
      <c r="P38" s="20">
        <f t="shared" si="22"/>
        <v>-0.007062990801</v>
      </c>
      <c r="Q38" s="20">
        <f>IFERROR(H64/H33,0)</f>
        <v>0.9365009022</v>
      </c>
    </row>
    <row r="39">
      <c r="A39" s="70" t="s">
        <v>550</v>
      </c>
      <c r="B39" s="132">
        <f>B40</f>
        <v>1385</v>
      </c>
      <c r="C39" s="133">
        <f t="shared" ref="C39:C40" si="26">IFERROR(SUM((D39/B39)-1),0)</f>
        <v>0.9646209386</v>
      </c>
      <c r="D39" s="132">
        <f>D40</f>
        <v>2721</v>
      </c>
      <c r="E39" s="133">
        <f t="shared" ref="E39:E40" si="27">IFERROR(SUM((F39/D39)-1),0)</f>
        <v>-0.9073869901</v>
      </c>
      <c r="F39" s="132">
        <f>F40</f>
        <v>252</v>
      </c>
      <c r="G39" s="133">
        <f t="shared" ref="G39:G40" si="28">IFERROR(SUM((H39/F39)-1),0)</f>
        <v>0.7261904762</v>
      </c>
      <c r="H39" s="132">
        <f>H40</f>
        <v>435</v>
      </c>
      <c r="J39" s="9" t="s">
        <v>551</v>
      </c>
      <c r="K39" s="20">
        <f>IFERROR(SUM(B4,B7)/B35,0)</f>
        <v>1.183241252</v>
      </c>
      <c r="L39" s="20">
        <f t="shared" si="20"/>
        <v>-0.06396472114</v>
      </c>
      <c r="M39" s="20">
        <f>IFERROR(SUM(D4,D7)/D35,0)</f>
        <v>1.107555556</v>
      </c>
      <c r="N39" s="20">
        <f t="shared" si="21"/>
        <v>0.1352030586</v>
      </c>
      <c r="O39" s="20">
        <f>IFERROR(SUM(F4,F7)/F35,0)</f>
        <v>1.257300454</v>
      </c>
      <c r="P39" s="20">
        <f t="shared" si="22"/>
        <v>-0.1577135145</v>
      </c>
      <c r="Q39" s="20">
        <f>IFERROR(SUM(H4,H7)/H35,0)</f>
        <v>1.059007181</v>
      </c>
    </row>
    <row r="40">
      <c r="A40" s="24" t="s">
        <v>553</v>
      </c>
      <c r="B40" s="113">
        <v>1385.0</v>
      </c>
      <c r="C40" s="59">
        <f t="shared" si="26"/>
        <v>0.9646209386</v>
      </c>
      <c r="D40" s="113">
        <v>2721.0</v>
      </c>
      <c r="E40" s="59">
        <f t="shared" si="27"/>
        <v>-0.9073869901</v>
      </c>
      <c r="F40" s="113">
        <v>252.0</v>
      </c>
      <c r="G40" s="59">
        <f t="shared" si="28"/>
        <v>0.7261904762</v>
      </c>
      <c r="H40" s="113">
        <v>435.0</v>
      </c>
      <c r="J40" s="81" t="s">
        <v>345</v>
      </c>
      <c r="L40" s="20"/>
      <c r="N40" s="20"/>
      <c r="P40" s="20"/>
    </row>
    <row r="41">
      <c r="J41" s="70" t="s">
        <v>347</v>
      </c>
      <c r="L41" s="20"/>
      <c r="N41" s="20"/>
      <c r="P41" s="20"/>
    </row>
    <row r="42">
      <c r="A42" s="131" t="s">
        <v>353</v>
      </c>
      <c r="B42" s="202">
        <f>SUM(B43:B45)</f>
        <v>60</v>
      </c>
      <c r="C42" s="20">
        <f t="shared" ref="C42:C45" si="29">IFERROR(SUM((D42/B42)-1),0)</f>
        <v>0.2833333333</v>
      </c>
      <c r="D42" s="202">
        <f>SUM(D43:D45)</f>
        <v>77</v>
      </c>
      <c r="E42" s="20">
        <f t="shared" ref="E42:E45" si="30">IFERROR(SUM((F42/D42)-1),0)</f>
        <v>-0.06493506494</v>
      </c>
      <c r="F42" s="202">
        <f>SUM(F43:F45)</f>
        <v>72</v>
      </c>
      <c r="G42" s="20">
        <f t="shared" ref="G42:G45" si="31">IFERROR(SUM((H42/F42)-1),0)</f>
        <v>0.1805555556</v>
      </c>
      <c r="H42" s="202">
        <f>SUM(H43:H45)</f>
        <v>85</v>
      </c>
      <c r="J42" s="9" t="s">
        <v>554</v>
      </c>
      <c r="K42" s="20">
        <f>B68/B67</f>
        <v>0.9144585854</v>
      </c>
      <c r="L42" s="20">
        <f t="shared" ref="L42:L46" si="32">IFERROR(SUM((M42/K42)-1),0)</f>
        <v>0.06960402255</v>
      </c>
      <c r="M42" s="20">
        <f>D68/D67</f>
        <v>0.9781085814</v>
      </c>
      <c r="N42" s="20">
        <f t="shared" ref="N42:N46" si="33">IFERROR(SUM((O42/M42)-1),0)</f>
        <v>-0.04407692104</v>
      </c>
      <c r="O42" s="20">
        <f>F68/F67</f>
        <v>0.9349965667</v>
      </c>
      <c r="P42" s="20">
        <f t="shared" ref="P42:P46" si="34">IFERROR(SUM((Q42/O42)-1),0)</f>
        <v>0.01280723219</v>
      </c>
      <c r="Q42" s="20">
        <f>H68/H67</f>
        <v>0.9469712848</v>
      </c>
    </row>
    <row r="43">
      <c r="A43" s="24" t="s">
        <v>555</v>
      </c>
      <c r="B43" s="113">
        <v>14.0</v>
      </c>
      <c r="C43" s="59">
        <f t="shared" si="29"/>
        <v>2.285714286</v>
      </c>
      <c r="D43" s="113">
        <v>46.0</v>
      </c>
      <c r="E43" s="59">
        <f t="shared" si="30"/>
        <v>-0.5652173913</v>
      </c>
      <c r="F43" s="113">
        <v>20.0</v>
      </c>
      <c r="G43" s="59">
        <f t="shared" si="31"/>
        <v>0.15</v>
      </c>
      <c r="H43" s="113">
        <v>23.0</v>
      </c>
      <c r="J43" s="9" t="s">
        <v>556</v>
      </c>
      <c r="K43" s="20">
        <f>B69/B67</f>
        <v>0.09472146881</v>
      </c>
      <c r="L43" s="20">
        <f t="shared" si="32"/>
        <v>-0.6741298402</v>
      </c>
      <c r="M43" s="20">
        <f>D69/D67</f>
        <v>0.03086690018</v>
      </c>
      <c r="N43" s="20">
        <f t="shared" si="33"/>
        <v>1.447027656</v>
      </c>
      <c r="O43" s="20">
        <f>F69/F67</f>
        <v>0.07553215839</v>
      </c>
      <c r="P43" s="20">
        <f t="shared" si="34"/>
        <v>-0.1702832136</v>
      </c>
      <c r="Q43" s="20">
        <f>H69/H67</f>
        <v>0.06267029973</v>
      </c>
    </row>
    <row r="44">
      <c r="A44" s="9" t="s">
        <v>558</v>
      </c>
      <c r="B44" s="27">
        <v>17.0</v>
      </c>
      <c r="C44" s="20">
        <f t="shared" si="29"/>
        <v>-0.8823529412</v>
      </c>
      <c r="D44" s="27">
        <v>2.0</v>
      </c>
      <c r="E44" s="20">
        <f t="shared" si="30"/>
        <v>7.5</v>
      </c>
      <c r="F44" s="27">
        <v>17.0</v>
      </c>
      <c r="G44" s="20">
        <f t="shared" si="31"/>
        <v>0</v>
      </c>
      <c r="H44" s="27">
        <v>17.0</v>
      </c>
      <c r="J44" s="9" t="s">
        <v>246</v>
      </c>
      <c r="K44" s="124">
        <f>ABS(B72)/B67</f>
        <v>0.04235343209</v>
      </c>
      <c r="L44" s="20">
        <f t="shared" si="32"/>
        <v>0.1422931423</v>
      </c>
      <c r="M44" s="124">
        <f>ABS(D72)/D67</f>
        <v>0.04838003503</v>
      </c>
      <c r="N44" s="20">
        <f t="shared" si="33"/>
        <v>-0.1673462455</v>
      </c>
      <c r="O44" s="124">
        <f>ABS(F72)/F67</f>
        <v>0.04028381781</v>
      </c>
      <c r="P44" s="20">
        <f t="shared" si="34"/>
        <v>0.2071130504</v>
      </c>
      <c r="Q44" s="124">
        <f>ABS(H72)/H67</f>
        <v>0.0486271222</v>
      </c>
    </row>
    <row r="45">
      <c r="A45" s="24" t="s">
        <v>559</v>
      </c>
      <c r="B45" s="113">
        <v>29.0</v>
      </c>
      <c r="C45" s="59">
        <f t="shared" si="29"/>
        <v>0</v>
      </c>
      <c r="D45" s="113">
        <v>29.0</v>
      </c>
      <c r="E45" s="59">
        <f t="shared" si="30"/>
        <v>0.2068965517</v>
      </c>
      <c r="F45" s="113">
        <v>35.0</v>
      </c>
      <c r="G45" s="59">
        <f t="shared" si="31"/>
        <v>0.2857142857</v>
      </c>
      <c r="H45" s="113">
        <v>45.0</v>
      </c>
      <c r="J45" s="9" t="s">
        <v>356</v>
      </c>
      <c r="K45" s="20">
        <f>IFERROR(H73/B73-1,0)
</f>
        <v>0.1818181818</v>
      </c>
      <c r="L45" s="20">
        <f t="shared" si="32"/>
        <v>-0.875</v>
      </c>
      <c r="M45" s="20">
        <f>IFERROR(D73/B73-1,0)
</f>
        <v>0.02272727273</v>
      </c>
      <c r="N45" s="20">
        <f t="shared" si="33"/>
        <v>-1.977777778</v>
      </c>
      <c r="O45" s="20">
        <f>IFERROR(F73/D73-1,0)
</f>
        <v>-0.02222222222</v>
      </c>
      <c r="P45" s="20">
        <f t="shared" si="34"/>
        <v>-9.181818182</v>
      </c>
      <c r="Q45" s="20">
        <f>IFERROR(H73/F73-1,0)
</f>
        <v>0.1818181818</v>
      </c>
    </row>
    <row r="46">
      <c r="B46" s="23"/>
      <c r="C46" s="20"/>
      <c r="D46" s="23"/>
      <c r="E46" s="20"/>
      <c r="F46" s="23"/>
      <c r="G46" s="20"/>
      <c r="H46" s="23"/>
      <c r="J46" s="9" t="s">
        <v>562</v>
      </c>
      <c r="K46" s="20">
        <f>IFERROR(H67/B67-1,0)
</f>
        <v>-0.004590027123</v>
      </c>
      <c r="L46" s="20">
        <f t="shared" si="32"/>
        <v>9.227272727</v>
      </c>
      <c r="M46" s="20">
        <f>IFERROR(D67/B67-1,0)
</f>
        <v>-0.04694345921</v>
      </c>
      <c r="N46" s="20">
        <f t="shared" si="33"/>
        <v>-0.07199163261</v>
      </c>
      <c r="O46" s="20">
        <f>IFERROR(F67/D67-1,0)
</f>
        <v>-0.04356392294</v>
      </c>
      <c r="P46" s="20">
        <f t="shared" si="34"/>
        <v>-3.112112405</v>
      </c>
      <c r="Q46" s="20">
        <f>IFERROR(H67/F67-1,0)
</f>
        <v>0.09201190204</v>
      </c>
    </row>
    <row r="47">
      <c r="A47" s="131" t="s">
        <v>516</v>
      </c>
      <c r="B47" s="132">
        <f>SUM(B48:B49)</f>
        <v>359</v>
      </c>
      <c r="C47" s="20">
        <f t="shared" ref="C47:C49" si="35">IFERROR(SUM((D47/B47)-1),0)</f>
        <v>0.1086350975</v>
      </c>
      <c r="D47" s="132">
        <f>SUM(D48:D49)</f>
        <v>398</v>
      </c>
      <c r="E47" s="20">
        <f t="shared" ref="E47:E49" si="36">IFERROR(SUM((F47/D47)-1),0)</f>
        <v>-0.864321608</v>
      </c>
      <c r="F47" s="132">
        <f>SUM(F48:F49)</f>
        <v>54</v>
      </c>
      <c r="G47" s="20">
        <f t="shared" ref="G47:G49" si="37">IFERROR(SUM((H47/F47)-1),0)</f>
        <v>1.722222222</v>
      </c>
      <c r="H47" s="132">
        <f>SUM(H48:H49)</f>
        <v>147</v>
      </c>
      <c r="Q47" s="22"/>
      <c r="R47" s="22"/>
      <c r="S47" s="22"/>
      <c r="T47" s="22"/>
      <c r="U47" s="22"/>
      <c r="V47" s="22"/>
    </row>
    <row r="48">
      <c r="A48" s="24" t="s">
        <v>566</v>
      </c>
      <c r="B48" s="113">
        <v>356.0</v>
      </c>
      <c r="C48" s="59">
        <f t="shared" si="35"/>
        <v>0.1095505618</v>
      </c>
      <c r="D48" s="113">
        <v>395.0</v>
      </c>
      <c r="E48" s="59">
        <f t="shared" si="36"/>
        <v>-0.8962025316</v>
      </c>
      <c r="F48" s="113">
        <v>41.0</v>
      </c>
      <c r="G48" s="59">
        <f t="shared" si="37"/>
        <v>2.536585366</v>
      </c>
      <c r="H48" s="113">
        <v>145.0</v>
      </c>
      <c r="J48" s="22"/>
      <c r="K48" s="22"/>
      <c r="L48" s="22"/>
      <c r="M48" s="22"/>
      <c r="N48" s="22"/>
      <c r="Q48" s="21"/>
      <c r="R48" s="22"/>
      <c r="S48" s="22"/>
      <c r="T48" s="22"/>
      <c r="U48" s="22"/>
      <c r="V48" s="22"/>
    </row>
    <row r="49" ht="22.5" customHeight="1">
      <c r="A49" s="9" t="s">
        <v>567</v>
      </c>
      <c r="B49" s="27">
        <v>3.0</v>
      </c>
      <c r="C49" s="20">
        <f t="shared" si="35"/>
        <v>0</v>
      </c>
      <c r="D49" s="27">
        <v>3.0</v>
      </c>
      <c r="E49" s="20">
        <f t="shared" si="36"/>
        <v>3.333333333</v>
      </c>
      <c r="F49" s="27">
        <v>13.0</v>
      </c>
      <c r="G49" s="20">
        <f t="shared" si="37"/>
        <v>-0.8461538462</v>
      </c>
      <c r="H49" s="27">
        <v>2.0</v>
      </c>
      <c r="J49" s="82" t="s">
        <v>104</v>
      </c>
      <c r="K49" s="82" t="s">
        <v>105</v>
      </c>
      <c r="L49" s="82" t="s">
        <v>11</v>
      </c>
      <c r="M49" s="82" t="s">
        <v>106</v>
      </c>
      <c r="N49" s="82" t="s">
        <v>107</v>
      </c>
      <c r="O49" s="84" t="s">
        <v>108</v>
      </c>
      <c r="Q49" s="107"/>
      <c r="R49" s="107"/>
      <c r="S49" s="107"/>
      <c r="T49" s="107"/>
      <c r="U49" s="107"/>
      <c r="V49" s="107"/>
    </row>
    <row r="50" ht="22.5" customHeight="1">
      <c r="J50" s="87" t="s">
        <v>112</v>
      </c>
      <c r="K50" s="88">
        <f>K2</f>
        <v>13.98</v>
      </c>
      <c r="L50" s="89">
        <v>1.0</v>
      </c>
      <c r="M50" s="90">
        <f>K55</f>
        <v>17366000000</v>
      </c>
      <c r="N50" s="91"/>
      <c r="O50" s="92">
        <v>6.0</v>
      </c>
      <c r="Q50" s="107"/>
      <c r="R50" s="107"/>
      <c r="S50" s="107"/>
      <c r="T50" s="107"/>
      <c r="U50" s="107"/>
      <c r="V50" s="107"/>
    </row>
    <row r="51" ht="22.5" customHeight="1">
      <c r="A51" s="131" t="s">
        <v>533</v>
      </c>
      <c r="B51" s="27">
        <v>2162.0</v>
      </c>
      <c r="C51" s="20">
        <f>IFERROR(SUM((D51/B51)-1),0)</f>
        <v>0.01526364477</v>
      </c>
      <c r="D51" s="27">
        <v>2195.0</v>
      </c>
      <c r="E51" s="20">
        <f>IFERROR(SUM((F51/D51)-1),0)</f>
        <v>-0.04601366743</v>
      </c>
      <c r="F51" s="27">
        <v>2094.0</v>
      </c>
      <c r="G51" s="20">
        <f>IFERROR(SUM((H51/F51)-1),0)</f>
        <v>0.01671442216</v>
      </c>
      <c r="H51" s="27">
        <v>2129.0</v>
      </c>
      <c r="J51" s="97" t="s">
        <v>10</v>
      </c>
      <c r="K51" s="98">
        <f>L2</f>
        <v>11213700000</v>
      </c>
      <c r="L51" s="99">
        <v>2.0</v>
      </c>
      <c r="M51" s="100">
        <f t="shared" ref="M51:M56" si="38">M50*(1+O50/100)</f>
        <v>18407960000</v>
      </c>
      <c r="N51" s="100">
        <f>M51/(1+K56)^L50</f>
        <v>16002747109</v>
      </c>
      <c r="O51" s="92">
        <v>6.0</v>
      </c>
      <c r="Q51" s="107"/>
      <c r="R51" s="107"/>
      <c r="S51" s="107"/>
      <c r="T51" s="107"/>
      <c r="U51" s="107"/>
      <c r="V51" s="107"/>
    </row>
    <row r="52" ht="22.5" customHeight="1">
      <c r="J52" s="87" t="s">
        <v>116</v>
      </c>
      <c r="K52" s="88">
        <f>K5</f>
        <v>156767526000</v>
      </c>
      <c r="L52" s="89">
        <v>3.0</v>
      </c>
      <c r="M52" s="100">
        <f t="shared" si="38"/>
        <v>19512437600</v>
      </c>
      <c r="N52" s="90">
        <f>M52/(1+K56)^L51</f>
        <v>14746511289</v>
      </c>
      <c r="O52" s="92">
        <v>6.0</v>
      </c>
      <c r="Q52" s="107"/>
      <c r="R52" s="107"/>
      <c r="S52" s="107"/>
      <c r="T52" s="107"/>
      <c r="U52" s="107"/>
      <c r="V52" s="107"/>
    </row>
    <row r="53" ht="22.5" customHeight="1">
      <c r="A53" s="131" t="s">
        <v>542</v>
      </c>
      <c r="B53" s="132">
        <f>SUM(B54:B55)</f>
        <v>16</v>
      </c>
      <c r="C53" s="20">
        <f t="shared" ref="C53:C56" si="39">IFERROR(SUM((D53/B53)-1),0)</f>
        <v>-0.9375</v>
      </c>
      <c r="D53" s="132">
        <f>SUM(D54:D55)</f>
        <v>1</v>
      </c>
      <c r="E53" s="20">
        <f t="shared" ref="E53:E56" si="40">IFERROR(SUM((F53/D53)-1),0)</f>
        <v>14</v>
      </c>
      <c r="F53" s="132">
        <f>SUM(F54:F55)</f>
        <v>15</v>
      </c>
      <c r="G53" s="20">
        <f t="shared" ref="G53:G56" si="41">IFERROR(SUM((H53/F53)-1),0)</f>
        <v>0.2666666667</v>
      </c>
      <c r="H53" s="132">
        <f>SUM(H54:H55)</f>
        <v>19</v>
      </c>
      <c r="J53" s="97"/>
      <c r="K53" s="92"/>
      <c r="L53" s="99">
        <v>4.0</v>
      </c>
      <c r="M53" s="100">
        <f t="shared" si="38"/>
        <v>20683183856</v>
      </c>
      <c r="N53" s="100">
        <f>M53/(1+K56)^L52</f>
        <v>13588891564</v>
      </c>
      <c r="O53" s="92">
        <v>6.0</v>
      </c>
      <c r="Q53" s="107"/>
      <c r="R53" s="107"/>
      <c r="S53" s="107"/>
      <c r="T53" s="107"/>
      <c r="U53" s="107"/>
      <c r="V53" s="107"/>
    </row>
    <row r="54" ht="22.5" customHeight="1">
      <c r="A54" s="24" t="s">
        <v>574</v>
      </c>
      <c r="B54" s="113">
        <v>14.0</v>
      </c>
      <c r="C54" s="59">
        <f t="shared" si="39"/>
        <v>-1</v>
      </c>
      <c r="D54" s="113">
        <v>0.0</v>
      </c>
      <c r="E54" s="59">
        <f t="shared" si="40"/>
        <v>0</v>
      </c>
      <c r="F54" s="113">
        <v>14.0</v>
      </c>
      <c r="G54" s="59">
        <f t="shared" si="41"/>
        <v>0.2142857143</v>
      </c>
      <c r="H54" s="113">
        <v>17.0</v>
      </c>
      <c r="J54" s="87" t="s">
        <v>120</v>
      </c>
      <c r="K54" s="105">
        <v>0.04</v>
      </c>
      <c r="L54" s="89">
        <v>5.0</v>
      </c>
      <c r="M54" s="100">
        <f t="shared" si="38"/>
        <v>21924174887</v>
      </c>
      <c r="N54" s="90">
        <f>M54/(1+K56)^L53</f>
        <v>12522146447</v>
      </c>
      <c r="O54" s="92">
        <v>6.0</v>
      </c>
      <c r="Q54" s="107"/>
      <c r="R54" s="107"/>
      <c r="S54" s="107"/>
      <c r="T54" s="107"/>
      <c r="U54" s="107"/>
      <c r="V54" s="107"/>
    </row>
    <row r="55" ht="22.5" customHeight="1">
      <c r="A55" s="9" t="s">
        <v>579</v>
      </c>
      <c r="B55" s="27">
        <v>2.0</v>
      </c>
      <c r="C55" s="20">
        <f t="shared" si="39"/>
        <v>-0.5</v>
      </c>
      <c r="D55" s="27">
        <v>1.0</v>
      </c>
      <c r="E55" s="20">
        <f t="shared" si="40"/>
        <v>0</v>
      </c>
      <c r="F55" s="27">
        <v>1.0</v>
      </c>
      <c r="G55" s="20">
        <f t="shared" si="41"/>
        <v>1</v>
      </c>
      <c r="H55" s="27">
        <v>2.0</v>
      </c>
      <c r="J55" s="259" t="s">
        <v>480</v>
      </c>
      <c r="K55" s="98">
        <f>K24</f>
        <v>17366000000</v>
      </c>
      <c r="L55" s="99">
        <v>6.0</v>
      </c>
      <c r="M55" s="100">
        <f t="shared" si="38"/>
        <v>23239625381</v>
      </c>
      <c r="N55" s="100">
        <f>M55/(1+K56)^L54</f>
        <v>11539142167</v>
      </c>
      <c r="O55" s="92">
        <v>6.0</v>
      </c>
      <c r="Q55" s="107"/>
      <c r="R55" s="107"/>
      <c r="S55" s="107"/>
      <c r="T55" s="107"/>
      <c r="U55" s="107"/>
      <c r="V55" s="107"/>
    </row>
    <row r="56" ht="22.5" customHeight="1">
      <c r="A56" s="131" t="s">
        <v>60</v>
      </c>
      <c r="B56" s="202">
        <f>SUM(B35,B39,B42,B47,B51,B53)</f>
        <v>7240</v>
      </c>
      <c r="C56" s="20">
        <f t="shared" si="39"/>
        <v>0.2109116022</v>
      </c>
      <c r="D56" s="202">
        <f>SUM(D35,D39,D42,D47,D51,D53)</f>
        <v>8767</v>
      </c>
      <c r="E56" s="20">
        <f t="shared" si="40"/>
        <v>-0.3647770047</v>
      </c>
      <c r="F56" s="202">
        <f>SUM(F35,F39,F42,F47,F51,F53)</f>
        <v>5569</v>
      </c>
      <c r="G56" s="20">
        <f t="shared" si="41"/>
        <v>0.08062488777</v>
      </c>
      <c r="H56" s="202">
        <f>SUM(H35,H39,H42,H47,H51,H53)</f>
        <v>6018</v>
      </c>
      <c r="J56" s="110" t="s">
        <v>125</v>
      </c>
      <c r="K56" s="105">
        <f>O6</f>
        <v>0.1503</v>
      </c>
      <c r="L56" s="89">
        <v>7.0</v>
      </c>
      <c r="M56" s="100">
        <f t="shared" si="38"/>
        <v>24634002903</v>
      </c>
      <c r="N56" s="90">
        <f>M56/(1+K56)^L55</f>
        <v>10633304961</v>
      </c>
      <c r="O56" s="92"/>
      <c r="Q56" s="22"/>
      <c r="R56" s="22"/>
      <c r="S56" s="22"/>
      <c r="T56" s="22"/>
      <c r="U56" s="22"/>
      <c r="V56" s="22"/>
    </row>
    <row r="57" ht="22.5" customHeight="1">
      <c r="A57" s="24" t="s">
        <v>586</v>
      </c>
      <c r="B57" s="115">
        <f>B56+B64</f>
        <v>97436</v>
      </c>
      <c r="C57" s="86"/>
      <c r="D57" s="115">
        <f>D56+D64</f>
        <v>102557</v>
      </c>
      <c r="E57" s="86"/>
      <c r="F57" s="115">
        <f>F56+F64</f>
        <v>97981</v>
      </c>
      <c r="G57" s="86"/>
      <c r="H57" s="115">
        <f>H56+H64</f>
        <v>94773</v>
      </c>
      <c r="J57" s="97" t="s">
        <v>128</v>
      </c>
      <c r="K57" s="98">
        <f>K58/K51</f>
        <v>14.82046898</v>
      </c>
      <c r="L57" s="99" t="s">
        <v>131</v>
      </c>
      <c r="M57" s="100">
        <f>IFERROR( M56 * (1 + K54) / (K56  -K54  ), 0 )
</f>
        <v>232269836986</v>
      </c>
      <c r="N57" s="100">
        <f>M57/(1+K56)^L56</f>
        <v>87159549449</v>
      </c>
      <c r="O57" s="92"/>
      <c r="P57" s="20"/>
    </row>
    <row r="58" ht="22.5" customHeight="1">
      <c r="A58" s="56"/>
      <c r="B58" s="57"/>
      <c r="C58" s="58"/>
      <c r="D58" s="57"/>
      <c r="E58" s="58"/>
      <c r="F58" s="57"/>
      <c r="G58" s="58"/>
      <c r="H58" s="57"/>
      <c r="J58" s="87" t="s">
        <v>136</v>
      </c>
      <c r="K58" s="88">
        <f>N58</f>
        <v>166192292987</v>
      </c>
      <c r="L58" s="116"/>
      <c r="M58" s="90"/>
      <c r="N58" s="90">
        <f>SUM(N50:N57)</f>
        <v>166192292987</v>
      </c>
      <c r="O58" s="92"/>
      <c r="P58" s="20"/>
      <c r="Q58" s="107"/>
      <c r="R58" s="107"/>
    </row>
    <row r="59">
      <c r="A59" s="9" t="s">
        <v>365</v>
      </c>
      <c r="B59" s="27">
        <v>83689.0</v>
      </c>
      <c r="C59" s="20">
        <f t="shared" ref="C59:C64" si="42">IFERROR(SUM((D59/B59)-1),0)</f>
        <v>0</v>
      </c>
      <c r="D59" s="27">
        <v>83689.0</v>
      </c>
      <c r="E59" s="20">
        <f t="shared" ref="E59:E64" si="43">IFERROR(SUM((F59/D59)-1),0)</f>
        <v>-0.02987250415</v>
      </c>
      <c r="F59" s="27">
        <v>81189.0</v>
      </c>
      <c r="G59" s="20">
        <f t="shared" ref="G59:G64" si="44">IFERROR(SUM((H59/F59)-1),0)</f>
        <v>0.03079234872</v>
      </c>
      <c r="H59" s="27">
        <v>83689.0</v>
      </c>
      <c r="K59" s="32"/>
      <c r="L59" s="20"/>
      <c r="M59" s="23"/>
      <c r="N59" s="20"/>
      <c r="O59" s="23"/>
      <c r="P59" s="20"/>
      <c r="Q59" s="107"/>
      <c r="R59" s="107"/>
    </row>
    <row r="60">
      <c r="A60" s="9" t="s">
        <v>366</v>
      </c>
      <c r="B60" s="27">
        <v>429.0</v>
      </c>
      <c r="C60" s="20">
        <f t="shared" si="42"/>
        <v>0.1678321678</v>
      </c>
      <c r="D60" s="27">
        <v>501.0</v>
      </c>
      <c r="E60" s="20">
        <f t="shared" si="43"/>
        <v>-0.121756487</v>
      </c>
      <c r="F60" s="27">
        <v>440.0</v>
      </c>
      <c r="G60" s="20">
        <f t="shared" si="44"/>
        <v>0.725</v>
      </c>
      <c r="H60" s="27">
        <v>759.0</v>
      </c>
      <c r="Q60" s="107"/>
      <c r="R60" s="107"/>
    </row>
    <row r="61" ht="22.5" customHeight="1">
      <c r="A61" s="9" t="s">
        <v>367</v>
      </c>
      <c r="B61" s="27">
        <v>8530.0</v>
      </c>
      <c r="C61" s="20">
        <f t="shared" si="42"/>
        <v>0.4036342321</v>
      </c>
      <c r="D61" s="27">
        <v>11973.0</v>
      </c>
      <c r="E61" s="20">
        <f t="shared" si="43"/>
        <v>0.1257830118</v>
      </c>
      <c r="F61" s="27">
        <v>13479.0</v>
      </c>
      <c r="G61" s="20">
        <f t="shared" si="44"/>
        <v>-0.5650270792</v>
      </c>
      <c r="H61" s="27">
        <v>5863.0</v>
      </c>
      <c r="J61" s="84" t="s">
        <v>11</v>
      </c>
      <c r="K61" s="102" t="s">
        <v>110</v>
      </c>
      <c r="P61" s="20"/>
      <c r="Q61" s="107"/>
      <c r="R61" s="107"/>
    </row>
    <row r="62" ht="22.5" customHeight="1">
      <c r="A62" s="9" t="s">
        <v>592</v>
      </c>
      <c r="B62" s="27">
        <v>-2429.0</v>
      </c>
      <c r="C62" s="20">
        <f t="shared" si="42"/>
        <v>-0.05475504323</v>
      </c>
      <c r="D62" s="27">
        <v>-2296.0</v>
      </c>
      <c r="E62" s="20">
        <f t="shared" si="43"/>
        <v>0.1641986063</v>
      </c>
      <c r="F62" s="27">
        <v>-2673.0</v>
      </c>
      <c r="G62" s="20">
        <f t="shared" si="44"/>
        <v>-0.4264870932</v>
      </c>
      <c r="H62" s="27">
        <v>-1533.0</v>
      </c>
      <c r="J62" s="103">
        <v>0.0</v>
      </c>
      <c r="K62" s="104">
        <f>-K4</f>
        <v>-119772000000</v>
      </c>
      <c r="P62" s="20"/>
      <c r="Q62" s="107"/>
      <c r="R62" s="107"/>
    </row>
    <row r="63" ht="22.5" customHeight="1">
      <c r="A63" s="9" t="s">
        <v>557</v>
      </c>
      <c r="B63" s="27">
        <v>-23.0</v>
      </c>
      <c r="C63" s="20">
        <f t="shared" si="42"/>
        <v>2.347826087</v>
      </c>
      <c r="D63" s="27">
        <v>-77.0</v>
      </c>
      <c r="E63" s="20">
        <f t="shared" si="43"/>
        <v>-0.7012987013</v>
      </c>
      <c r="F63" s="27">
        <v>-23.0</v>
      </c>
      <c r="G63" s="20">
        <f t="shared" si="44"/>
        <v>0</v>
      </c>
      <c r="H63" s="27">
        <v>-23.0</v>
      </c>
      <c r="J63" s="103">
        <v>1.0</v>
      </c>
      <c r="K63" s="106">
        <f t="shared" ref="K63:K67" si="45">M51</f>
        <v>18407960000</v>
      </c>
      <c r="Q63" s="107"/>
      <c r="R63" s="107"/>
    </row>
    <row r="64" ht="22.5" customHeight="1">
      <c r="A64" s="131" t="s">
        <v>92</v>
      </c>
      <c r="B64" s="202">
        <f>SUM(B59:B63)</f>
        <v>90196</v>
      </c>
      <c r="C64" s="20">
        <f t="shared" si="42"/>
        <v>0.03984655639</v>
      </c>
      <c r="D64" s="202">
        <f>SUM(D59:D63)</f>
        <v>93790</v>
      </c>
      <c r="E64" s="20">
        <f t="shared" si="43"/>
        <v>-0.01469239791</v>
      </c>
      <c r="F64" s="202">
        <f>SUM(F59:F63)</f>
        <v>92412</v>
      </c>
      <c r="G64" s="20">
        <f t="shared" si="44"/>
        <v>-0.03957278276</v>
      </c>
      <c r="H64" s="202">
        <f>SUM(H59:H63)</f>
        <v>88755</v>
      </c>
      <c r="J64" s="103">
        <v>2.0</v>
      </c>
      <c r="K64" s="106">
        <f t="shared" si="45"/>
        <v>19512437600</v>
      </c>
    </row>
    <row r="65" ht="22.5" customHeight="1">
      <c r="A65" s="80"/>
      <c r="B65" s="80"/>
      <c r="C65" s="80"/>
      <c r="D65" s="80"/>
      <c r="E65" s="80"/>
      <c r="F65" s="80"/>
      <c r="G65" s="80"/>
      <c r="H65" s="80"/>
      <c r="J65" s="103">
        <v>3.0</v>
      </c>
      <c r="K65" s="106">
        <f t="shared" si="45"/>
        <v>20683183856</v>
      </c>
      <c r="P65" s="20"/>
      <c r="Q65" s="124"/>
    </row>
    <row r="66" ht="22.5" customHeight="1">
      <c r="A66" s="81" t="s">
        <v>345</v>
      </c>
      <c r="B66" s="22" t="s">
        <v>12</v>
      </c>
      <c r="C66" s="22" t="s">
        <v>13</v>
      </c>
      <c r="D66" s="22" t="s">
        <v>14</v>
      </c>
      <c r="E66" s="22" t="s">
        <v>15</v>
      </c>
      <c r="F66" s="22" t="s">
        <v>16</v>
      </c>
      <c r="G66" s="22" t="s">
        <v>17</v>
      </c>
      <c r="H66" s="22" t="s">
        <v>18</v>
      </c>
      <c r="J66" s="93">
        <v>4.0</v>
      </c>
      <c r="K66" s="106">
        <f t="shared" si="45"/>
        <v>21924174887</v>
      </c>
      <c r="P66" s="20"/>
    </row>
    <row r="67" ht="22.5" customHeight="1">
      <c r="A67" s="261" t="s">
        <v>594</v>
      </c>
      <c r="B67" s="132">
        <f>SUM(B68:B70)</f>
        <v>4793</v>
      </c>
      <c r="C67" s="19">
        <f t="shared" ref="C67:C70" si="46">IFERROR(SUM((D67/B67)-1),0)</f>
        <v>-0.04694345921</v>
      </c>
      <c r="D67" s="132">
        <f>SUM(D68:D70)</f>
        <v>4568</v>
      </c>
      <c r="E67" s="19">
        <f t="shared" ref="E67:E70" si="47">IFERROR(SUM((F67/D67)-1),0)</f>
        <v>-0.04356392294</v>
      </c>
      <c r="F67" s="263">
        <f>SUM(F68:F70)</f>
        <v>4369</v>
      </c>
      <c r="G67" s="19">
        <f t="shared" ref="G67:G70" si="48">IFERROR(SUM((H67/F67)-1),0)</f>
        <v>0.09201190204</v>
      </c>
      <c r="H67" s="263">
        <f>SUM(H68:H70)</f>
        <v>4771</v>
      </c>
      <c r="J67" s="93">
        <v>5.0</v>
      </c>
      <c r="K67" s="106">
        <f t="shared" si="45"/>
        <v>23239625381</v>
      </c>
      <c r="P67" s="20"/>
      <c r="Q67" s="23"/>
    </row>
    <row r="68" ht="22.5" customHeight="1">
      <c r="A68" s="51" t="s">
        <v>597</v>
      </c>
      <c r="B68" s="27">
        <v>4383.0</v>
      </c>
      <c r="C68" s="19">
        <f t="shared" si="46"/>
        <v>0.01939310974</v>
      </c>
      <c r="D68" s="27">
        <v>4468.0</v>
      </c>
      <c r="E68" s="19">
        <f t="shared" si="47"/>
        <v>-0.08572068039</v>
      </c>
      <c r="F68" s="53">
        <v>4085.0</v>
      </c>
      <c r="G68" s="19">
        <f t="shared" si="48"/>
        <v>0.105997552</v>
      </c>
      <c r="H68" s="53">
        <v>4518.0</v>
      </c>
      <c r="J68" s="93">
        <v>6.0</v>
      </c>
      <c r="K68" s="106">
        <f>M56+M57</f>
        <v>256903839890</v>
      </c>
    </row>
    <row r="69" ht="22.5" customHeight="1">
      <c r="A69" s="51" t="s">
        <v>598</v>
      </c>
      <c r="B69" s="27">
        <v>454.0</v>
      </c>
      <c r="C69" s="19">
        <f t="shared" si="46"/>
        <v>-0.6894273128</v>
      </c>
      <c r="D69" s="27">
        <v>141.0</v>
      </c>
      <c r="E69" s="19">
        <f t="shared" si="47"/>
        <v>1.340425532</v>
      </c>
      <c r="F69" s="53">
        <v>330.0</v>
      </c>
      <c r="G69" s="19">
        <f t="shared" si="48"/>
        <v>-0.09393939394</v>
      </c>
      <c r="H69" s="53">
        <v>299.0</v>
      </c>
      <c r="J69" s="93" t="s">
        <v>132</v>
      </c>
      <c r="K69" s="119">
        <f>IFERROR(IRR(K62:K68),0)</f>
        <v>0.2545398765</v>
      </c>
    </row>
    <row r="70">
      <c r="A70" s="51" t="s">
        <v>599</v>
      </c>
      <c r="B70" s="27">
        <v>-44.0</v>
      </c>
      <c r="C70" s="19">
        <f t="shared" si="46"/>
        <v>-0.06818181818</v>
      </c>
      <c r="D70" s="27">
        <v>-41.0</v>
      </c>
      <c r="E70" s="19">
        <f t="shared" si="47"/>
        <v>0.1219512195</v>
      </c>
      <c r="F70" s="53">
        <v>-46.0</v>
      </c>
      <c r="G70" s="19">
        <f t="shared" si="48"/>
        <v>0</v>
      </c>
      <c r="H70" s="53">
        <v>-46.0</v>
      </c>
    </row>
    <row r="71">
      <c r="F71" s="22"/>
      <c r="H71" s="22"/>
    </row>
    <row r="72">
      <c r="A72" s="131" t="s">
        <v>601</v>
      </c>
      <c r="B72" s="202">
        <f>SUM(B73:B76)*-1</f>
        <v>-203</v>
      </c>
      <c r="C72" s="20">
        <f t="shared" ref="C72:C76" si="49">IFERROR(SUM((D72/B72)-1),0)</f>
        <v>0.08866995074</v>
      </c>
      <c r="D72" s="202">
        <f>SUM(D73:D76)*-1</f>
        <v>-221</v>
      </c>
      <c r="E72" s="20">
        <f t="shared" ref="E72:E76" si="50">IFERROR(SUM((F72/D72)-1),0)</f>
        <v>-0.2036199095</v>
      </c>
      <c r="F72" s="202">
        <f>SUM(F73:F76)*-1</f>
        <v>-176</v>
      </c>
      <c r="G72" s="20">
        <f t="shared" ref="G72:G76" si="51">IFERROR(SUM((H72/F72)-1),0)</f>
        <v>0.3181818182</v>
      </c>
      <c r="H72" s="202">
        <f>SUM(H73:H76)*-1</f>
        <v>-232</v>
      </c>
    </row>
    <row r="73">
      <c r="A73" s="9" t="s">
        <v>603</v>
      </c>
      <c r="B73" s="27">
        <v>44.0</v>
      </c>
      <c r="C73" s="20">
        <f t="shared" si="49"/>
        <v>0.02272727273</v>
      </c>
      <c r="D73" s="27">
        <v>45.0</v>
      </c>
      <c r="E73" s="20">
        <f t="shared" si="50"/>
        <v>-0.02222222222</v>
      </c>
      <c r="F73" s="53">
        <v>44.0</v>
      </c>
      <c r="G73" s="20">
        <f t="shared" si="51"/>
        <v>0.1818181818</v>
      </c>
      <c r="H73" s="53">
        <v>52.0</v>
      </c>
    </row>
    <row r="74">
      <c r="A74" s="9" t="s">
        <v>412</v>
      </c>
      <c r="B74" s="27">
        <v>155.0</v>
      </c>
      <c r="C74" s="20">
        <f t="shared" si="49"/>
        <v>0.05161290323</v>
      </c>
      <c r="D74" s="27">
        <v>163.0</v>
      </c>
      <c r="E74" s="20">
        <f t="shared" si="50"/>
        <v>-0.2760736196</v>
      </c>
      <c r="F74" s="53">
        <v>118.0</v>
      </c>
      <c r="G74" s="20">
        <f t="shared" si="51"/>
        <v>0.2711864407</v>
      </c>
      <c r="H74" s="53">
        <v>150.0</v>
      </c>
    </row>
    <row r="75">
      <c r="A75" s="9" t="s">
        <v>604</v>
      </c>
      <c r="B75" s="27">
        <v>1.0</v>
      </c>
      <c r="C75" s="20">
        <f t="shared" si="49"/>
        <v>10</v>
      </c>
      <c r="D75" s="27">
        <v>11.0</v>
      </c>
      <c r="E75" s="20">
        <f t="shared" si="50"/>
        <v>0</v>
      </c>
      <c r="F75" s="53">
        <v>11.0</v>
      </c>
      <c r="G75" s="20">
        <f t="shared" si="51"/>
        <v>1.272727273</v>
      </c>
      <c r="H75" s="53">
        <v>25.0</v>
      </c>
    </row>
    <row r="76">
      <c r="A76" s="9" t="s">
        <v>605</v>
      </c>
      <c r="B76" s="27">
        <v>3.0</v>
      </c>
      <c r="C76" s="20">
        <f t="shared" si="49"/>
        <v>-0.3333333333</v>
      </c>
      <c r="D76" s="27">
        <v>2.0</v>
      </c>
      <c r="E76" s="20">
        <f t="shared" si="50"/>
        <v>0.5</v>
      </c>
      <c r="F76" s="53">
        <v>3.0</v>
      </c>
      <c r="G76" s="20">
        <f t="shared" si="51"/>
        <v>0.6666666667</v>
      </c>
      <c r="H76" s="53">
        <v>5.0</v>
      </c>
    </row>
    <row r="77">
      <c r="F77" s="22"/>
      <c r="H77" s="22"/>
    </row>
    <row r="78">
      <c r="A78" s="261" t="s">
        <v>591</v>
      </c>
      <c r="B78" s="234">
        <f>SUM(B67,B72)</f>
        <v>4590</v>
      </c>
      <c r="C78" s="19">
        <f>IFERROR(SUM((D78/B78)-1),0)</f>
        <v>-0.05294117647</v>
      </c>
      <c r="D78" s="234">
        <f>SUM(D67,D72)</f>
        <v>4347</v>
      </c>
      <c r="E78" s="19">
        <f>IFERROR(SUM((F78/D78)-1),0)</f>
        <v>-0.03542673108</v>
      </c>
      <c r="F78" s="234">
        <f>SUM(F67,F72)</f>
        <v>4193</v>
      </c>
      <c r="G78" s="19">
        <f>IFERROR(SUM((H78/F78)-1),0)</f>
        <v>0.08251848319</v>
      </c>
      <c r="H78" s="234">
        <f>SUM(H67,H72)</f>
        <v>4539</v>
      </c>
      <c r="L78" s="192"/>
      <c r="M78" s="22"/>
    </row>
    <row r="79">
      <c r="F79" s="22"/>
      <c r="H79" s="22"/>
      <c r="K79" s="9"/>
      <c r="L79" s="192"/>
      <c r="M79" s="22"/>
    </row>
    <row r="80">
      <c r="A80" s="261" t="s">
        <v>138</v>
      </c>
      <c r="B80" s="260">
        <v>-78.0</v>
      </c>
      <c r="C80" s="258">
        <f>IFERROR(SUM((D80/B80)-1),0)</f>
        <v>-0.2051282051</v>
      </c>
      <c r="D80" s="260">
        <v>-62.0</v>
      </c>
      <c r="E80" s="258">
        <f>IFERROR(SUM((F80/D80)-1),0)</f>
        <v>0.7741935484</v>
      </c>
      <c r="F80" s="260">
        <v>-110.0</v>
      </c>
      <c r="G80" s="258">
        <f>IFERROR(SUM((H80/F80)-1),0)</f>
        <v>-0.3909090909</v>
      </c>
      <c r="H80" s="260">
        <v>-67.0</v>
      </c>
      <c r="J80" s="79"/>
      <c r="K80" s="50"/>
      <c r="L80" s="19"/>
      <c r="M80" s="28"/>
    </row>
    <row r="81">
      <c r="A81" s="51"/>
      <c r="B81" s="27"/>
      <c r="C81" s="19"/>
      <c r="D81" s="27"/>
      <c r="E81" s="19"/>
      <c r="F81" s="21"/>
      <c r="G81" s="19"/>
      <c r="H81" s="21"/>
      <c r="J81" s="22"/>
      <c r="K81" s="50"/>
      <c r="L81" s="19"/>
      <c r="M81" s="28"/>
    </row>
    <row r="82">
      <c r="A82" s="261" t="s">
        <v>596</v>
      </c>
      <c r="B82" s="234">
        <f>SUM(B78,B80)</f>
        <v>4512</v>
      </c>
      <c r="C82" s="19">
        <f>IFERROR(SUM((D82/B82)-1),0)</f>
        <v>-0.05031028369</v>
      </c>
      <c r="D82" s="234">
        <f>SUM(D78,D80)</f>
        <v>4285</v>
      </c>
      <c r="E82" s="19">
        <f>IFERROR(SUM((F82/D82)-1),0)</f>
        <v>-0.0471411902</v>
      </c>
      <c r="F82" s="234">
        <f>SUM(F78,F80)</f>
        <v>4083</v>
      </c>
      <c r="G82" s="19">
        <f>IFERROR(SUM((H82/F82)-1),0)</f>
        <v>0.09527308352</v>
      </c>
      <c r="H82" s="234">
        <f>SUM(H78,H80)</f>
        <v>4472</v>
      </c>
      <c r="Q82" s="27"/>
    </row>
    <row r="83">
      <c r="A83" s="79"/>
      <c r="B83" s="232"/>
      <c r="C83" s="118"/>
      <c r="D83" s="232"/>
      <c r="E83" s="118"/>
      <c r="F83" s="21"/>
      <c r="G83" s="118"/>
      <c r="H83" s="21"/>
      <c r="J83" s="22"/>
      <c r="K83" s="154"/>
      <c r="L83" s="19"/>
      <c r="M83" s="28"/>
      <c r="Q83" s="124"/>
    </row>
    <row r="84">
      <c r="A84" s="261" t="s">
        <v>600</v>
      </c>
      <c r="B84" s="234">
        <f>B85</f>
        <v>-21</v>
      </c>
      <c r="C84" s="19">
        <f t="shared" ref="C84:C85" si="52">IFERROR(SUM((D84/B84)-1),0)</f>
        <v>-2</v>
      </c>
      <c r="D84" s="234">
        <f>D85</f>
        <v>21</v>
      </c>
      <c r="E84" s="19">
        <f t="shared" ref="E84:E85" si="53">IFERROR(SUM((F84/D84)-1),0)</f>
        <v>0.7619047619</v>
      </c>
      <c r="F84" s="234">
        <f>F85</f>
        <v>37</v>
      </c>
      <c r="G84" s="19">
        <f t="shared" ref="G84:G85" si="54">IFERROR(SUM((H84/F84)-1),0)</f>
        <v>-1.621621622</v>
      </c>
      <c r="H84" s="234">
        <f>H85</f>
        <v>-23</v>
      </c>
      <c r="J84" s="22"/>
      <c r="K84" s="9"/>
      <c r="Q84" s="229"/>
    </row>
    <row r="85">
      <c r="A85" s="51" t="s">
        <v>602</v>
      </c>
      <c r="B85" s="255">
        <v>-21.0</v>
      </c>
      <c r="C85" s="19">
        <f t="shared" si="52"/>
        <v>-2</v>
      </c>
      <c r="D85" s="27">
        <v>21.0</v>
      </c>
      <c r="E85" s="19">
        <f t="shared" si="53"/>
        <v>0.7619047619</v>
      </c>
      <c r="F85" s="255">
        <v>37.0</v>
      </c>
      <c r="G85" s="19">
        <f t="shared" si="54"/>
        <v>-1.621621622</v>
      </c>
      <c r="H85" s="255">
        <v>-23.0</v>
      </c>
      <c r="J85" s="22"/>
      <c r="K85" s="50"/>
    </row>
    <row r="86">
      <c r="F86" s="22"/>
      <c r="H86" s="22"/>
      <c r="J86" s="22"/>
      <c r="K86" s="19"/>
      <c r="Q86" s="29"/>
    </row>
    <row r="87">
      <c r="A87" s="261" t="s">
        <v>606</v>
      </c>
      <c r="B87" s="202">
        <f>SUM(B82,B84)</f>
        <v>4491</v>
      </c>
      <c r="C87" s="19">
        <f t="shared" ref="C87:C89" si="55">IFERROR(SUM((D87/B87)-1),0)</f>
        <v>-0.04119349811</v>
      </c>
      <c r="D87" s="202">
        <f>SUM(D82,D84)</f>
        <v>4306</v>
      </c>
      <c r="E87" s="19">
        <f t="shared" ref="E87:E89" si="56">IFERROR(SUM((F87/D87)-1),0)</f>
        <v>-0.04319554111</v>
      </c>
      <c r="F87" s="263">
        <f>SUM(F82,F84)</f>
        <v>4120</v>
      </c>
      <c r="G87" s="19">
        <f t="shared" ref="G87:G89" si="57">IFERROR(SUM((H87/F87)-1),0)</f>
        <v>0.07985436893</v>
      </c>
      <c r="H87" s="263">
        <f>SUM(H82,H84)</f>
        <v>4449</v>
      </c>
    </row>
    <row r="88">
      <c r="A88" s="49" t="s">
        <v>607</v>
      </c>
      <c r="B88" s="113">
        <v>-81.0</v>
      </c>
      <c r="C88" s="264">
        <f t="shared" si="55"/>
        <v>-12.58024691</v>
      </c>
      <c r="D88" s="113">
        <v>938.0</v>
      </c>
      <c r="E88" s="264">
        <f t="shared" si="56"/>
        <v>-0.9061833689</v>
      </c>
      <c r="F88" s="113">
        <v>88.0</v>
      </c>
      <c r="G88" s="264">
        <f t="shared" si="57"/>
        <v>-2.681818182</v>
      </c>
      <c r="H88" s="113">
        <v>-148.0</v>
      </c>
    </row>
    <row r="89">
      <c r="A89" s="233" t="s">
        <v>424</v>
      </c>
      <c r="B89" s="202">
        <f>SUM(B87:B88)</f>
        <v>4410</v>
      </c>
      <c r="C89" s="19">
        <f t="shared" si="55"/>
        <v>0.1891156463</v>
      </c>
      <c r="D89" s="202">
        <f>SUM(D87:D88)</f>
        <v>5244</v>
      </c>
      <c r="E89" s="19">
        <f t="shared" si="56"/>
        <v>-0.1975591152</v>
      </c>
      <c r="F89" s="202">
        <f>SUM(F87:F88)</f>
        <v>4208</v>
      </c>
      <c r="G89" s="19">
        <f t="shared" si="57"/>
        <v>0.02210076046</v>
      </c>
      <c r="H89" s="202">
        <f>SUM(H87:H88)</f>
        <v>4301</v>
      </c>
    </row>
    <row r="90">
      <c r="A90" s="80"/>
      <c r="B90" s="80"/>
      <c r="C90" s="80"/>
      <c r="D90" s="80"/>
      <c r="E90" s="80"/>
      <c r="F90" s="80"/>
      <c r="G90" s="80"/>
      <c r="H90" s="80"/>
      <c r="I90" s="20"/>
    </row>
    <row r="92">
      <c r="J92" s="51"/>
      <c r="K92" s="19"/>
    </row>
    <row r="93">
      <c r="F93" s="21"/>
      <c r="G93" s="118"/>
      <c r="H93" s="21"/>
    </row>
    <row r="94">
      <c r="C94" s="29"/>
      <c r="D94" s="229"/>
      <c r="E94" s="29"/>
    </row>
    <row r="96">
      <c r="O96" s="23"/>
    </row>
    <row r="97">
      <c r="I97" s="20"/>
    </row>
    <row r="98">
      <c r="I98" s="20"/>
    </row>
    <row r="99">
      <c r="I99" s="20"/>
      <c r="L99" s="20"/>
    </row>
    <row r="100">
      <c r="I100" s="20"/>
      <c r="L100" s="29"/>
    </row>
    <row r="101">
      <c r="I101" s="20"/>
      <c r="L101" s="29"/>
    </row>
    <row r="102">
      <c r="G102" s="29"/>
      <c r="H102" s="265"/>
      <c r="I102" s="20"/>
      <c r="L102" s="20"/>
    </row>
    <row r="103">
      <c r="I103" s="20"/>
      <c r="L103" s="124"/>
    </row>
    <row r="105">
      <c r="G105" s="29"/>
      <c r="H105" s="229"/>
    </row>
    <row r="106">
      <c r="I106" s="20"/>
    </row>
    <row r="107">
      <c r="I107" s="20"/>
    </row>
    <row r="108">
      <c r="G108" s="20"/>
      <c r="H108" s="23"/>
      <c r="I108" s="20"/>
    </row>
    <row r="109">
      <c r="B109" s="23"/>
      <c r="C109" s="20"/>
      <c r="D109" s="32"/>
      <c r="E109" s="20"/>
      <c r="F109" s="32"/>
      <c r="G109" s="20"/>
      <c r="H109" s="32"/>
      <c r="I109" s="20"/>
    </row>
    <row r="112">
      <c r="I112" s="20"/>
    </row>
    <row r="113">
      <c r="I113" s="20"/>
    </row>
    <row r="116">
      <c r="I116" s="20"/>
    </row>
    <row r="117">
      <c r="I117" s="20"/>
    </row>
    <row r="118">
      <c r="I118" s="20"/>
    </row>
    <row r="119">
      <c r="I119" s="20"/>
    </row>
    <row r="152">
      <c r="C152" s="20"/>
      <c r="D152" s="27"/>
    </row>
    <row r="153">
      <c r="C153" s="20"/>
      <c r="D153" s="27"/>
    </row>
    <row r="154">
      <c r="C154" s="20"/>
      <c r="D154" s="27"/>
    </row>
    <row r="155">
      <c r="C155" s="160"/>
      <c r="D155" s="158"/>
    </row>
    <row r="156">
      <c r="D156" s="23"/>
    </row>
    <row r="157">
      <c r="D157" s="23"/>
    </row>
    <row r="158">
      <c r="C158" s="20"/>
      <c r="D158" s="27"/>
    </row>
    <row r="159">
      <c r="C159" s="20"/>
      <c r="D159" s="27"/>
    </row>
    <row r="160">
      <c r="C160" s="20"/>
      <c r="D160" s="27"/>
    </row>
    <row r="161">
      <c r="C161" s="20"/>
      <c r="D161" s="27"/>
    </row>
    <row r="162">
      <c r="C162" s="160"/>
      <c r="D162" s="146"/>
    </row>
    <row r="163">
      <c r="D163" s="23"/>
    </row>
    <row r="164">
      <c r="C164" s="20"/>
    </row>
    <row r="165">
      <c r="C165" s="20"/>
      <c r="D165" s="32"/>
    </row>
    <row r="172">
      <c r="I172" s="20"/>
    </row>
    <row r="173">
      <c r="I173" s="20"/>
      <c r="J173" s="23"/>
    </row>
    <row r="174">
      <c r="I174" s="20"/>
      <c r="J174" s="23"/>
    </row>
    <row r="175">
      <c r="I175" s="20"/>
      <c r="J175" s="23"/>
    </row>
    <row r="176">
      <c r="I176" s="20"/>
      <c r="J176" s="23"/>
    </row>
    <row r="177">
      <c r="I177" s="20"/>
      <c r="J177" s="20"/>
    </row>
    <row r="178">
      <c r="I178" s="20"/>
      <c r="J178" s="20"/>
    </row>
    <row r="179">
      <c r="I179" s="20"/>
      <c r="J179" s="23"/>
    </row>
    <row r="180">
      <c r="I180" s="20"/>
      <c r="J180" s="23"/>
    </row>
    <row r="181">
      <c r="I181" s="20"/>
      <c r="J181" s="23"/>
    </row>
    <row r="182">
      <c r="I182" s="20"/>
      <c r="J182" s="20"/>
    </row>
    <row r="185">
      <c r="I185" s="20"/>
    </row>
    <row r="186">
      <c r="I186" s="20"/>
      <c r="J186" s="20"/>
    </row>
    <row r="187">
      <c r="I187" s="20"/>
      <c r="J187" s="20"/>
    </row>
    <row r="188">
      <c r="I188" s="20"/>
      <c r="J188" s="20"/>
    </row>
    <row r="189">
      <c r="I189" s="20"/>
      <c r="J189" s="27"/>
    </row>
    <row r="190">
      <c r="I190" s="20"/>
      <c r="J190" s="20"/>
    </row>
    <row r="191">
      <c r="I191" s="20"/>
      <c r="J191" s="23"/>
    </row>
    <row r="194">
      <c r="I194" s="20"/>
      <c r="J194" s="20"/>
    </row>
    <row r="195">
      <c r="I195" s="20"/>
      <c r="J195" s="20"/>
    </row>
    <row r="196">
      <c r="I196" s="20"/>
      <c r="J196" s="20"/>
    </row>
    <row r="197">
      <c r="I197" s="20"/>
      <c r="J197" s="20"/>
    </row>
    <row r="200">
      <c r="E200" s="20"/>
      <c r="F200" s="32"/>
      <c r="H200" s="23"/>
      <c r="I200" s="20"/>
      <c r="J200" s="23"/>
    </row>
    <row r="201">
      <c r="B201" s="32"/>
      <c r="C201" s="20"/>
      <c r="D201" s="32"/>
      <c r="E201" s="20"/>
      <c r="H201" s="23"/>
      <c r="I201" s="20"/>
      <c r="J201" s="23"/>
    </row>
    <row r="202">
      <c r="A202" s="9"/>
      <c r="B202" s="27"/>
      <c r="C202" s="20"/>
      <c r="D202" s="27"/>
      <c r="E202" s="20"/>
    </row>
    <row r="203">
      <c r="B203" s="32"/>
      <c r="C203" s="20"/>
      <c r="D203" s="32"/>
      <c r="E203" s="20"/>
      <c r="G203" s="9"/>
    </row>
    <row r="204">
      <c r="A204" s="9"/>
      <c r="B204" s="27"/>
      <c r="C204" s="20"/>
      <c r="D204" s="27"/>
      <c r="E204" s="20"/>
      <c r="H204" s="23"/>
      <c r="I204" s="20"/>
      <c r="J204" s="23"/>
    </row>
    <row r="205">
      <c r="A205" s="67"/>
      <c r="E205" s="20"/>
      <c r="H205" s="23"/>
      <c r="I205" s="20"/>
      <c r="J205" s="23"/>
    </row>
    <row r="206">
      <c r="B206" s="27"/>
      <c r="C206" s="20"/>
      <c r="D206" s="27"/>
      <c r="E206" s="20"/>
      <c r="F206" s="20"/>
      <c r="H206" s="23"/>
      <c r="I206" s="20"/>
      <c r="J206" s="23"/>
    </row>
    <row r="207">
      <c r="B207" s="27"/>
      <c r="C207" s="20"/>
      <c r="D207" s="27"/>
      <c r="H207" s="23"/>
      <c r="I207" s="20"/>
      <c r="J207" s="23"/>
    </row>
    <row r="208">
      <c r="B208" s="20"/>
      <c r="C208" s="20"/>
      <c r="D208" s="20"/>
      <c r="E208" s="20"/>
      <c r="F208" s="32"/>
    </row>
    <row r="209">
      <c r="B209" s="27"/>
      <c r="C209" s="20"/>
      <c r="D209" s="27"/>
      <c r="E209" s="20"/>
      <c r="F209" s="27"/>
    </row>
    <row r="210">
      <c r="B210" s="27"/>
      <c r="C210" s="20"/>
      <c r="D210" s="27"/>
      <c r="E210" s="20"/>
      <c r="F210" s="32"/>
    </row>
    <row r="211">
      <c r="B211" s="23"/>
      <c r="C211" s="20"/>
      <c r="D211" s="23"/>
      <c r="E211" s="20"/>
      <c r="F211" s="27"/>
    </row>
    <row r="212">
      <c r="E212" s="20"/>
      <c r="F212" s="32"/>
    </row>
    <row r="213">
      <c r="B213" s="27"/>
      <c r="D213" s="27"/>
      <c r="E213" s="20"/>
      <c r="F213" s="32"/>
    </row>
    <row r="214">
      <c r="A214" s="9"/>
      <c r="C214" s="20"/>
      <c r="E214" s="20"/>
    </row>
    <row r="215">
      <c r="E215" s="20"/>
    </row>
    <row r="216">
      <c r="B216" s="27"/>
      <c r="C216" s="20"/>
      <c r="D216" s="27"/>
      <c r="E216" s="20"/>
    </row>
    <row r="217">
      <c r="B217" s="27"/>
      <c r="C217" s="20"/>
      <c r="D217" s="27"/>
      <c r="E217" s="20"/>
      <c r="F217" s="32"/>
    </row>
    <row r="218">
      <c r="B218" s="27"/>
      <c r="C218" s="20"/>
      <c r="D218" s="27"/>
      <c r="E218" s="20"/>
    </row>
    <row r="220">
      <c r="A220" s="9"/>
      <c r="C220" s="20"/>
    </row>
    <row r="221">
      <c r="C221" s="20"/>
      <c r="E221" s="20"/>
      <c r="F221" s="20"/>
    </row>
    <row r="222">
      <c r="B222" s="27"/>
      <c r="C222" s="20"/>
      <c r="D222" s="27"/>
      <c r="E222" s="20"/>
      <c r="F222" s="20"/>
    </row>
    <row r="223">
      <c r="A223" s="9"/>
      <c r="C223" s="20"/>
      <c r="E223" s="20"/>
      <c r="F223" s="20"/>
    </row>
    <row r="225">
      <c r="A225" s="9"/>
    </row>
    <row r="226">
      <c r="A226" s="67"/>
    </row>
    <row r="227">
      <c r="B227" s="27"/>
      <c r="C227" s="20"/>
      <c r="D227" s="27"/>
    </row>
    <row r="228">
      <c r="A228" s="150"/>
      <c r="B228" s="27"/>
      <c r="C228" s="20"/>
      <c r="D228" s="27"/>
    </row>
    <row r="229">
      <c r="B229" s="27"/>
      <c r="C229" s="20"/>
      <c r="D229" s="27"/>
    </row>
    <row r="230">
      <c r="B230" s="27"/>
      <c r="C230" s="20"/>
      <c r="D230" s="27"/>
    </row>
    <row r="231">
      <c r="A231" s="9"/>
      <c r="B231" s="27"/>
      <c r="C231" s="20"/>
      <c r="D231" s="27"/>
    </row>
    <row r="232">
      <c r="B232" s="27"/>
      <c r="C232" s="20"/>
      <c r="D232" s="27"/>
    </row>
    <row r="233">
      <c r="B233" s="27"/>
      <c r="C233" s="20"/>
      <c r="D233" s="27"/>
    </row>
    <row r="234">
      <c r="B234" s="27"/>
      <c r="C234" s="20"/>
      <c r="D234" s="27"/>
    </row>
    <row r="235">
      <c r="B235" s="27"/>
      <c r="C235" s="20"/>
      <c r="D235" s="27"/>
    </row>
    <row r="236">
      <c r="C236" s="20"/>
      <c r="D236" s="32"/>
    </row>
    <row r="237">
      <c r="A237" s="67"/>
      <c r="B237" s="158"/>
      <c r="C237" s="160"/>
      <c r="D237" s="158"/>
    </row>
    <row r="238">
      <c r="B238" s="23"/>
      <c r="D238" s="23"/>
    </row>
    <row r="239">
      <c r="B239" s="27"/>
      <c r="C239" s="20"/>
      <c r="D239" s="27"/>
    </row>
    <row r="240">
      <c r="B240" s="27"/>
      <c r="C240" s="20"/>
      <c r="D240" s="27"/>
    </row>
    <row r="241">
      <c r="B241" s="27"/>
      <c r="C241" s="20"/>
      <c r="D241" s="27"/>
    </row>
    <row r="242">
      <c r="B242" s="27"/>
      <c r="C242" s="20"/>
      <c r="D242" s="27"/>
    </row>
    <row r="243">
      <c r="A243" s="67"/>
      <c r="B243" s="158"/>
      <c r="C243" s="160"/>
      <c r="D243" s="158"/>
    </row>
    <row r="244">
      <c r="B244" s="23"/>
      <c r="D244" s="23"/>
    </row>
    <row r="245">
      <c r="B245" s="27"/>
      <c r="D245" s="23"/>
    </row>
    <row r="246">
      <c r="B246" s="27"/>
      <c r="C246" s="20"/>
      <c r="D246" s="27"/>
    </row>
    <row r="247">
      <c r="B247" s="27"/>
      <c r="C247" s="20"/>
      <c r="D247" s="27"/>
    </row>
    <row r="248">
      <c r="B248" s="27"/>
      <c r="C248" s="20"/>
      <c r="D248" s="27"/>
    </row>
    <row r="249">
      <c r="B249" s="27"/>
      <c r="C249" s="20"/>
      <c r="D249" s="27"/>
    </row>
    <row r="250">
      <c r="A250" s="67"/>
      <c r="B250" s="146"/>
      <c r="C250" s="160"/>
      <c r="D250" s="146"/>
    </row>
    <row r="251">
      <c r="B251" s="23"/>
      <c r="D251" s="23"/>
    </row>
    <row r="252">
      <c r="A252" s="9"/>
      <c r="C252" s="20"/>
    </row>
    <row r="253">
      <c r="B253" s="32"/>
      <c r="C253" s="20"/>
      <c r="D253" s="32"/>
    </row>
    <row r="254">
      <c r="B254" s="9"/>
      <c r="C254" s="20"/>
      <c r="D254" s="9"/>
    </row>
  </sheetData>
  <mergeCells count="13">
    <mergeCell ref="J20:K20"/>
    <mergeCell ref="J22:K22"/>
    <mergeCell ref="J27:K27"/>
    <mergeCell ref="J28:K28"/>
    <mergeCell ref="J31:K31"/>
    <mergeCell ref="J32:K32"/>
    <mergeCell ref="J7:K7"/>
    <mergeCell ref="J9:K9"/>
    <mergeCell ref="J11:K11"/>
    <mergeCell ref="J12:K12"/>
    <mergeCell ref="J14:K14"/>
    <mergeCell ref="J16:K16"/>
    <mergeCell ref="J18:K18"/>
  </mergeCells>
  <dataValidations>
    <dataValidation type="list" allowBlank="1" showErrorMessage="1" sqref="B1 D1 F1 H1">
      <formula1>"Feito,Não,Atual"</formula1>
    </dataValidation>
    <dataValidation type="custom" allowBlank="1" showDropDown="1" sqref="K50:K58 M50:N58">
      <formula1>AND(ISNUMBER(K50),(NOT(OR(NOT(ISERROR(DATEVALUE(K50))), AND(ISNUMBER(K50), LEFT(CELL("format", K50))="D")))))</formula1>
    </dataValidation>
  </dataValidations>
  <drawing r:id="rId2"/>
  <legacyDrawing r:id="rId3"/>
  <tableParts count="2">
    <tablePart r:id="rId6"/>
    <tablePart r:id="rId7"/>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29.38"/>
    <col customWidth="1" min="3" max="3" width="23.63"/>
    <col customWidth="1" min="4" max="4" width="24.0"/>
    <col customWidth="1" min="5" max="5" width="23.13"/>
    <col customWidth="1" min="6" max="6" width="22.88"/>
    <col customWidth="1" min="7" max="7" width="16.63"/>
    <col customWidth="1" min="8" max="8" width="21.38"/>
    <col customWidth="1" min="9" max="9" width="23.25"/>
    <col customWidth="1" min="10" max="10" width="21.75"/>
    <col customWidth="1" min="11" max="11" width="18.63"/>
    <col customWidth="1" min="12" max="12" width="18.0"/>
    <col customWidth="1" min="13" max="13" width="19.88"/>
    <col customWidth="1" min="14" max="14" width="22.13"/>
    <col customWidth="1" min="15" max="15" width="15.25"/>
    <col customWidth="1" min="16" max="16" width="16.5"/>
    <col customWidth="1" min="17" max="17" width="27.25"/>
    <col customWidth="1" min="18" max="18" width="23.63"/>
    <col customWidth="1" min="19" max="19" width="20.25"/>
    <col customWidth="1" min="20" max="20" width="18.0"/>
    <col customWidth="1" min="21" max="21" width="17.5"/>
  </cols>
  <sheetData>
    <row r="1">
      <c r="A1" s="22"/>
      <c r="B1" s="22"/>
    </row>
    <row r="2" ht="22.5" customHeight="1">
      <c r="A2" s="82" t="s">
        <v>666</v>
      </c>
      <c r="B2" s="82" t="s">
        <v>667</v>
      </c>
    </row>
    <row r="3" ht="22.5" customHeight="1">
      <c r="A3" s="271" t="s">
        <v>668</v>
      </c>
      <c r="B3" s="272">
        <v>0.139</v>
      </c>
    </row>
    <row r="4" ht="22.5" customHeight="1">
      <c r="A4" s="271" t="s">
        <v>669</v>
      </c>
      <c r="B4" s="272">
        <v>0.0444302461783459</v>
      </c>
    </row>
    <row r="5" ht="22.5" customHeight="1">
      <c r="A5" s="271" t="s">
        <v>670</v>
      </c>
      <c r="B5" s="273">
        <f>(1+B3)/(1+(B4+0.0025))-1 </f>
        <v>0.08794258658</v>
      </c>
    </row>
    <row r="6" ht="22.5" customHeight="1">
      <c r="A6" s="274" t="s">
        <v>671</v>
      </c>
      <c r="B6" s="275">
        <f>B3 * (1 - 0.15)</f>
        <v>0.11815</v>
      </c>
    </row>
    <row r="9" ht="22.5" customHeight="1">
      <c r="A9" s="102" t="s">
        <v>672</v>
      </c>
      <c r="B9" s="102" t="s">
        <v>673</v>
      </c>
      <c r="C9" s="102" t="s">
        <v>674</v>
      </c>
      <c r="D9" s="102" t="s">
        <v>675</v>
      </c>
      <c r="E9" s="102" t="s">
        <v>676</v>
      </c>
      <c r="F9" s="102" t="s">
        <v>677</v>
      </c>
      <c r="G9" s="276" t="s">
        <v>678</v>
      </c>
      <c r="H9" s="277" t="s">
        <v>679</v>
      </c>
      <c r="I9" s="277" t="s">
        <v>681</v>
      </c>
      <c r="J9" s="277" t="s">
        <v>682</v>
      </c>
      <c r="K9" s="277" t="s">
        <v>683</v>
      </c>
      <c r="L9" s="278" t="s">
        <v>684</v>
      </c>
    </row>
    <row r="10" ht="22.5" customHeight="1">
      <c r="A10" s="279" t="s">
        <v>237</v>
      </c>
      <c r="B10" s="280">
        <v>46203.0</v>
      </c>
      <c r="C10" s="281">
        <v>5.73083E9</v>
      </c>
      <c r="D10" s="282">
        <v>-9.6</v>
      </c>
      <c r="E10" s="282">
        <v>2.54161E12</v>
      </c>
      <c r="F10" s="282"/>
      <c r="G10" s="282"/>
      <c r="H10" s="282">
        <v>1.81333E11</v>
      </c>
      <c r="I10" s="282"/>
      <c r="J10" s="282"/>
      <c r="K10" s="282">
        <v>1.44836E10</v>
      </c>
      <c r="L10" s="282">
        <v>1.0</v>
      </c>
    </row>
    <row r="11" ht="22.5" customHeight="1">
      <c r="A11" s="279" t="s">
        <v>431</v>
      </c>
      <c r="B11" s="280">
        <v>46203.0</v>
      </c>
      <c r="C11" s="281">
        <v>1.9414E9</v>
      </c>
      <c r="D11" s="282"/>
      <c r="E11" s="282">
        <v>2.19237E10</v>
      </c>
      <c r="F11" s="282">
        <v>0.0</v>
      </c>
      <c r="G11" s="282">
        <v>0.0</v>
      </c>
      <c r="H11" s="282">
        <v>1.08903E10</v>
      </c>
      <c r="I11" s="282">
        <v>0.0</v>
      </c>
      <c r="J11" s="282">
        <v>9.97397E9</v>
      </c>
      <c r="K11" s="282">
        <v>9.18932E9</v>
      </c>
      <c r="L11" s="282">
        <v>0.49</v>
      </c>
    </row>
    <row r="12" ht="22.5" customHeight="1">
      <c r="A12" s="279" t="s">
        <v>430</v>
      </c>
      <c r="B12" s="280">
        <v>46203.0</v>
      </c>
      <c r="C12" s="281">
        <v>1.10269E10</v>
      </c>
      <c r="D12" s="282">
        <v>30.3</v>
      </c>
      <c r="E12" s="282">
        <v>5.00196E11</v>
      </c>
      <c r="F12" s="282"/>
      <c r="G12" s="282"/>
      <c r="H12" s="282">
        <v>2.07648E11</v>
      </c>
      <c r="I12" s="282"/>
      <c r="J12" s="282"/>
      <c r="K12" s="282">
        <v>4.6613E10</v>
      </c>
      <c r="L12" s="282">
        <v>1.0</v>
      </c>
    </row>
    <row r="13" ht="22.5" customHeight="1">
      <c r="A13" s="286" t="s">
        <v>693</v>
      </c>
      <c r="B13" s="280">
        <v>46203.0</v>
      </c>
      <c r="C13" s="281">
        <v>1.10269E10</v>
      </c>
      <c r="D13" s="282">
        <v>30.3</v>
      </c>
      <c r="E13" s="282">
        <v>5.00196E11</v>
      </c>
      <c r="F13" s="282"/>
      <c r="G13" s="282"/>
      <c r="H13" s="282">
        <v>2.07648E11</v>
      </c>
      <c r="I13" s="282"/>
      <c r="J13" s="282"/>
      <c r="K13" s="282">
        <v>4.6613E10</v>
      </c>
      <c r="L13" s="282">
        <v>1.07</v>
      </c>
    </row>
    <row r="14" ht="22.5" customHeight="1">
      <c r="A14" s="279" t="s">
        <v>238</v>
      </c>
      <c r="B14" s="280">
        <v>46203.0</v>
      </c>
      <c r="C14" s="281">
        <v>4.43916E9</v>
      </c>
      <c r="D14" s="282">
        <v>-2.4</v>
      </c>
      <c r="E14" s="282">
        <v>4.62161E11</v>
      </c>
      <c r="F14" s="282">
        <v>2.9842E10</v>
      </c>
      <c r="G14" s="282">
        <v>9.8034E10</v>
      </c>
      <c r="H14" s="282">
        <v>1.96635E11</v>
      </c>
      <c r="I14" s="282">
        <v>2.18069E11</v>
      </c>
      <c r="J14" s="282">
        <v>7.2491E10</v>
      </c>
      <c r="K14" s="282">
        <v>1.0369E10</v>
      </c>
      <c r="L14" s="282">
        <v>0.85</v>
      </c>
    </row>
    <row r="15" ht="22.5" customHeight="1">
      <c r="A15" s="286" t="s">
        <v>7</v>
      </c>
      <c r="B15" s="280">
        <v>46203.0</v>
      </c>
      <c r="C15" s="281">
        <v>1.0335E9</v>
      </c>
      <c r="D15" s="282">
        <v>13.0</v>
      </c>
      <c r="E15" s="282">
        <v>2.27009E10</v>
      </c>
      <c r="F15" s="282">
        <v>5.4416E8</v>
      </c>
      <c r="G15" s="282">
        <v>1.09579E10</v>
      </c>
      <c r="H15" s="282">
        <v>8.07092E9</v>
      </c>
      <c r="I15" s="282">
        <v>4.4844E9</v>
      </c>
      <c r="J15" s="282">
        <v>2.43866E9</v>
      </c>
      <c r="K15" s="282">
        <v>1.62547E9</v>
      </c>
      <c r="L15" s="282">
        <v>0.71</v>
      </c>
    </row>
    <row r="16" ht="22.5" customHeight="1">
      <c r="A16" s="279" t="s">
        <v>232</v>
      </c>
      <c r="B16" s="280">
        <v>46203.0</v>
      </c>
      <c r="C16" s="281">
        <v>1.28887E10</v>
      </c>
      <c r="D16" s="282">
        <v>-2.3</v>
      </c>
      <c r="E16" s="282">
        <v>1.27902E12</v>
      </c>
      <c r="F16" s="282">
        <v>5.3764E10</v>
      </c>
      <c r="G16" s="282">
        <v>3.66533E11</v>
      </c>
      <c r="H16" s="282">
        <v>4.8095E11</v>
      </c>
      <c r="I16" s="282">
        <v>5.48493E11</v>
      </c>
      <c r="J16" s="282">
        <v>2.34531E11</v>
      </c>
      <c r="K16" s="282">
        <v>1.33376E11</v>
      </c>
      <c r="L16" s="282">
        <v>0.59</v>
      </c>
    </row>
    <row r="17" ht="22.5" customHeight="1">
      <c r="A17" s="286" t="s">
        <v>231</v>
      </c>
      <c r="B17" s="280">
        <v>46203.0</v>
      </c>
      <c r="C17" s="281">
        <v>4.19732E9</v>
      </c>
      <c r="D17" s="282">
        <v>11.2</v>
      </c>
      <c r="E17" s="282">
        <v>4.66664E10</v>
      </c>
      <c r="F17" s="282">
        <v>8.80114E9</v>
      </c>
      <c r="G17" s="282">
        <v>5.06635E9</v>
      </c>
      <c r="H17" s="282">
        <v>1.88614E10</v>
      </c>
      <c r="I17" s="282">
        <v>4.01302E10</v>
      </c>
      <c r="J17" s="282">
        <v>8.40003E9</v>
      </c>
      <c r="K17" s="282">
        <v>6.25405E9</v>
      </c>
      <c r="L17" s="282">
        <v>0.69</v>
      </c>
    </row>
    <row r="18" ht="22.5" customHeight="1">
      <c r="A18" s="279" t="s">
        <v>609</v>
      </c>
      <c r="B18" s="280">
        <v>46203.0</v>
      </c>
      <c r="C18" s="281">
        <v>3.14987E8</v>
      </c>
      <c r="D18" s="282">
        <v>-30.7</v>
      </c>
      <c r="E18" s="282">
        <v>1.84618E10</v>
      </c>
      <c r="F18" s="282">
        <v>1.81947E10</v>
      </c>
      <c r="G18" s="282">
        <v>1.69073E10</v>
      </c>
      <c r="H18" s="282">
        <v>8.09776E8</v>
      </c>
      <c r="I18" s="282">
        <v>3.34314E8</v>
      </c>
      <c r="J18" s="282">
        <v>4868990.0</v>
      </c>
      <c r="K18" s="282">
        <v>1.59559E8</v>
      </c>
      <c r="L18" s="282">
        <v>0.91</v>
      </c>
    </row>
    <row r="19" ht="22.5" customHeight="1">
      <c r="A19" s="279" t="s">
        <v>694</v>
      </c>
      <c r="B19" s="280">
        <v>46203.0</v>
      </c>
      <c r="C19" s="281">
        <v>2.86178E9</v>
      </c>
      <c r="D19" s="282">
        <v>6.1</v>
      </c>
      <c r="E19" s="282">
        <v>7.08613E10</v>
      </c>
      <c r="F19" s="282">
        <v>3.08211E9</v>
      </c>
      <c r="G19" s="282">
        <v>2.23527E10</v>
      </c>
      <c r="H19" s="282">
        <v>2.91816E10</v>
      </c>
      <c r="I19" s="282">
        <v>4.37395E10</v>
      </c>
      <c r="J19" s="282">
        <v>6.00985E9</v>
      </c>
      <c r="K19" s="282">
        <v>4.5951E9</v>
      </c>
      <c r="L19" s="282">
        <v>0.73</v>
      </c>
    </row>
    <row r="20" ht="22.5" customHeight="1">
      <c r="A20" s="287" t="s">
        <v>8</v>
      </c>
      <c r="B20" s="280">
        <v>46203.0</v>
      </c>
      <c r="C20" s="281">
        <v>2.86178E9</v>
      </c>
      <c r="D20" s="282">
        <v>6.1</v>
      </c>
      <c r="E20" s="282">
        <v>7.08613E10</v>
      </c>
      <c r="F20" s="282">
        <v>3.08211E9</v>
      </c>
      <c r="G20" s="282">
        <v>2.23527E10</v>
      </c>
      <c r="H20" s="282">
        <v>2.91816E10</v>
      </c>
      <c r="I20" s="282">
        <v>4.37395E10</v>
      </c>
      <c r="J20" s="282">
        <v>6.00985E9</v>
      </c>
      <c r="K20" s="282">
        <v>4.5951E9</v>
      </c>
      <c r="L20" s="282">
        <v>0.91</v>
      </c>
    </row>
    <row r="21" ht="22.5" customHeight="1">
      <c r="A21" s="286" t="s">
        <v>9</v>
      </c>
      <c r="B21" s="280">
        <v>46203.0</v>
      </c>
      <c r="C21" s="281">
        <v>7.03328E8</v>
      </c>
      <c r="D21" s="282">
        <v>17.0</v>
      </c>
      <c r="E21" s="282">
        <v>4.99548E10</v>
      </c>
      <c r="F21" s="282">
        <v>1.75726E9</v>
      </c>
      <c r="G21" s="282">
        <v>1.77257E10</v>
      </c>
      <c r="H21" s="282">
        <v>2.21594E10</v>
      </c>
      <c r="I21" s="282">
        <v>1.06745E10</v>
      </c>
      <c r="J21" s="282">
        <v>4.62036E9</v>
      </c>
      <c r="K21" s="282">
        <v>2.81717E9</v>
      </c>
      <c r="L21" s="282">
        <v>0.81</v>
      </c>
    </row>
    <row r="22" ht="22.5" customHeight="1">
      <c r="A22" s="287" t="s">
        <v>6</v>
      </c>
      <c r="B22" s="280">
        <v>46203.0</v>
      </c>
      <c r="C22" s="281">
        <v>1.51121E9</v>
      </c>
      <c r="D22" s="282">
        <v>8.5</v>
      </c>
      <c r="E22" s="282">
        <v>2.65326E10</v>
      </c>
      <c r="F22" s="282">
        <v>4.66245E9</v>
      </c>
      <c r="G22" s="282">
        <v>7.25003E9</v>
      </c>
      <c r="H22" s="282">
        <v>1.21039E10</v>
      </c>
      <c r="I22" s="282">
        <v>7.54264E9</v>
      </c>
      <c r="J22" s="282">
        <v>2.54284E9</v>
      </c>
      <c r="K22" s="282">
        <v>4.55251E8</v>
      </c>
      <c r="L22" s="282">
        <v>0.73</v>
      </c>
    </row>
    <row r="23" ht="22.5" customHeight="1">
      <c r="A23" s="287" t="s">
        <v>462</v>
      </c>
      <c r="B23" s="280">
        <v>46203.0</v>
      </c>
      <c r="C23" s="281">
        <v>1.12137E10</v>
      </c>
      <c r="D23" s="282">
        <v>0.0</v>
      </c>
      <c r="E23" s="282">
        <v>1.19772E11</v>
      </c>
      <c r="F23" s="282">
        <v>6.532E9</v>
      </c>
      <c r="G23" s="282">
        <v>1.0618E10</v>
      </c>
      <c r="H23" s="282">
        <v>9.379E10</v>
      </c>
      <c r="I23" s="282">
        <v>8.475E9</v>
      </c>
      <c r="J23" s="282">
        <v>4.3E8</v>
      </c>
      <c r="K23" s="282">
        <v>1.8161E10</v>
      </c>
      <c r="L23" s="282">
        <v>1.13</v>
      </c>
    </row>
    <row r="25">
      <c r="A25" s="9"/>
      <c r="B25" s="9"/>
      <c r="C25" s="9"/>
      <c r="D25" s="288"/>
      <c r="E25" s="288"/>
      <c r="F25" s="288"/>
      <c r="G25" s="288"/>
      <c r="H25" s="288"/>
      <c r="I25" s="288"/>
      <c r="J25" s="288"/>
      <c r="K25" s="288"/>
      <c r="L25" s="288"/>
      <c r="M25" s="107"/>
      <c r="N25" s="107"/>
    </row>
    <row r="26">
      <c r="A26" s="107"/>
      <c r="B26" s="107"/>
      <c r="C26" s="107"/>
      <c r="D26" s="107"/>
      <c r="E26" s="107"/>
      <c r="F26" s="107"/>
      <c r="G26" s="107"/>
      <c r="H26" s="107"/>
      <c r="I26" s="107"/>
      <c r="J26" s="107"/>
      <c r="K26" s="107"/>
      <c r="L26" s="107"/>
      <c r="M26" s="107"/>
      <c r="N26" s="107"/>
    </row>
    <row r="27">
      <c r="A27" s="107"/>
      <c r="B27" s="107"/>
      <c r="C27" s="107"/>
      <c r="D27" s="107"/>
      <c r="E27" s="107"/>
      <c r="F27" s="107"/>
      <c r="G27" s="107"/>
      <c r="H27" s="107"/>
      <c r="I27" s="107"/>
      <c r="J27" s="107"/>
      <c r="K27" s="107"/>
      <c r="L27" s="107"/>
      <c r="M27" s="107"/>
      <c r="N27" s="107"/>
    </row>
    <row r="28">
      <c r="A28" s="79"/>
      <c r="B28" s="79"/>
      <c r="C28" s="79"/>
      <c r="D28" s="107"/>
      <c r="E28" s="107"/>
      <c r="F28" s="107"/>
      <c r="G28" s="107"/>
      <c r="H28" s="107"/>
      <c r="I28" s="107"/>
      <c r="J28" s="107"/>
      <c r="K28" s="107"/>
      <c r="L28" s="107"/>
      <c r="M28" s="107"/>
      <c r="N28" s="107"/>
    </row>
    <row r="29">
      <c r="A29" s="79"/>
      <c r="B29" s="79"/>
      <c r="C29" s="79"/>
      <c r="D29" s="107"/>
      <c r="E29" s="107"/>
      <c r="F29" s="107"/>
      <c r="G29" s="107"/>
      <c r="H29" s="107"/>
      <c r="I29" s="107"/>
      <c r="J29" s="107"/>
      <c r="K29" s="107"/>
      <c r="L29" s="107"/>
    </row>
    <row r="30" ht="22.5" customHeight="1">
      <c r="A30" s="289" t="s">
        <v>104</v>
      </c>
      <c r="B30" s="290" t="s">
        <v>702</v>
      </c>
      <c r="C30" s="102" t="s">
        <v>703</v>
      </c>
      <c r="D30" s="291" t="s">
        <v>132</v>
      </c>
      <c r="G30" s="107"/>
      <c r="H30" s="107"/>
      <c r="I30" s="107"/>
      <c r="J30" s="107"/>
      <c r="K30" s="107"/>
    </row>
    <row r="31" ht="22.5" customHeight="1">
      <c r="A31" s="292" t="s">
        <v>237</v>
      </c>
      <c r="B31" s="293">
        <f t="array" ref="B31">IFERROR(INDEX(BBAS_FCFE[], MATCH("Valor_ação_Proj", BBAS_FCFE[Ticker], 0), MATCH(BBAS_FCFE[[#HEADERS],[Valores]], BBAS_FCFE[#HEADERS], 0)),"")</f>
        <v>24.58232559</v>
      </c>
      <c r="C31" s="106">
        <f t="shared" ref="C31:C32" si="1">INDIRECT(A31 &amp; "!O16")</f>
        <v>22.05252713</v>
      </c>
      <c r="D31" s="119">
        <f t="array" ref="D31">IFERROR(INDEX(BBAS_TIR[], MATCH("TIR", BBAS_TIR[Ano], 0), MATCH(BBAS_TIR[[#HEADERS],[Fluxo]], BBAS_TIR[#HEADERS], 0)),"")</f>
        <v>0.2015351028</v>
      </c>
      <c r="G31" s="107"/>
      <c r="H31" s="107"/>
      <c r="I31" s="107"/>
      <c r="J31" s="107"/>
      <c r="K31" s="107"/>
    </row>
    <row r="32" ht="22.5" customHeight="1">
      <c r="A32" s="292" t="s">
        <v>431</v>
      </c>
      <c r="B32" s="293">
        <f t="array" ref="B32">IFERROR(INDEX(BBSE_FCFE[], MATCH("Valor_ação_Proj", BBSE_FCFE[Ticker], 0), MATCH(BBSE_FCFE[[#HEADERS],[Valores]], BBSE_FCFE[#HEADERS], 0)),"")</f>
        <v>41.27833911</v>
      </c>
      <c r="C32" s="106">
        <f t="shared" si="1"/>
        <v>35.54874689</v>
      </c>
      <c r="D32" s="119">
        <f t="array" ref="D32">IFERROR(INDEX(BBSE_TIR[], MATCH("TIR", BBSE_TIR[Ano], 0), MATCH(BBSE_TIR[[#HEADERS],[Fluxo]], BBSE_TIR[#HEADERS], 0)),"")</f>
        <v>0.1641950504</v>
      </c>
      <c r="G32" s="107"/>
      <c r="H32" s="107"/>
      <c r="I32" s="107"/>
      <c r="J32" s="107"/>
      <c r="K32" s="107"/>
    </row>
    <row r="33" ht="22.5" customHeight="1">
      <c r="A33" s="292" t="s">
        <v>238</v>
      </c>
      <c r="B33" s="293">
        <f t="array" ref="B33">IFERROR(INDEX(VALE_FCFE[], MATCH("Valor_ação_Proj", VALE_FCFE[Ticker], 0), MATCH(VALE_FCFE[[#HEADERS],[Valores]], VALE_FCFE[#HEADERS], 0)),"")</f>
        <v>67.54718004</v>
      </c>
      <c r="C33" s="106"/>
      <c r="D33" s="119">
        <f t="array" ref="D33">IFERROR(INDEX(VALE_TIR[], MATCH("TIR", VALE_TIR[Ano], 0), MATCH(VALE_TIR[[#HEADERS],[Fluxo]], VALE_TIR[#HEADERS], 0)),"")</f>
        <v>0.09310251942</v>
      </c>
      <c r="G33" s="107"/>
      <c r="H33" s="107"/>
      <c r="I33" s="107"/>
      <c r="J33" s="107"/>
      <c r="K33" s="107"/>
    </row>
    <row r="34" ht="22.5" customHeight="1">
      <c r="A34" s="292" t="s">
        <v>7</v>
      </c>
      <c r="B34" s="293">
        <f t="array" ref="B34">IFERROR(INDEX(TAEE_FCFE[], MATCH("Valor_ação_Proj", TAEE_FCFE[Ticker], 0), MATCH(TAEE_FCFE[[#HEADERS],[Valores]], TAEE_FCFE[#HEADERS], 0)),"")</f>
        <v>32.73144074</v>
      </c>
      <c r="C34" s="106"/>
      <c r="D34" s="119">
        <f t="array" ref="D34">IFERROR(INDEX(TAEE_TIR[], MATCH("TIR", TAEE_TIR[Ano], 0), MATCH(TAEE_TIR[[#HEADERS],[Fluxo]], TAEE_TIR[#HEADERS], 0)),"")</f>
        <v>-0.001709135131</v>
      </c>
      <c r="G34" s="107"/>
      <c r="H34" s="107"/>
      <c r="I34" s="107"/>
      <c r="J34" s="107"/>
      <c r="K34" s="107"/>
    </row>
    <row r="35" ht="22.5" customHeight="1">
      <c r="A35" s="292" t="s">
        <v>430</v>
      </c>
      <c r="B35" s="293">
        <f t="array" ref="B35">IFERROR(INDEX(ITUB_FCFE[], MATCH("Valor_ação_Proj", ITUB_FCFE[Ticker], 0), MATCH(ITUB_FCFE[[#HEADERS],[Valores]], ITUB_FCFE[#HEADERS], 0)),"")</f>
        <v>42.94063084</v>
      </c>
      <c r="C35" s="106">
        <f t="array" ref="C35">INDIRECT(A35 &amp; "!O16")</f>
        <v>36.14885823</v>
      </c>
      <c r="D35" s="119">
        <f t="array" ref="D35">IFERROR(INDEX(ITUB_TIR[], MATCH("TIR", ITUB_TIR[Ano], 0), MATCH(ITUB_TIR[[#HEADERS],[Fluxo]], ITUB_TIR[#HEADERS], 0)),"")</f>
        <v>0.1514000711</v>
      </c>
      <c r="E35" s="107"/>
      <c r="F35" s="107"/>
      <c r="G35" s="107"/>
      <c r="H35" s="107"/>
      <c r="I35" s="107"/>
      <c r="J35" s="107"/>
      <c r="K35" s="107"/>
    </row>
    <row r="36" ht="22.5" customHeight="1">
      <c r="A36" s="292" t="s">
        <v>232</v>
      </c>
      <c r="B36" s="293">
        <f t="array" ref="B36">IFERROR(INDEX(PETR_FCFE[], MATCH("Valor_ação_Proj", PETR_FCFE[Ticker], 0), MATCH(PETR_FCFE[[#HEADERS],[Valores]], PETR_FCFE[#HEADERS], 0)),"")</f>
        <v>45.58782648</v>
      </c>
      <c r="C36" s="106"/>
      <c r="D36" s="119">
        <f t="array" ref="D36">IFERROR(INDEX(PETR_TIR[], MATCH("TIR", PETR_TIR[Ano], 0), MATCH(PETR_TIR[[#HEADERS],[Fluxo]], PETR_TIR[#HEADERS], 0)),"")</f>
        <v>0.1203490473</v>
      </c>
      <c r="E36" s="107"/>
      <c r="G36" s="107"/>
      <c r="H36" s="107"/>
      <c r="I36" s="107"/>
      <c r="J36" s="107"/>
      <c r="K36" s="107"/>
    </row>
    <row r="37" ht="22.5" customHeight="1">
      <c r="A37" s="292" t="s">
        <v>231</v>
      </c>
      <c r="B37" s="293">
        <f t="array" ref="B37">IFERROR(INDEX(WEGE_FCFE[], MATCH("Valor_ação_Proj", WEGE_FCFE[Ticker], 0), MATCH(WEGE_FCFE[[#HEADERS],[Valores]], WEGE_FCFE[#HEADERS], 0)),"")</f>
        <v>42.56865446</v>
      </c>
      <c r="C37" s="106"/>
      <c r="D37" s="119">
        <f t="array" ref="D37">IFERROR(INDEX(WEGE_TIR[], MATCH("TIR", WEGE_TIR[Ano], 0), MATCH(WEGE_TIR[[#HEADERS],[Fluxo]], WEGE_TIR[#HEADERS], 0)),"")</f>
        <v>0.1283307133</v>
      </c>
      <c r="E37" s="107"/>
      <c r="G37" s="107"/>
      <c r="H37" s="107"/>
      <c r="I37" s="107"/>
      <c r="J37" s="107"/>
      <c r="K37" s="107"/>
    </row>
    <row r="38" ht="22.5" customHeight="1">
      <c r="A38" s="292" t="s">
        <v>8</v>
      </c>
      <c r="B38" s="293">
        <f t="array" ref="B38">IFERROR(INDEX(CMIG_FCFE[], MATCH("Valor_ação_Proj", CMIG_FCFE[Ticker], 0), MATCH(CMIG_FCFE[[#HEADERS],[Valores]], CMIG_FCFE[#HEADERS], 0)),"")</f>
        <v>11.72733301</v>
      </c>
      <c r="C38" s="106"/>
      <c r="D38" s="119">
        <f t="array" ref="D38">IFERROR(INDEX(CMIG_TIR[], MATCH("TIR", CMIG_TIR[Ano], 0), MATCH(CMIG_TIR[[#HEADERS],[Fluxo]], CMIG_TIR[#HEADERS], 0)),"")</f>
        <v>0.07521528348</v>
      </c>
      <c r="E38" s="107"/>
      <c r="F38" s="27"/>
      <c r="G38" s="107"/>
      <c r="H38" s="107"/>
      <c r="I38" s="107"/>
      <c r="J38" s="107"/>
      <c r="K38" s="107"/>
    </row>
    <row r="39" ht="22.5" customHeight="1">
      <c r="A39" s="292" t="s">
        <v>9</v>
      </c>
      <c r="B39" s="293">
        <f t="array" ref="B39">IFERROR(INDEX(ISAE_FCFE[], MATCH("Valor_ação_Proj", ISAE_FCFE[Ticker], 0), MATCH(ISAE_FCFE[[#HEADERS],[Valores]], ISAE_FCFE[#HEADERS], 0)),"")</f>
        <v>24.70059902</v>
      </c>
      <c r="C39" s="106"/>
      <c r="D39" s="119">
        <f t="array" ref="D39">IFERROR(INDEX(ISAE_TIR[], MATCH("TIR", ISAE_TIR[Ano], 0), MATCH(ISAE_TIR[[#HEADERS],[Fluxo]], ISAE_TIR[#HEADERS], 0)),"")</f>
        <v>0.01788603623</v>
      </c>
      <c r="E39" s="107"/>
      <c r="F39" s="27"/>
      <c r="G39" s="107"/>
      <c r="H39" s="107"/>
      <c r="I39" s="107"/>
      <c r="J39" s="107"/>
      <c r="K39" s="107"/>
    </row>
    <row r="40" ht="22.5" customHeight="1">
      <c r="A40" s="294" t="s">
        <v>6</v>
      </c>
      <c r="B40" s="293">
        <f t="array" ref="B40">IFERROR(INDEX(SAPR_FCFE[], MATCH("Valor_ação_Proj", SAPR_FCFE[Ticker], 0), MATCH(SAPR_FCFE[[#HEADERS],[Valores]], SAPR_FCFE[#HEADERS], 0)),"")</f>
        <v>7.255943037</v>
      </c>
      <c r="C40" s="106"/>
      <c r="D40" s="119">
        <f t="array" ref="D40">IFERROR(INDEX(SAPR_TIR[], MATCH("TIR", SAPR_TIR[Ano], 0), MATCH(SAPR_TIR[[#HEADERS],[Fluxo]], SAPR_TIR[#HEADERS], 0)),"")</f>
        <v>0.1328113849</v>
      </c>
      <c r="E40" s="107"/>
      <c r="G40" s="107"/>
      <c r="H40" s="107"/>
      <c r="I40" s="107"/>
      <c r="J40" s="107"/>
      <c r="K40" s="107"/>
    </row>
    <row r="41" ht="22.5" customHeight="1">
      <c r="A41" s="295" t="s">
        <v>462</v>
      </c>
      <c r="B41" s="293">
        <f t="array" ref="B41">IFERROR(INDEX(ITSA_FCFE[], MATCH("Valor_ação_Proj", ITSA_FCFE[Ticker], 0), MATCH(ITSA_FCFE[[#HEADERS],[Valores]], ITSA_FCFE[#HEADERS], 0)),"")</f>
        <v>14.82046898</v>
      </c>
      <c r="C41" s="106">
        <f t="array" ref="C41">INDIRECT(A41 &amp; "!O16")</f>
        <v>12.51914967</v>
      </c>
      <c r="D41" s="119">
        <f t="array" ref="D41">IFERROR(INDEX(ITSA_TIR[], MATCH("TIR", ITSA_TIR[Ano], 0), MATCH(ITSA_TIR[[#HEADERS],[Fluxo]], ITSA_TIR[#HEADERS], 0)),"")</f>
        <v>0.2545398765</v>
      </c>
    </row>
    <row r="42">
      <c r="F42" s="107"/>
      <c r="H42" s="107"/>
      <c r="I42" s="107"/>
      <c r="J42" s="107"/>
    </row>
    <row r="43">
      <c r="A43" s="107"/>
      <c r="B43" s="107"/>
      <c r="C43" s="107"/>
      <c r="D43" s="107"/>
      <c r="E43" s="107"/>
    </row>
    <row r="44">
      <c r="A44" s="107"/>
      <c r="B44" s="107"/>
      <c r="C44" s="107"/>
      <c r="D44" s="107"/>
      <c r="E44" s="107"/>
    </row>
    <row r="45">
      <c r="A45" s="107"/>
      <c r="B45" s="107"/>
      <c r="C45" s="107"/>
    </row>
    <row r="46">
      <c r="A46" s="107"/>
      <c r="B46" s="107"/>
      <c r="C46" s="107"/>
    </row>
    <row r="47">
      <c r="A47" s="107"/>
      <c r="B47" s="107"/>
      <c r="C47" s="107"/>
      <c r="G47" s="107"/>
      <c r="H47" s="107"/>
    </row>
    <row r="48">
      <c r="A48" s="107"/>
      <c r="B48" s="107"/>
      <c r="C48" s="107"/>
      <c r="G48" s="107"/>
      <c r="H48" s="107"/>
    </row>
    <row r="49">
      <c r="A49" s="107"/>
      <c r="B49" s="107"/>
      <c r="C49" s="107"/>
      <c r="D49" s="107"/>
      <c r="E49" s="107"/>
      <c r="G49" s="107"/>
      <c r="H49" s="107"/>
    </row>
    <row r="50">
      <c r="A50" s="107"/>
      <c r="B50" s="107"/>
      <c r="C50" s="107"/>
      <c r="D50" s="107"/>
      <c r="E50" s="107"/>
      <c r="G50" s="107"/>
      <c r="H50" s="107"/>
    </row>
    <row r="51">
      <c r="A51" s="107"/>
      <c r="B51" s="107"/>
      <c r="C51" s="107"/>
      <c r="D51" s="107"/>
      <c r="E51" s="107"/>
      <c r="G51" s="107"/>
      <c r="H51" s="107"/>
    </row>
    <row r="52">
      <c r="A52" s="107"/>
      <c r="B52" s="107"/>
      <c r="C52" s="107"/>
      <c r="D52" s="107"/>
      <c r="E52" s="107"/>
      <c r="G52" s="107"/>
      <c r="H52" s="107"/>
    </row>
    <row r="53">
      <c r="A53" s="107"/>
      <c r="B53" s="107"/>
      <c r="C53" s="107"/>
      <c r="D53" s="107"/>
      <c r="E53" s="107"/>
      <c r="G53" s="107"/>
      <c r="H53" s="107"/>
    </row>
    <row r="54">
      <c r="A54" s="107"/>
      <c r="B54" s="107"/>
      <c r="C54" s="107"/>
      <c r="D54" s="107"/>
      <c r="E54" s="107"/>
      <c r="G54" s="107"/>
      <c r="H54" s="107"/>
    </row>
    <row r="55">
      <c r="A55" s="107"/>
      <c r="B55" s="107"/>
      <c r="C55" s="107"/>
      <c r="D55" s="107"/>
      <c r="E55" s="107"/>
      <c r="G55" s="107"/>
      <c r="H55" s="107"/>
    </row>
    <row r="56">
      <c r="A56" s="107"/>
      <c r="B56" s="107"/>
      <c r="C56" s="107"/>
      <c r="D56" s="107"/>
      <c r="E56" s="107"/>
      <c r="G56" s="107"/>
      <c r="H56" s="107"/>
    </row>
    <row r="57">
      <c r="A57" s="107"/>
      <c r="B57" s="107"/>
      <c r="C57" s="107"/>
      <c r="D57" s="107"/>
      <c r="E57" s="107"/>
      <c r="G57" s="107"/>
      <c r="H57" s="107"/>
    </row>
    <row r="58">
      <c r="A58" s="107"/>
      <c r="B58" s="107"/>
      <c r="C58" s="107"/>
      <c r="D58" s="107"/>
      <c r="E58" s="107"/>
    </row>
    <row r="59">
      <c r="C59" s="107"/>
      <c r="D59" s="107"/>
      <c r="E59" s="107"/>
    </row>
  </sheetData>
  <dataValidations>
    <dataValidation type="custom" allowBlank="1" showDropDown="1" sqref="C10:C23 B31:D41">
      <formula1>AND(ISNUMBER(B10),(NOT(OR(NOT(ISERROR(DATEVALUE(B10))), AND(ISNUMBER(B10), LEFT(CELL("format", B10))="D")))))</formula1>
    </dataValidation>
  </dataValidations>
  <drawing r:id="rId1"/>
  <tableParts count="3">
    <tablePart r:id="rId5"/>
    <tablePart r:id="rId6"/>
    <tablePart r:id="rId7"/>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13"/>
  </cols>
  <sheetData>
    <row r="1">
      <c r="A1" s="9" t="s">
        <v>686</v>
      </c>
      <c r="B1" s="9" t="s">
        <v>687</v>
      </c>
      <c r="C1" s="9" t="s">
        <v>688</v>
      </c>
    </row>
    <row r="2">
      <c r="A2" s="9" t="s">
        <v>689</v>
      </c>
      <c r="B2" s="9" t="s">
        <v>691</v>
      </c>
      <c r="C2" s="283">
        <v>46273.417319375</v>
      </c>
    </row>
    <row r="3">
      <c r="A3" s="9" t="s">
        <v>692</v>
      </c>
      <c r="B3" s="9" t="s">
        <v>691</v>
      </c>
      <c r="C3" s="283">
        <v>46275.4765074537</v>
      </c>
    </row>
    <row r="4">
      <c r="C4" s="283"/>
    </row>
    <row r="5">
      <c r="C5" s="283"/>
    </row>
    <row r="6">
      <c r="A6" s="107"/>
      <c r="B6" s="107"/>
      <c r="C6" s="284"/>
    </row>
    <row r="7">
      <c r="A7" s="107"/>
      <c r="B7" s="107"/>
      <c r="C7" s="284"/>
    </row>
    <row r="8">
      <c r="A8" s="107"/>
      <c r="B8" s="107"/>
      <c r="C8" s="284"/>
    </row>
    <row r="9">
      <c r="A9" s="107"/>
      <c r="B9" s="107"/>
      <c r="C9" s="284"/>
    </row>
    <row r="10">
      <c r="A10" s="107"/>
      <c r="B10" s="107"/>
      <c r="C10" s="284"/>
    </row>
    <row r="11">
      <c r="A11" s="107"/>
      <c r="B11" s="107"/>
      <c r="C11" s="284"/>
    </row>
    <row r="12">
      <c r="A12" s="107"/>
      <c r="B12" s="107"/>
      <c r="C12" s="284"/>
    </row>
    <row r="13">
      <c r="A13" s="107"/>
      <c r="B13" s="107"/>
      <c r="C13" s="284"/>
    </row>
    <row r="14">
      <c r="A14" s="107"/>
      <c r="B14" s="107"/>
      <c r="C14" s="284"/>
    </row>
    <row r="15">
      <c r="A15" s="107"/>
      <c r="B15" s="107"/>
      <c r="C15" s="284"/>
    </row>
    <row r="16">
      <c r="A16" s="107"/>
      <c r="B16" s="107"/>
      <c r="C16" s="284"/>
    </row>
    <row r="17">
      <c r="A17" s="107"/>
      <c r="B17" s="107"/>
      <c r="C17" s="284"/>
    </row>
    <row r="18">
      <c r="A18" s="107"/>
      <c r="B18" s="107"/>
      <c r="C18" s="284"/>
    </row>
    <row r="19">
      <c r="A19" s="107"/>
      <c r="B19" s="107"/>
      <c r="C19" s="284"/>
    </row>
    <row r="20">
      <c r="A20" s="107"/>
      <c r="B20" s="107"/>
      <c r="C20" s="284"/>
    </row>
    <row r="21">
      <c r="A21" s="107"/>
      <c r="B21" s="107"/>
      <c r="C21" s="284"/>
    </row>
    <row r="22">
      <c r="A22" s="107"/>
      <c r="B22" s="107"/>
      <c r="C22" s="284"/>
    </row>
    <row r="23">
      <c r="A23" s="107"/>
      <c r="B23" s="107"/>
      <c r="C23" s="284"/>
    </row>
    <row r="24">
      <c r="A24" s="107"/>
      <c r="B24" s="107"/>
      <c r="C24" s="284"/>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sheetViews>
  <sheetFormatPr customHeight="1" defaultColWidth="12.63" defaultRowHeight="15.75"/>
  <cols>
    <col customWidth="1" min="1" max="1" width="33.63"/>
    <col customWidth="1" min="2" max="2" width="18.0"/>
    <col customWidth="1" min="3" max="3" width="9.88"/>
    <col customWidth="1" min="4" max="5" width="17.5"/>
    <col customWidth="1" min="6" max="6" width="16.0"/>
    <col customWidth="1" min="7" max="7" width="12.5"/>
    <col customWidth="1" min="8" max="8" width="15.63"/>
    <col customWidth="1" min="9" max="9" width="9.13"/>
    <col customWidth="1" min="10" max="10" width="29.25"/>
    <col customWidth="1" min="11" max="11" width="20.75"/>
    <col customWidth="1" min="12" max="12" width="22.13"/>
    <col customWidth="1" min="13" max="13" width="34.63"/>
    <col customWidth="1" min="14" max="14" width="12.13"/>
    <col customWidth="1" min="15" max="15" width="19.38"/>
    <col customWidth="1" min="16" max="16" width="12.38"/>
    <col customWidth="1" min="17" max="17" width="14.38"/>
  </cols>
  <sheetData>
    <row r="1">
      <c r="A1" s="1"/>
      <c r="B1" s="2" t="s">
        <v>1</v>
      </c>
      <c r="C1" s="3">
        <v>46058.0</v>
      </c>
      <c r="D1" s="2" t="s">
        <v>2</v>
      </c>
      <c r="E1" s="4">
        <v>46240.0</v>
      </c>
      <c r="F1" s="2" t="s">
        <v>1</v>
      </c>
      <c r="G1" s="3">
        <v>46058.0</v>
      </c>
      <c r="H1" s="2" t="s">
        <v>1</v>
      </c>
      <c r="I1" s="3">
        <v>46058.0</v>
      </c>
      <c r="J1" s="9"/>
      <c r="K1" s="131"/>
      <c r="L1" s="192"/>
      <c r="M1" s="22"/>
    </row>
    <row r="2">
      <c r="A2" s="10" t="s">
        <v>235</v>
      </c>
      <c r="B2" s="9"/>
      <c r="C2" s="9"/>
      <c r="D2" s="9"/>
      <c r="J2" s="9" t="s">
        <v>608</v>
      </c>
      <c r="K2" s="131" t="s">
        <v>609</v>
      </c>
      <c r="L2" s="192"/>
      <c r="M2" s="22" t="s">
        <v>610</v>
      </c>
    </row>
    <row r="3">
      <c r="A3" s="9" t="s">
        <v>11</v>
      </c>
      <c r="B3" s="9" t="s">
        <v>12</v>
      </c>
      <c r="C3" s="9" t="s">
        <v>13</v>
      </c>
      <c r="D3" s="9" t="s">
        <v>14</v>
      </c>
      <c r="E3" s="9" t="s">
        <v>15</v>
      </c>
      <c r="F3" s="9" t="s">
        <v>16</v>
      </c>
      <c r="G3" s="9" t="s">
        <v>17</v>
      </c>
      <c r="H3" s="9" t="s">
        <v>18</v>
      </c>
      <c r="J3" s="79" t="s">
        <v>611</v>
      </c>
      <c r="K3" s="50">
        <f>IFERROR(__xludf.DUMMYFUNCTION("(GOOGLEFINANCE(""BVMF:"" &amp; K2))"),14.21)</f>
        <v>14.21</v>
      </c>
      <c r="L3" s="19">
        <f t="shared" ref="L3:L5" si="1">1/M3</f>
        <v>0.002186110407</v>
      </c>
      <c r="M3" s="28">
        <f>K3/(L12*3)</f>
        <v>457.4334382</v>
      </c>
    </row>
    <row r="4">
      <c r="A4" s="43" t="s">
        <v>240</v>
      </c>
      <c r="B4" s="42">
        <f>SUM(B5)</f>
        <v>118420</v>
      </c>
      <c r="C4" s="48">
        <f t="shared" ref="C4:C5" si="2">IFERROR(SUM((D4/B4)-1),0)</f>
        <v>0.6533440297</v>
      </c>
      <c r="D4" s="42">
        <f>SUM(D5)</f>
        <v>195789</v>
      </c>
      <c r="E4" s="48">
        <f t="shared" ref="E4:E5" si="3">IFERROR(SUM((F4/D4)-1),0)</f>
        <v>1.636220625</v>
      </c>
      <c r="F4" s="42">
        <f>SUM(F5)</f>
        <v>516143</v>
      </c>
      <c r="G4" s="48">
        <f t="shared" ref="G4:G5" si="4">IFERROR(SUM((H4/F4)-1),0)</f>
        <v>-0.7330352247</v>
      </c>
      <c r="H4" s="42">
        <f>SUM(H5)</f>
        <v>137792</v>
      </c>
      <c r="J4" s="22" t="s">
        <v>612</v>
      </c>
      <c r="K4" s="29">
        <f>SUM(L12*3/((L4)))</f>
        <v>0.3106462889</v>
      </c>
      <c r="L4" s="19">
        <f t="shared" si="1"/>
        <v>0.1</v>
      </c>
      <c r="M4" s="53">
        <v>10.0</v>
      </c>
    </row>
    <row r="5">
      <c r="A5" s="9" t="s">
        <v>477</v>
      </c>
      <c r="B5" s="27">
        <v>118420.0</v>
      </c>
      <c r="C5" s="20">
        <f t="shared" si="2"/>
        <v>0.6533440297</v>
      </c>
      <c r="D5" s="27">
        <v>195789.0</v>
      </c>
      <c r="E5" s="20">
        <f t="shared" si="3"/>
        <v>1.636220625</v>
      </c>
      <c r="F5" s="27">
        <v>516143.0</v>
      </c>
      <c r="G5" s="20">
        <f t="shared" si="4"/>
        <v>-0.7330352247</v>
      </c>
      <c r="H5" s="27">
        <v>137792.0</v>
      </c>
      <c r="J5" s="22" t="s">
        <v>613</v>
      </c>
      <c r="K5" s="50">
        <f>B150</f>
        <v>0.266929249</v>
      </c>
      <c r="L5" s="19">
        <f t="shared" si="1"/>
        <v>0.116377763</v>
      </c>
      <c r="M5" s="28">
        <f>K5/(L12*3)</f>
        <v>8.592706835</v>
      </c>
      <c r="Q5" s="27"/>
    </row>
    <row r="6">
      <c r="B6" s="27"/>
      <c r="C6" s="20"/>
      <c r="D6" s="27"/>
      <c r="E6" s="20"/>
      <c r="F6" s="27"/>
      <c r="G6" s="20"/>
      <c r="H6" s="27"/>
      <c r="J6" s="22"/>
      <c r="K6" s="154"/>
      <c r="L6" s="19"/>
      <c r="M6" s="28"/>
      <c r="Q6" s="124"/>
      <c r="R6" s="20"/>
    </row>
    <row r="7">
      <c r="A7" s="131" t="s">
        <v>254</v>
      </c>
      <c r="B7" s="132">
        <f>SUM(B8,B9,B12,B15,B16,B17)</f>
        <v>17797873</v>
      </c>
      <c r="C7" s="20">
        <f t="shared" ref="C7:C17" si="5">IFERROR(SUM((D7/B7)-1),0)</f>
        <v>0.01129561943</v>
      </c>
      <c r="D7" s="132">
        <f>SUM(D8,D9,D12,D15,D16,D17)</f>
        <v>17998911</v>
      </c>
      <c r="E7" s="20">
        <f t="shared" ref="E7:E17" si="6">IFERROR(SUM((F7/D7)-1),0)</f>
        <v>-0.09603269887</v>
      </c>
      <c r="F7" s="132">
        <f>SUM(F8,F9,F12,F15,F16,F17)</f>
        <v>16270427</v>
      </c>
      <c r="G7" s="20">
        <f t="shared" ref="G7:G17" si="7">IFERROR(SUM((H7/F7)-1),0)</f>
        <v>0.05522393481</v>
      </c>
      <c r="H7" s="132">
        <f>SUM(H8,H9,H12,H15,H16,H17)</f>
        <v>17168944</v>
      </c>
      <c r="J7" s="17" t="s">
        <v>19</v>
      </c>
      <c r="K7" s="10">
        <v>1000.0</v>
      </c>
      <c r="Q7" s="229"/>
      <c r="R7" s="29"/>
    </row>
    <row r="8">
      <c r="A8" s="9" t="s">
        <v>614</v>
      </c>
      <c r="B8" s="27">
        <v>1.2988707E7</v>
      </c>
      <c r="C8" s="20">
        <f t="shared" si="5"/>
        <v>0.0102208788</v>
      </c>
      <c r="D8" s="27">
        <v>1.3121463E7</v>
      </c>
      <c r="E8" s="20">
        <f t="shared" si="6"/>
        <v>-0.2070531312</v>
      </c>
      <c r="F8" s="27">
        <v>1.0404623E7</v>
      </c>
      <c r="G8" s="20">
        <f t="shared" si="7"/>
        <v>0.09278298695</v>
      </c>
      <c r="H8" s="27">
        <v>1.1369995E7</v>
      </c>
      <c r="J8" s="22" t="s">
        <v>615</v>
      </c>
      <c r="K8" s="50">
        <f>SUM(B58,D58,F58,H58)/4*K7</f>
        <v>799028500</v>
      </c>
      <c r="L8" s="20">
        <f>IFERROR(SUM(B61,D61,F61,H61)/(SUM(B31,D31,F31,H31)/4),0)</f>
        <v>0.011907686</v>
      </c>
      <c r="M8" s="51" t="s">
        <v>616</v>
      </c>
    </row>
    <row r="9">
      <c r="A9" s="131" t="s">
        <v>617</v>
      </c>
      <c r="B9" s="132">
        <f>SUM(B10:B11)</f>
        <v>1352530</v>
      </c>
      <c r="C9" s="20">
        <f t="shared" si="5"/>
        <v>0.1705396553</v>
      </c>
      <c r="D9" s="132">
        <f>SUM(D10:D11)</f>
        <v>1583190</v>
      </c>
      <c r="E9" s="20">
        <f t="shared" si="6"/>
        <v>0.03409066505</v>
      </c>
      <c r="F9" s="132">
        <f>SUM(F10:F11)</f>
        <v>1637162</v>
      </c>
      <c r="G9" s="20">
        <f t="shared" si="7"/>
        <v>-0.04724211776</v>
      </c>
      <c r="H9" s="132">
        <f>SUM(H10:H11)</f>
        <v>1559819</v>
      </c>
      <c r="J9" s="187" t="s">
        <v>618</v>
      </c>
      <c r="K9" s="266">
        <f>SUM(C58,E58,G58)/3</f>
        <v>-0.00403651103</v>
      </c>
      <c r="L9" s="20">
        <f>IFERROR(SUM(B82,D82,F82,H82)/SUM(SUM(B61,D61,F61,H61),SUM(B66,D66,F66,H66)),0)</f>
        <v>0.3294685536</v>
      </c>
      <c r="M9" s="9" t="s">
        <v>20</v>
      </c>
      <c r="Q9" s="29"/>
      <c r="R9" s="29"/>
    </row>
    <row r="10">
      <c r="A10" s="9" t="s">
        <v>619</v>
      </c>
      <c r="B10" s="27">
        <v>172356.0</v>
      </c>
      <c r="C10" s="20">
        <f t="shared" si="5"/>
        <v>-0.01476594955</v>
      </c>
      <c r="D10" s="27">
        <v>169811.0</v>
      </c>
      <c r="E10" s="20">
        <f t="shared" si="6"/>
        <v>0.8435319267</v>
      </c>
      <c r="F10" s="27">
        <v>313052.0</v>
      </c>
      <c r="G10" s="20">
        <f t="shared" si="7"/>
        <v>-0.4430669665</v>
      </c>
      <c r="H10" s="27">
        <v>174349.0</v>
      </c>
      <c r="J10" s="24" t="s">
        <v>620</v>
      </c>
      <c r="K10" s="86"/>
      <c r="L10" s="20">
        <f>IFERROR(SUM(B79,D79,F79,H79)/SUM(SUM(B61,D61,F61,H61),SUM(B66,D66,F66,H66)),0)</f>
        <v>0.437824156</v>
      </c>
      <c r="M10" s="9" t="s">
        <v>244</v>
      </c>
    </row>
    <row r="11">
      <c r="A11" s="9" t="s">
        <v>621</v>
      </c>
      <c r="B11" s="27">
        <v>1180174.0</v>
      </c>
      <c r="C11" s="20">
        <f t="shared" si="5"/>
        <v>0.197602218</v>
      </c>
      <c r="D11" s="27">
        <v>1413379.0</v>
      </c>
      <c r="E11" s="20">
        <f t="shared" si="6"/>
        <v>-0.06315998752</v>
      </c>
      <c r="F11" s="27">
        <v>1324110.0</v>
      </c>
      <c r="G11" s="20">
        <f t="shared" si="7"/>
        <v>0.04634056083</v>
      </c>
      <c r="H11" s="27">
        <v>1385470.0</v>
      </c>
      <c r="J11" s="9" t="s">
        <v>622</v>
      </c>
      <c r="K11" s="29">
        <f>SUM(B35,B37,D35,D37,F35,F37,H35,H37)/4*K7</f>
        <v>14382797500</v>
      </c>
      <c r="L11" s="73">
        <f>IFERROR(ABS(SUM(B71,D71,F71,H71))/SUM(B69,D69,F69,H69),0)</f>
        <v>0.562175844</v>
      </c>
      <c r="M11" s="65" t="s">
        <v>246</v>
      </c>
    </row>
    <row r="12">
      <c r="A12" s="131" t="s">
        <v>623</v>
      </c>
      <c r="B12" s="132">
        <f>SUM(B13:B14)</f>
        <v>1876173</v>
      </c>
      <c r="C12" s="20">
        <f t="shared" si="5"/>
        <v>-0.0990468363</v>
      </c>
      <c r="D12" s="132">
        <f>SUM(D13:D14)</f>
        <v>1690344</v>
      </c>
      <c r="E12" s="20">
        <f t="shared" si="6"/>
        <v>0.1210925113</v>
      </c>
      <c r="F12" s="132">
        <f>SUM(F13:F14)</f>
        <v>1895032</v>
      </c>
      <c r="G12" s="20">
        <f t="shared" si="7"/>
        <v>0.1037233144</v>
      </c>
      <c r="H12" s="132">
        <f>SUM(H13:H14)</f>
        <v>2091591</v>
      </c>
      <c r="J12" s="62" t="s">
        <v>624</v>
      </c>
      <c r="K12" s="267">
        <f>SUM(C35,C37,E35,E37,G35,G37)/3</f>
        <v>-0.04539783122</v>
      </c>
      <c r="L12" s="23">
        <f t="array" ref="L12">(K34)/INDEX(Indicador_Ações[], MATCH($K$2, Indicador_Ações[Stock], 0), MATCH(Indicador_Ações[[#HEADERS],[divida_bruta]], Indicador_Ações[#HEADERS],))</f>
        <v>0.0103548763</v>
      </c>
      <c r="M12" s="22" t="s">
        <v>41</v>
      </c>
    </row>
    <row r="13">
      <c r="A13" s="9" t="s">
        <v>625</v>
      </c>
      <c r="B13" s="27">
        <v>97251.0</v>
      </c>
      <c r="C13" s="20">
        <f t="shared" si="5"/>
        <v>0.2057973697</v>
      </c>
      <c r="D13" s="27">
        <v>117265.0</v>
      </c>
      <c r="E13" s="20">
        <f t="shared" si="6"/>
        <v>0.1273611052</v>
      </c>
      <c r="F13" s="27">
        <v>132200.0</v>
      </c>
      <c r="G13" s="20">
        <f t="shared" si="7"/>
        <v>0.2731164902</v>
      </c>
      <c r="H13" s="27">
        <v>168306.0</v>
      </c>
      <c r="J13" s="24" t="s">
        <v>626</v>
      </c>
      <c r="K13" s="86"/>
      <c r="L13" s="145">
        <f t="array" ref="L13">SUM(B103,D103,F103,H103)*K7/INDEX(Indicador_Ações[], MATCH($K$2, Indicador_Ações[Stock], 0), MATCH(Indicador_Ações[[#HEADERS],[divida_bruta]], Indicador_Ações[#HEADERS],))</f>
        <v>0.03219893182</v>
      </c>
      <c r="M13" s="22" t="s">
        <v>252</v>
      </c>
    </row>
    <row r="14">
      <c r="A14" s="9" t="s">
        <v>627</v>
      </c>
      <c r="B14" s="27">
        <v>1778922.0</v>
      </c>
      <c r="C14" s="20">
        <f t="shared" si="5"/>
        <v>-0.1157122122</v>
      </c>
      <c r="D14" s="27">
        <v>1573079.0</v>
      </c>
      <c r="E14" s="20">
        <f t="shared" si="6"/>
        <v>0.1206252197</v>
      </c>
      <c r="F14" s="27">
        <v>1762832.0</v>
      </c>
      <c r="G14" s="20">
        <f t="shared" si="7"/>
        <v>0.09102001779</v>
      </c>
      <c r="H14" s="27">
        <v>1923285.0</v>
      </c>
      <c r="J14" s="9" t="s">
        <v>628</v>
      </c>
      <c r="K14" s="29">
        <f>SUM(B8,B9,B12,B15,D8,D9,D12,D15,F8,F9,F12,F15,H8,H9,H12,H15)/4*K7</f>
        <v>16501585750</v>
      </c>
      <c r="L14" s="50">
        <f t="array" ref="L14">IFERROR(INDEX(SUM(B139)*K7,0)/INDEX('Indicadores_Ações'!$A$10:$L$23, MATCH(K2, 'Indicadores_Ações'!$A$10:$A$23, 0), MATCH('Indicadores_Ações'!$G$9, 'Indicadores_Ações'!$A$9:$L$9, 0)),"")</f>
        <v>0.002235602373</v>
      </c>
      <c r="M14" s="22" t="s">
        <v>46</v>
      </c>
    </row>
    <row r="15">
      <c r="A15" s="9" t="s">
        <v>629</v>
      </c>
      <c r="B15" s="27">
        <v>1126184.0</v>
      </c>
      <c r="C15" s="20">
        <f t="shared" si="5"/>
        <v>0.09534498803</v>
      </c>
      <c r="D15" s="27">
        <v>1233560.0</v>
      </c>
      <c r="E15" s="20">
        <f t="shared" si="6"/>
        <v>-0.1466803398</v>
      </c>
      <c r="F15" s="27">
        <v>1052621.0</v>
      </c>
      <c r="G15" s="20">
        <f t="shared" si="7"/>
        <v>-0.02780867948</v>
      </c>
      <c r="H15" s="27">
        <v>1023349.0</v>
      </c>
      <c r="J15" s="62" t="s">
        <v>630</v>
      </c>
      <c r="K15" s="267">
        <f>SUM(C8,C9,C12,C15,E8,E9,E12,E15,G8,G9,G12,G15)/3</f>
        <v>0.03332129845</v>
      </c>
      <c r="L15" s="19">
        <f>L14/L12</f>
        <v>0.2158985109</v>
      </c>
      <c r="M15" s="22" t="s">
        <v>263</v>
      </c>
      <c r="R15" s="20"/>
    </row>
    <row r="16">
      <c r="A16" s="9" t="s">
        <v>631</v>
      </c>
      <c r="B16" s="27">
        <v>158926.0</v>
      </c>
      <c r="C16" s="20">
        <f t="shared" si="5"/>
        <v>0.1362709689</v>
      </c>
      <c r="D16" s="27">
        <v>180583.0</v>
      </c>
      <c r="E16" s="20">
        <f t="shared" si="6"/>
        <v>0.6998056295</v>
      </c>
      <c r="F16" s="27">
        <v>306956.0</v>
      </c>
      <c r="G16" s="20">
        <f t="shared" si="7"/>
        <v>-0.3974445849</v>
      </c>
      <c r="H16" s="27">
        <v>184958.0</v>
      </c>
      <c r="J16" s="17" t="s">
        <v>61</v>
      </c>
      <c r="K16" s="17"/>
      <c r="L16" s="28">
        <f>IFERROR(SUM(B93,D93,F93,H93)/(SUM(B31,D31,F31,H31)/4),"")</f>
        <v>0.07491859075</v>
      </c>
      <c r="M16" s="22" t="s">
        <v>53</v>
      </c>
    </row>
    <row r="17">
      <c r="A17" s="9" t="s">
        <v>632</v>
      </c>
      <c r="B17" s="27">
        <v>295353.0</v>
      </c>
      <c r="C17" s="20">
        <f t="shared" si="5"/>
        <v>-0.3574773237</v>
      </c>
      <c r="D17" s="27">
        <v>189771.0</v>
      </c>
      <c r="E17" s="20">
        <f t="shared" si="6"/>
        <v>4.132675699</v>
      </c>
      <c r="F17" s="27">
        <v>974033.0</v>
      </c>
      <c r="G17" s="20">
        <f t="shared" si="7"/>
        <v>-0.03572876894</v>
      </c>
      <c r="H17" s="27">
        <v>939232.0</v>
      </c>
      <c r="J17" s="49" t="s">
        <v>633</v>
      </c>
      <c r="K17" s="25"/>
      <c r="L17" s="20">
        <f>IFERROR(SUM(B82,D82,F82,H82)/(SUM(B58,D58,F58,H58)/4),0)</f>
        <v>0.2191073285</v>
      </c>
      <c r="M17" s="9" t="s">
        <v>57</v>
      </c>
    </row>
    <row r="18">
      <c r="J18" s="51" t="s">
        <v>634</v>
      </c>
      <c r="K18" s="50">
        <f>SUM(B61,D61,F61,H61)*K7</f>
        <v>211576000</v>
      </c>
      <c r="L18" s="19">
        <f>IFERROR(SUM(B82,D82,F82,H82)/(SUM(B31,D31,F31,H31)/4),0)</f>
        <v>0.009853264599</v>
      </c>
      <c r="M18" s="22" t="s">
        <v>62</v>
      </c>
    </row>
    <row r="19">
      <c r="A19" s="9" t="s">
        <v>635</v>
      </c>
      <c r="B19" s="27">
        <v>0.0</v>
      </c>
      <c r="C19" s="20">
        <f t="shared" ref="C19:C20" si="8">IFERROR(SUM((D19/B19)-1),0)</f>
        <v>0</v>
      </c>
      <c r="D19" s="27">
        <v>0.0</v>
      </c>
      <c r="E19" s="20">
        <f t="shared" ref="E19:E20" si="9">IFERROR(SUM((F19/D19)-1),0)</f>
        <v>0</v>
      </c>
      <c r="F19" s="27">
        <v>0.0</v>
      </c>
      <c r="G19" s="20">
        <f t="shared" ref="G19:G20" si="10">IFERROR(SUM((H19/F19)-1),0)</f>
        <v>0</v>
      </c>
      <c r="H19" s="27">
        <v>0.0</v>
      </c>
      <c r="J19" s="268" t="s">
        <v>636</v>
      </c>
      <c r="K19" s="266">
        <f>SUM(C61,E61,G61)/3</f>
        <v>0.0876366608</v>
      </c>
      <c r="L19" s="182">
        <f>SUM(B31,D31,F31,H31)/SUM(B58,D58,F58,H58)</f>
        <v>22.23702878</v>
      </c>
      <c r="M19" s="71" t="s">
        <v>297</v>
      </c>
      <c r="O19" s="23"/>
    </row>
    <row r="20">
      <c r="A20" s="9" t="s">
        <v>467</v>
      </c>
      <c r="B20" s="27">
        <v>43467.0</v>
      </c>
      <c r="C20" s="20">
        <f t="shared" si="8"/>
        <v>-0.1913865691</v>
      </c>
      <c r="D20" s="27">
        <v>35148.0</v>
      </c>
      <c r="E20" s="20">
        <f t="shared" si="9"/>
        <v>-0.2881245021</v>
      </c>
      <c r="F20" s="27">
        <v>25021.0</v>
      </c>
      <c r="G20" s="20">
        <f t="shared" si="10"/>
        <v>0.07405779146</v>
      </c>
      <c r="H20" s="27">
        <v>26874.0</v>
      </c>
      <c r="J20" s="49" t="s">
        <v>637</v>
      </c>
      <c r="K20" s="25"/>
      <c r="L20" s="269">
        <f>SUM(K65,M65,O65,Q65)/4</f>
        <v>0.2175</v>
      </c>
      <c r="M20" s="69" t="s">
        <v>303</v>
      </c>
    </row>
    <row r="21">
      <c r="J21" s="51" t="s">
        <v>508</v>
      </c>
      <c r="K21" s="50">
        <f>SUM(B66,D66,F66,H66)*K7</f>
        <v>319804000</v>
      </c>
      <c r="L21" s="28"/>
      <c r="M21" s="22"/>
    </row>
    <row r="22">
      <c r="A22" s="131" t="s">
        <v>292</v>
      </c>
      <c r="B22" s="202">
        <f>SUM(B23)</f>
        <v>154289</v>
      </c>
      <c r="C22" s="20">
        <f t="shared" ref="C22:C23" si="11">IFERROR(SUM((D22/B22)-1),0)</f>
        <v>0.1315971975</v>
      </c>
      <c r="D22" s="202">
        <f>SUM(D23)</f>
        <v>174593</v>
      </c>
      <c r="E22" s="20">
        <f t="shared" ref="E22:E23" si="12">IFERROR(SUM((F22/D22)-1),0)</f>
        <v>-0.5191731627</v>
      </c>
      <c r="F22" s="202">
        <f>SUM(F23)</f>
        <v>83949</v>
      </c>
      <c r="G22" s="20">
        <f t="shared" ref="G22:G23" si="13">IFERROR(SUM((H22/F22)-1),0)</f>
        <v>0.1009660627</v>
      </c>
      <c r="H22" s="202">
        <f>SUM(H23)</f>
        <v>92425</v>
      </c>
      <c r="J22" s="268" t="s">
        <v>638</v>
      </c>
      <c r="K22" s="266">
        <f>SUM(C66,E66,G66)/3</f>
        <v>0.06764486123</v>
      </c>
      <c r="L22" s="20"/>
    </row>
    <row r="23">
      <c r="A23" s="9" t="s">
        <v>639</v>
      </c>
      <c r="B23" s="27">
        <v>154289.0</v>
      </c>
      <c r="C23" s="20">
        <f t="shared" si="11"/>
        <v>0.1315971975</v>
      </c>
      <c r="D23" s="27">
        <v>174593.0</v>
      </c>
      <c r="E23" s="20">
        <f t="shared" si="12"/>
        <v>-0.5191731627</v>
      </c>
      <c r="F23" s="27">
        <v>83949.0</v>
      </c>
      <c r="G23" s="20">
        <f t="shared" si="13"/>
        <v>0.1009660627</v>
      </c>
      <c r="H23" s="27">
        <v>92425.0</v>
      </c>
      <c r="J23" s="49" t="s">
        <v>455</v>
      </c>
      <c r="K23" s="270"/>
      <c r="L23" s="29">
        <f t="array" ref="L23">IFERROR(INDEX(K3,0)*INDEX(Indicador_Ações[], MATCH(K2, Indicador_Ações[Stock], 0), MATCH(Indicador_Ações[[#HEADERS],[divida_bruta]], Indicador_Ações[#HEADERS], 0)),"")</f>
        <v>240252733000</v>
      </c>
      <c r="M23" s="9" t="s">
        <v>640</v>
      </c>
    </row>
    <row r="24">
      <c r="B24" s="27"/>
      <c r="C24" s="20"/>
      <c r="D24" s="27"/>
      <c r="E24" s="20"/>
      <c r="F24" s="27"/>
      <c r="G24" s="20"/>
      <c r="H24" s="27"/>
      <c r="J24" s="51" t="s">
        <v>458</v>
      </c>
      <c r="K24" s="50">
        <f>SUM(B69,D69,F69,H69)*K7</f>
        <v>531380000</v>
      </c>
      <c r="L24" s="29">
        <f>SUM(B79,D79,F79,H79)*1000</f>
        <v>232651000</v>
      </c>
      <c r="M24" s="9" t="s">
        <v>641</v>
      </c>
    </row>
    <row r="25">
      <c r="A25" s="70" t="s">
        <v>313</v>
      </c>
      <c r="B25" s="132">
        <f>SUM(B26:B27)</f>
        <v>59321</v>
      </c>
      <c r="C25" s="20">
        <f t="shared" ref="C25:C27" si="14">IFERROR(SUM((D25/B25)-1),0)</f>
        <v>-0.0329731461</v>
      </c>
      <c r="D25" s="202">
        <f>SUM(D26,D27)</f>
        <v>57365</v>
      </c>
      <c r="E25" s="20">
        <f t="shared" ref="E25:E27" si="15">IFERROR(SUM((F25/D25)-1),0)</f>
        <v>0.02456201517</v>
      </c>
      <c r="F25" s="202">
        <f>SUM(F26,F27)</f>
        <v>58774</v>
      </c>
      <c r="G25" s="20">
        <f t="shared" ref="G25:G27" si="16">IFERROR(SUM((H25/F25)-1),0)</f>
        <v>-0.03787388982</v>
      </c>
      <c r="H25" s="202">
        <f>SUM(H26,H27)</f>
        <v>56548</v>
      </c>
      <c r="J25" s="268" t="s">
        <v>642</v>
      </c>
      <c r="K25" s="266">
        <f>SUM(C69,E69,G69)/3</f>
        <v>-0.008150139766</v>
      </c>
      <c r="L25" s="20">
        <f>L24/L23</f>
        <v>0.0009683594317</v>
      </c>
      <c r="M25" s="9" t="s">
        <v>643</v>
      </c>
    </row>
    <row r="26">
      <c r="A26" s="9" t="s">
        <v>316</v>
      </c>
      <c r="B26" s="27">
        <v>47840.0</v>
      </c>
      <c r="C26" s="20">
        <f t="shared" si="14"/>
        <v>-0.02414297659</v>
      </c>
      <c r="D26" s="27">
        <v>46685.0</v>
      </c>
      <c r="E26" s="20">
        <f t="shared" si="15"/>
        <v>-0.02133447574</v>
      </c>
      <c r="F26" s="27">
        <v>45689.0</v>
      </c>
      <c r="G26" s="20">
        <f t="shared" si="16"/>
        <v>-0.03116723938</v>
      </c>
      <c r="H26" s="27">
        <v>44265.0</v>
      </c>
      <c r="J26" s="49" t="s">
        <v>644</v>
      </c>
      <c r="K26" s="25"/>
      <c r="L26" s="124"/>
    </row>
    <row r="27">
      <c r="A27" s="9" t="s">
        <v>319</v>
      </c>
      <c r="B27" s="27">
        <v>11481.0</v>
      </c>
      <c r="C27" s="20">
        <f t="shared" si="14"/>
        <v>-0.06976744186</v>
      </c>
      <c r="D27" s="27">
        <v>10680.0</v>
      </c>
      <c r="E27" s="20">
        <f t="shared" si="15"/>
        <v>0.2251872659</v>
      </c>
      <c r="F27" s="27">
        <v>13085.0</v>
      </c>
      <c r="G27" s="20">
        <f t="shared" si="16"/>
        <v>-0.06129155522</v>
      </c>
      <c r="H27" s="27">
        <v>12283.0</v>
      </c>
      <c r="J27" s="51" t="s">
        <v>645</v>
      </c>
      <c r="K27" s="50">
        <f>SUM(B71,D71,F71,H71)*K7</f>
        <v>-298729000</v>
      </c>
    </row>
    <row r="28">
      <c r="J28" s="191" t="s">
        <v>646</v>
      </c>
      <c r="K28" s="185">
        <f>SUM(C71,E71,G71)/3</f>
        <v>0.1753710949</v>
      </c>
    </row>
    <row r="29">
      <c r="A29" s="131" t="s">
        <v>471</v>
      </c>
      <c r="B29" s="132">
        <v>0.0</v>
      </c>
      <c r="C29" s="20">
        <f>IFERROR(SUM((D29/B29)-1),0)</f>
        <v>0</v>
      </c>
      <c r="D29" s="132">
        <v>6.0</v>
      </c>
      <c r="E29" s="20">
        <f>IFERROR(SUM((F29/D29)-1),0)</f>
        <v>-1</v>
      </c>
      <c r="F29" s="132">
        <v>0.0</v>
      </c>
      <c r="G29" s="20">
        <f>IFERROR(SUM((H29/F29)-1),0)</f>
        <v>0</v>
      </c>
      <c r="H29" s="132">
        <v>0.0</v>
      </c>
      <c r="J29" s="24" t="s">
        <v>647</v>
      </c>
      <c r="K29" s="86"/>
    </row>
    <row r="30">
      <c r="B30" s="27"/>
      <c r="C30" s="20"/>
      <c r="D30" s="27"/>
      <c r="E30" s="20"/>
      <c r="F30" s="27"/>
      <c r="G30" s="20"/>
      <c r="H30" s="27"/>
      <c r="J30" s="9" t="s">
        <v>470</v>
      </c>
      <c r="K30" s="29">
        <f>SUM(B79,D79,F79,H79)*K7</f>
        <v>232651000</v>
      </c>
    </row>
    <row r="31">
      <c r="A31" s="131" t="s">
        <v>24</v>
      </c>
      <c r="B31" s="202">
        <f>IFERROR(SUM(B4,B7,B19,B20,B22,B25,B29),0)</f>
        <v>18173370</v>
      </c>
      <c r="C31" s="20">
        <f>IFERROR(SUM((D31/B31)-1),0)</f>
        <v>0.01587168478</v>
      </c>
      <c r="D31" s="202">
        <f>IFERROR(SUM(D4,D7,D19,D20,D22,D25,D29),0)</f>
        <v>18461812</v>
      </c>
      <c r="E31" s="20">
        <f>IFERROR(SUM((F31/D31)-1),0)</f>
        <v>-0.08165493181</v>
      </c>
      <c r="F31" s="202">
        <f>IFERROR(SUM(F4,F7,F19,F20,F22,F25,F29),0)</f>
        <v>16954314</v>
      </c>
      <c r="G31" s="20">
        <f>IFERROR(SUM((H31/F31)-1),0)</f>
        <v>0.03115838246</v>
      </c>
      <c r="H31" s="202">
        <f>IFERROR(SUM(H4,H7,H19,H20,H22,H25,H29),0)</f>
        <v>17482583</v>
      </c>
      <c r="J31" s="268" t="s">
        <v>648</v>
      </c>
      <c r="K31" s="266">
        <f>SUM(C79,E79,G79)/3</f>
        <v>0.2644431794</v>
      </c>
    </row>
    <row r="32">
      <c r="A32" s="56"/>
      <c r="B32" s="57"/>
      <c r="C32" s="58"/>
      <c r="D32" s="57"/>
      <c r="E32" s="58"/>
      <c r="F32" s="57"/>
      <c r="G32" s="58"/>
      <c r="H32" s="57"/>
      <c r="J32" s="24" t="s">
        <v>649</v>
      </c>
      <c r="K32" s="86"/>
    </row>
    <row r="33">
      <c r="A33" s="9" t="s">
        <v>650</v>
      </c>
      <c r="B33" s="27">
        <v>1268.0</v>
      </c>
      <c r="C33" s="20">
        <f t="shared" ref="C33:C38" si="17">IFERROR(SUM((D33/B33)-1),0)</f>
        <v>25.01182965</v>
      </c>
      <c r="D33" s="27">
        <v>32983.0</v>
      </c>
      <c r="E33" s="20">
        <f t="shared" ref="E33:E38" si="18">IFERROR(SUM((F33/D33)-1),0)</f>
        <v>-1</v>
      </c>
      <c r="F33" s="27">
        <v>0.0</v>
      </c>
      <c r="G33" s="20">
        <f t="shared" ref="G33:G38" si="19">IFERROR(SUM((H33/F33)-1),0)</f>
        <v>0</v>
      </c>
      <c r="H33" s="27">
        <v>33222.0</v>
      </c>
      <c r="J33" s="187" t="s">
        <v>90</v>
      </c>
      <c r="K33" s="74">
        <f>'Indicadores_Ações'!$B$4</f>
        <v>0.04443024618</v>
      </c>
    </row>
    <row r="34">
      <c r="A34" s="131" t="s">
        <v>651</v>
      </c>
      <c r="B34" s="202">
        <f>SUM(B35:B38)</f>
        <v>16663416</v>
      </c>
      <c r="C34" s="20">
        <f t="shared" si="17"/>
        <v>0.01253548492</v>
      </c>
      <c r="D34" s="202">
        <f>SUM(D35:D38)</f>
        <v>16872300</v>
      </c>
      <c r="E34" s="20">
        <f t="shared" si="18"/>
        <v>-0.07556071194</v>
      </c>
      <c r="F34" s="202">
        <f>SUM(F35:F38)</f>
        <v>15597417</v>
      </c>
      <c r="G34" s="20">
        <f t="shared" si="19"/>
        <v>0.02979884426</v>
      </c>
      <c r="H34" s="202">
        <f>SUM(H35:H38)</f>
        <v>16062202</v>
      </c>
      <c r="J34" s="22" t="s">
        <v>652</v>
      </c>
      <c r="K34" s="50">
        <f>SUM(B82,D82,F82,H82)*K7</f>
        <v>175073000</v>
      </c>
    </row>
    <row r="35">
      <c r="A35" s="9" t="s">
        <v>653</v>
      </c>
      <c r="B35" s="27">
        <v>1.1332812E7</v>
      </c>
      <c r="C35" s="20">
        <f t="shared" si="17"/>
        <v>0.0393074552</v>
      </c>
      <c r="D35" s="27">
        <v>1.1778276E7</v>
      </c>
      <c r="E35" s="20">
        <f t="shared" si="18"/>
        <v>-0.1823350888</v>
      </c>
      <c r="F35" s="27">
        <v>9630683.0</v>
      </c>
      <c r="G35" s="20">
        <f t="shared" si="19"/>
        <v>0.03200541436</v>
      </c>
      <c r="H35" s="27">
        <v>9938917.0</v>
      </c>
      <c r="J35" s="187" t="s">
        <v>654</v>
      </c>
      <c r="K35" s="266">
        <f>SUM(C82,E82,G82)/3</f>
        <v>0.115740897</v>
      </c>
    </row>
    <row r="36">
      <c r="A36" s="9" t="s">
        <v>655</v>
      </c>
      <c r="B36" s="27">
        <v>1252004.0</v>
      </c>
      <c r="C36" s="20">
        <f t="shared" si="17"/>
        <v>-0.1261050284</v>
      </c>
      <c r="D36" s="27">
        <v>1094120.0</v>
      </c>
      <c r="E36" s="20">
        <f t="shared" si="18"/>
        <v>0.7747715059</v>
      </c>
      <c r="F36" s="27">
        <v>1941813.0</v>
      </c>
      <c r="G36" s="20">
        <f t="shared" si="19"/>
        <v>-0.1564769625</v>
      </c>
      <c r="H36" s="27">
        <v>1637964.0</v>
      </c>
      <c r="J36" s="10" t="s">
        <v>486</v>
      </c>
      <c r="K36" s="61"/>
    </row>
    <row r="37">
      <c r="A37" s="9" t="s">
        <v>656</v>
      </c>
      <c r="B37" s="27">
        <v>3919985.0</v>
      </c>
      <c r="C37" s="20">
        <f t="shared" si="17"/>
        <v>0.02031972061</v>
      </c>
      <c r="D37" s="27">
        <v>3999638.0</v>
      </c>
      <c r="E37" s="20">
        <f t="shared" si="18"/>
        <v>-0.1931217275</v>
      </c>
      <c r="F37" s="27">
        <v>3227221.0</v>
      </c>
      <c r="G37" s="20">
        <f t="shared" si="19"/>
        <v>0.1476307324</v>
      </c>
      <c r="H37" s="27">
        <v>3703658.0</v>
      </c>
      <c r="J37" s="24" t="s">
        <v>657</v>
      </c>
      <c r="K37" s="86"/>
    </row>
    <row r="38">
      <c r="A38" s="9" t="s">
        <v>658</v>
      </c>
      <c r="B38" s="27">
        <v>158615.0</v>
      </c>
      <c r="C38" s="20">
        <f t="shared" si="17"/>
        <v>-0.9983229833</v>
      </c>
      <c r="D38" s="27">
        <v>266.0</v>
      </c>
      <c r="E38" s="20">
        <f t="shared" si="18"/>
        <v>2997.87218</v>
      </c>
      <c r="F38" s="27">
        <v>797700.0</v>
      </c>
      <c r="G38" s="20">
        <f t="shared" si="19"/>
        <v>-0.02010404914</v>
      </c>
      <c r="H38" s="27">
        <v>781663.0</v>
      </c>
      <c r="J38" s="9" t="s">
        <v>659</v>
      </c>
      <c r="K38" s="20">
        <f>SUM(K21/K24)</f>
        <v>0.601836727</v>
      </c>
    </row>
    <row r="39">
      <c r="B39" s="23"/>
      <c r="C39" s="20"/>
      <c r="D39" s="23"/>
      <c r="E39" s="20"/>
      <c r="F39" s="23"/>
      <c r="G39" s="20"/>
      <c r="H39" s="23"/>
      <c r="J39" s="24" t="s">
        <v>660</v>
      </c>
      <c r="K39" s="86"/>
    </row>
    <row r="40">
      <c r="A40" s="131" t="s">
        <v>661</v>
      </c>
      <c r="B40" s="27">
        <v>384927.0</v>
      </c>
      <c r="C40" s="20">
        <f>IFERROR(SUM((D40/B40)-1),0)</f>
        <v>0.03384797637</v>
      </c>
      <c r="D40" s="27">
        <v>397956.0</v>
      </c>
      <c r="E40" s="20">
        <f>IFERROR(SUM((F40/D40)-1),0)</f>
        <v>-0.3361703304</v>
      </c>
      <c r="F40" s="27">
        <v>264175.0</v>
      </c>
      <c r="G40" s="20">
        <f>IFERROR(SUM((H40/F40)-1),0)</f>
        <v>0.3038743257</v>
      </c>
      <c r="H40" s="27">
        <v>344451.0</v>
      </c>
      <c r="J40" s="9" t="s">
        <v>662</v>
      </c>
      <c r="K40" s="29">
        <f>SUM(B129,D129,F129,H129)/4*K7</f>
        <v>2448250</v>
      </c>
    </row>
    <row r="41">
      <c r="B41" s="27"/>
      <c r="C41" s="20"/>
      <c r="D41" s="27"/>
      <c r="E41" s="20"/>
      <c r="F41" s="27"/>
      <c r="G41" s="20"/>
      <c r="H41" s="27"/>
      <c r="J41" s="10" t="s">
        <v>235</v>
      </c>
      <c r="K41" s="17"/>
    </row>
    <row r="42">
      <c r="A42" s="131" t="s">
        <v>353</v>
      </c>
      <c r="B42" s="202">
        <f>SUM(B43:B46)</f>
        <v>93216</v>
      </c>
      <c r="C42" s="20">
        <f t="shared" ref="C42:C45" si="20">IFERROR(SUM((D42/B42)-1),0)</f>
        <v>-0.02351527635</v>
      </c>
      <c r="D42" s="202">
        <f>SUM(D43:D46)</f>
        <v>91024</v>
      </c>
      <c r="E42" s="20">
        <f t="shared" ref="E42:E45" si="21">IFERROR(SUM((F42/D42)-1),0)</f>
        <v>0.1516852698</v>
      </c>
      <c r="F42" s="202">
        <f>SUM(F43:F46)</f>
        <v>104831</v>
      </c>
      <c r="G42" s="20">
        <f t="shared" ref="G42:G45" si="22">IFERROR(SUM((H42/F42)-1),0)</f>
        <v>-0.2947505986</v>
      </c>
      <c r="H42" s="202">
        <f>SUM(H43:H46)</f>
        <v>73932</v>
      </c>
      <c r="J42" s="131" t="s">
        <v>322</v>
      </c>
      <c r="K42" s="219"/>
      <c r="L42" s="20"/>
    </row>
    <row r="43">
      <c r="A43" s="9" t="s">
        <v>663</v>
      </c>
      <c r="B43" s="27">
        <v>3364.0</v>
      </c>
      <c r="C43" s="20">
        <f t="shared" si="20"/>
        <v>0.1209869203</v>
      </c>
      <c r="D43" s="27">
        <v>3771.0</v>
      </c>
      <c r="E43" s="20">
        <f t="shared" si="21"/>
        <v>-0.2869265447</v>
      </c>
      <c r="F43" s="27">
        <v>2689.0</v>
      </c>
      <c r="G43" s="20">
        <f t="shared" si="22"/>
        <v>3.181108219</v>
      </c>
      <c r="H43" s="27">
        <v>11243.0</v>
      </c>
      <c r="K43" s="9" t="s">
        <v>12</v>
      </c>
      <c r="L43" s="9" t="s">
        <v>301</v>
      </c>
      <c r="M43" s="9" t="s">
        <v>14</v>
      </c>
      <c r="N43" s="9" t="s">
        <v>301</v>
      </c>
      <c r="O43" s="9" t="s">
        <v>16</v>
      </c>
      <c r="P43" s="9" t="s">
        <v>301</v>
      </c>
      <c r="Q43" s="9" t="s">
        <v>18</v>
      </c>
    </row>
    <row r="44">
      <c r="A44" s="9" t="s">
        <v>664</v>
      </c>
      <c r="B44" s="27">
        <v>73711.0</v>
      </c>
      <c r="C44" s="20">
        <f t="shared" si="20"/>
        <v>-0.05746767782</v>
      </c>
      <c r="D44" s="27">
        <v>69475.0</v>
      </c>
      <c r="E44" s="20">
        <f t="shared" si="21"/>
        <v>0.2100035984</v>
      </c>
      <c r="F44" s="27">
        <v>84065.0</v>
      </c>
      <c r="G44" s="20">
        <f t="shared" si="22"/>
        <v>-0.4921667757</v>
      </c>
      <c r="H44" s="27">
        <v>42691.0</v>
      </c>
      <c r="J44" s="9" t="s">
        <v>297</v>
      </c>
      <c r="K44" s="23">
        <f>IFERROR(B31/B58,0)</f>
        <v>22.90467398</v>
      </c>
      <c r="L44" s="20">
        <f t="shared" ref="L44:L51" si="23">IFERROR(SUM((M44/K44)-1),0)</f>
        <v>-0.004628254959</v>
      </c>
      <c r="M44" s="23">
        <f>IFERROR(D31/D58,0)</f>
        <v>22.79866531</v>
      </c>
      <c r="N44" s="20">
        <f t="shared" ref="N44:N51" si="24">IFERROR(SUM((O44/M44)-1),0)</f>
        <v>-0.08146096438</v>
      </c>
      <c r="O44" s="23">
        <f>IFERROR(F31/F58,0)</f>
        <v>20.94146405</v>
      </c>
      <c r="P44" s="20">
        <f t="shared" ref="P44:P51" si="25">IFERROR(SUM((Q44/O44)-1),0)</f>
        <v>0.06578975337</v>
      </c>
      <c r="Q44" s="23">
        <f>IFERROR(H31/H58,0)</f>
        <v>22.3191978</v>
      </c>
    </row>
    <row r="45">
      <c r="A45" s="9" t="s">
        <v>665</v>
      </c>
      <c r="B45" s="27">
        <v>16141.0</v>
      </c>
      <c r="C45" s="20">
        <f t="shared" si="20"/>
        <v>0.1014187473</v>
      </c>
      <c r="D45" s="27">
        <v>17778.0</v>
      </c>
      <c r="E45" s="20">
        <f t="shared" si="21"/>
        <v>0.01681853977</v>
      </c>
      <c r="F45" s="27">
        <v>18077.0</v>
      </c>
      <c r="G45" s="20">
        <f t="shared" si="22"/>
        <v>0.1062676329</v>
      </c>
      <c r="H45" s="27">
        <v>19998.0</v>
      </c>
      <c r="J45" s="9" t="s">
        <v>326</v>
      </c>
      <c r="K45" s="20">
        <f>IFERROR(SUM(B35,B36)/B51,0)</f>
        <v>0.7241002915</v>
      </c>
      <c r="L45" s="20">
        <f t="shared" si="23"/>
        <v>0.007084733551</v>
      </c>
      <c r="M45" s="20">
        <f>IFERROR(SUM(D35,D36)/D51,0)</f>
        <v>0.7292303491</v>
      </c>
      <c r="N45" s="20">
        <f t="shared" si="24"/>
        <v>-0.01704851528</v>
      </c>
      <c r="O45" s="20">
        <f>IFERROR(SUM(F35,F36)/F51,0)</f>
        <v>0.7167980544</v>
      </c>
      <c r="P45" s="20">
        <f t="shared" si="25"/>
        <v>-0.03284323352</v>
      </c>
      <c r="Q45" s="20">
        <f>IFERROR(SUM(H35,H36)/H51,0)</f>
        <v>0.6932560885</v>
      </c>
    </row>
    <row r="46">
      <c r="B46" s="27"/>
      <c r="C46" s="20"/>
      <c r="D46" s="27"/>
      <c r="E46" s="20"/>
      <c r="F46" s="27"/>
      <c r="G46" s="20"/>
      <c r="H46" s="27"/>
      <c r="J46" s="9" t="s">
        <v>329</v>
      </c>
      <c r="K46" s="20">
        <f>IFERROR(SUM(B35,B37,B38)/B51,0)</f>
        <v>0.8867358825</v>
      </c>
      <c r="L46" s="20">
        <f t="shared" si="23"/>
        <v>0.008017255365</v>
      </c>
      <c r="M46" s="20">
        <f>IFERROR(SUM(D35,D37,D38)/D51,0)</f>
        <v>0.8938450705</v>
      </c>
      <c r="N46" s="20">
        <f t="shared" si="24"/>
        <v>-0.05372265374</v>
      </c>
      <c r="O46" s="20">
        <f>IFERROR(SUM(F35,F37,F38)/F51,0)</f>
        <v>0.8458253413</v>
      </c>
      <c r="P46" s="20">
        <f t="shared" si="25"/>
        <v>0.02120823967</v>
      </c>
      <c r="Q46" s="20">
        <f>IFERROR(SUM(H35,H37,H38)/H51,0)</f>
        <v>0.8637638079</v>
      </c>
    </row>
    <row r="47">
      <c r="A47" s="131" t="s">
        <v>516</v>
      </c>
      <c r="B47" s="132">
        <f>SUM(B48:B49)</f>
        <v>237108</v>
      </c>
      <c r="C47" s="20">
        <f t="shared" ref="C47:C49" si="26">IFERROR(SUM((D47/B47)-1),0)</f>
        <v>0.08712907198</v>
      </c>
      <c r="D47" s="132">
        <f>SUM(D48:D49)</f>
        <v>257767</v>
      </c>
      <c r="E47" s="20">
        <f t="shared" ref="E47:E49" si="27">IFERROR(SUM((F47/D47)-1),0)</f>
        <v>-0.3083443575</v>
      </c>
      <c r="F47" s="132">
        <f>SUM(F48:F49)</f>
        <v>178286</v>
      </c>
      <c r="G47" s="20">
        <f t="shared" ref="G47:G49" si="28">IFERROR(SUM((H47/F47)-1),0)</f>
        <v>0.04033967894</v>
      </c>
      <c r="H47" s="132">
        <f>SUM(H48:H49)</f>
        <v>185478</v>
      </c>
      <c r="J47" s="9" t="s">
        <v>335</v>
      </c>
      <c r="K47" s="20">
        <f>IFERROR(SUM(B4,B8,B12)/B31,0)</f>
        <v>0.8244645875</v>
      </c>
      <c r="L47" s="20">
        <f t="shared" si="23"/>
        <v>-0.01402750598</v>
      </c>
      <c r="M47" s="20">
        <f>IFERROR(SUM(D4,D8,D12)/D31,0)</f>
        <v>0.8128994055</v>
      </c>
      <c r="N47" s="20">
        <f t="shared" si="24"/>
        <v>-0.07011632058</v>
      </c>
      <c r="O47" s="20">
        <f>IFERROR(SUM(F4,F8,F12)/F31,0)</f>
        <v>0.7559018902</v>
      </c>
      <c r="P47" s="20">
        <f t="shared" si="25"/>
        <v>0.0290773399</v>
      </c>
      <c r="Q47" s="20">
        <f>IFERROR(SUM(H4,H8,H12)/H31,0)</f>
        <v>0.7778815064</v>
      </c>
    </row>
    <row r="48">
      <c r="A48" s="9" t="s">
        <v>680</v>
      </c>
      <c r="B48" s="27">
        <v>6484.0</v>
      </c>
      <c r="C48" s="20">
        <f t="shared" si="26"/>
        <v>-0.4253547193</v>
      </c>
      <c r="D48" s="27">
        <v>3726.0</v>
      </c>
      <c r="E48" s="20">
        <f t="shared" si="27"/>
        <v>1.156736447</v>
      </c>
      <c r="F48" s="27">
        <v>8036.0</v>
      </c>
      <c r="G48" s="20">
        <f t="shared" si="28"/>
        <v>0.1674962668</v>
      </c>
      <c r="H48" s="27">
        <v>9382.0</v>
      </c>
      <c r="J48" s="9" t="s">
        <v>341</v>
      </c>
      <c r="K48" s="20">
        <f>IFERROR(B58/B31,0)</f>
        <v>0.04365921125</v>
      </c>
      <c r="L48" s="20">
        <f t="shared" si="23"/>
        <v>0.004649775305</v>
      </c>
      <c r="M48" s="20">
        <f>IFERROR(D58/D31,0)</f>
        <v>0.04386221677</v>
      </c>
      <c r="N48" s="20">
        <f t="shared" si="24"/>
        <v>0.08868535927</v>
      </c>
      <c r="O48" s="20">
        <f>IFERROR(F58/F31,0)</f>
        <v>0.04775215323</v>
      </c>
      <c r="P48" s="20">
        <f t="shared" si="25"/>
        <v>-0.06172864128</v>
      </c>
      <c r="Q48" s="20">
        <f>IFERROR(H58/H31,0)</f>
        <v>0.04480447769</v>
      </c>
    </row>
    <row r="49">
      <c r="A49" s="9" t="s">
        <v>685</v>
      </c>
      <c r="B49" s="27">
        <v>230624.0</v>
      </c>
      <c r="C49" s="20">
        <f t="shared" si="26"/>
        <v>0.1015375676</v>
      </c>
      <c r="D49" s="27">
        <v>254041.0</v>
      </c>
      <c r="E49" s="20">
        <f t="shared" si="27"/>
        <v>-0.3298325861</v>
      </c>
      <c r="F49" s="27">
        <v>170250.0</v>
      </c>
      <c r="G49" s="20">
        <f t="shared" si="28"/>
        <v>0.03433773862</v>
      </c>
      <c r="H49" s="27">
        <v>176096.0</v>
      </c>
      <c r="J49" s="9" t="s">
        <v>690</v>
      </c>
      <c r="K49" s="20">
        <f>IFERROR(B7/B31,0)</f>
        <v>0.9793380644</v>
      </c>
      <c r="L49" s="20">
        <f t="shared" si="23"/>
        <v>-0.004504570234</v>
      </c>
      <c r="M49" s="20">
        <f>IFERROR(D7/D31,0)</f>
        <v>0.9749265673</v>
      </c>
      <c r="N49" s="20">
        <f t="shared" si="24"/>
        <v>-0.0156561706</v>
      </c>
      <c r="O49" s="20">
        <f>IFERROR(F7/F31,0)</f>
        <v>0.9596629507</v>
      </c>
      <c r="P49" s="20">
        <f t="shared" si="25"/>
        <v>0.0233383666</v>
      </c>
      <c r="Q49" s="20">
        <f>IFERROR(H7/H31,0)</f>
        <v>0.9820599164</v>
      </c>
    </row>
    <row r="50">
      <c r="B50" s="23"/>
      <c r="C50" s="20"/>
      <c r="D50" s="23"/>
      <c r="E50" s="20"/>
      <c r="F50" s="23"/>
      <c r="G50" s="20"/>
      <c r="H50" s="23"/>
      <c r="J50" s="9" t="s">
        <v>453</v>
      </c>
      <c r="K50" s="285">
        <f>IFERROR(B29/B31,0)</f>
        <v>0</v>
      </c>
      <c r="L50" s="20">
        <f t="shared" si="23"/>
        <v>0</v>
      </c>
      <c r="M50" s="285">
        <f>IFERROR(D29/D31,0)</f>
        <v>0.0000003249951847</v>
      </c>
      <c r="N50" s="20">
        <f t="shared" si="24"/>
        <v>-1</v>
      </c>
      <c r="O50" s="285">
        <f>IFERROR(F29/F31,0)</f>
        <v>0</v>
      </c>
      <c r="P50" s="20">
        <f t="shared" si="25"/>
        <v>0</v>
      </c>
      <c r="Q50" s="285">
        <f>IFERROR(H29/H31,0)</f>
        <v>0</v>
      </c>
    </row>
    <row r="51">
      <c r="A51" s="131" t="s">
        <v>60</v>
      </c>
      <c r="B51" s="202">
        <f>SUM(B33,B34,B40,B42,B47)</f>
        <v>17379935</v>
      </c>
      <c r="C51" s="20">
        <f>IFERROR(SUM((D51/B51)-1),0)</f>
        <v>0.01565569722</v>
      </c>
      <c r="D51" s="202">
        <f>SUM(D33,D34,D40,D42,D47)</f>
        <v>17652030</v>
      </c>
      <c r="E51" s="20">
        <f>IFERROR(SUM((F51/D51)-1),0)</f>
        <v>-0.08539080208</v>
      </c>
      <c r="F51" s="202">
        <f>SUM(F33,F34,F40,F42,F47)</f>
        <v>16144709</v>
      </c>
      <c r="G51" s="20">
        <f>IFERROR(SUM((H51/F51)-1),0)</f>
        <v>0.03435032493</v>
      </c>
      <c r="H51" s="202">
        <f>SUM(H33,H34,H40,H42,H47)</f>
        <v>16699285</v>
      </c>
      <c r="J51" s="9" t="s">
        <v>551</v>
      </c>
      <c r="K51" s="23">
        <f>IFERROR(SUM(B4,B8,B12)/B34,0)</f>
        <v>0.8991733748</v>
      </c>
      <c r="L51" s="20">
        <f t="shared" si="23"/>
        <v>-0.01077882843</v>
      </c>
      <c r="M51" s="23">
        <f>IFERROR(SUM(D4,D8,D12)/D34,0)</f>
        <v>0.8894813392</v>
      </c>
      <c r="N51" s="20">
        <f t="shared" si="24"/>
        <v>-0.07624643175</v>
      </c>
      <c r="O51" s="23">
        <f>IFERROR(SUM(F4,F8,F12)/F34,0)</f>
        <v>0.821661561</v>
      </c>
      <c r="P51" s="20">
        <f t="shared" si="25"/>
        <v>0.03043592557</v>
      </c>
      <c r="Q51" s="23">
        <f>IFERROR(SUM(H4,H8,H12)/H34,0)</f>
        <v>0.8466695911</v>
      </c>
    </row>
    <row r="52">
      <c r="A52" s="56"/>
      <c r="B52" s="57"/>
      <c r="C52" s="58"/>
      <c r="D52" s="57"/>
      <c r="E52" s="58"/>
      <c r="F52" s="57"/>
      <c r="G52" s="58"/>
      <c r="H52" s="57"/>
      <c r="J52" s="9" t="s">
        <v>343</v>
      </c>
      <c r="K52" s="23"/>
      <c r="L52" s="20"/>
      <c r="M52" s="23"/>
      <c r="N52" s="20"/>
      <c r="O52" s="23"/>
      <c r="P52" s="20"/>
      <c r="Q52" s="23"/>
    </row>
    <row r="53">
      <c r="A53" s="9" t="s">
        <v>365</v>
      </c>
      <c r="B53" s="27">
        <v>674940.0</v>
      </c>
      <c r="C53" s="20">
        <f t="shared" ref="C53:C58" si="29">IFERROR(SUM((D53/B53)-1),0)</f>
        <v>0</v>
      </c>
      <c r="D53" s="27">
        <v>674940.0</v>
      </c>
      <c r="E53" s="20">
        <f t="shared" ref="E53:E58" si="30">IFERROR(SUM((F53/D53)-1),0)</f>
        <v>0</v>
      </c>
      <c r="F53" s="27">
        <v>674940.0</v>
      </c>
      <c r="G53" s="20">
        <f t="shared" ref="G53:G58" si="31">IFERROR(SUM((H53/F53)-1),0)</f>
        <v>0</v>
      </c>
      <c r="H53" s="27">
        <v>674940.0</v>
      </c>
    </row>
    <row r="54">
      <c r="A54" s="9" t="s">
        <v>366</v>
      </c>
      <c r="B54" s="27">
        <v>-30193.0</v>
      </c>
      <c r="C54" s="20">
        <f t="shared" si="29"/>
        <v>0</v>
      </c>
      <c r="D54" s="27">
        <v>-30193.0</v>
      </c>
      <c r="E54" s="20">
        <f t="shared" si="30"/>
        <v>0</v>
      </c>
      <c r="F54" s="27">
        <v>-30193.0</v>
      </c>
      <c r="G54" s="20">
        <f t="shared" si="31"/>
        <v>0</v>
      </c>
      <c r="H54" s="27">
        <v>-30193.0</v>
      </c>
      <c r="J54" s="81" t="s">
        <v>345</v>
      </c>
      <c r="L54" s="20"/>
      <c r="N54" s="20"/>
      <c r="P54" s="20"/>
    </row>
    <row r="55">
      <c r="A55" s="9" t="s">
        <v>367</v>
      </c>
      <c r="B55" s="27">
        <v>130126.0</v>
      </c>
      <c r="C55" s="20">
        <f t="shared" si="29"/>
        <v>0</v>
      </c>
      <c r="D55" s="27">
        <v>130126.0</v>
      </c>
      <c r="E55" s="20">
        <f t="shared" si="30"/>
        <v>-0.3771498394</v>
      </c>
      <c r="F55" s="27">
        <v>81049.0</v>
      </c>
      <c r="G55" s="20">
        <f t="shared" si="31"/>
        <v>0.8387025133</v>
      </c>
      <c r="H55" s="27">
        <v>149025.0</v>
      </c>
      <c r="J55" s="131" t="s">
        <v>347</v>
      </c>
    </row>
    <row r="56">
      <c r="A56" s="9" t="s">
        <v>370</v>
      </c>
      <c r="B56" s="27">
        <v>-19152.0</v>
      </c>
      <c r="C56" s="20">
        <f t="shared" si="29"/>
        <v>-0.007988721805</v>
      </c>
      <c r="D56" s="27">
        <v>-18999.0</v>
      </c>
      <c r="E56" s="20">
        <f t="shared" si="30"/>
        <v>-0.5298699932</v>
      </c>
      <c r="F56" s="27">
        <v>-8932.0</v>
      </c>
      <c r="G56" s="20">
        <f t="shared" si="31"/>
        <v>0.1726377071</v>
      </c>
      <c r="H56" s="27">
        <v>-10474.0</v>
      </c>
      <c r="J56" s="9" t="s">
        <v>246</v>
      </c>
      <c r="K56" s="20">
        <f>IFERROR(ABS(B71)/B69,0)</f>
        <v>0.6754174486</v>
      </c>
      <c r="L56" s="20">
        <f t="shared" ref="L56:L58" si="32">IFERROR(SUM((M56/K56)-1),0)</f>
        <v>0.005256166887</v>
      </c>
      <c r="M56" s="20">
        <f>IFERROR(ABS(D71)/D69,0)</f>
        <v>0.6789675555</v>
      </c>
      <c r="N56" s="20">
        <f t="shared" ref="N56:N58" si="33">IFERROR(SUM((O56/M56)-1),0)</f>
        <v>-0.5836172918</v>
      </c>
      <c r="O56" s="20">
        <f>IFERROR(ABS(F71)/F69,0)</f>
        <v>0.2827103495</v>
      </c>
      <c r="P56" s="20">
        <f t="shared" ref="P56:P58" si="34">IFERROR(SUM((Q56/O56)-1),0)</f>
        <v>1.185457037</v>
      </c>
      <c r="Q56" s="20">
        <f>IFERROR(ABS(H71)/H69,0)</f>
        <v>0.6178513227</v>
      </c>
    </row>
    <row r="57">
      <c r="A57" s="9" t="s">
        <v>373</v>
      </c>
      <c r="B57" s="27">
        <v>37714.0</v>
      </c>
      <c r="C57" s="20">
        <f t="shared" si="29"/>
        <v>0.4292305245</v>
      </c>
      <c r="D57" s="27">
        <v>53902.0</v>
      </c>
      <c r="E57" s="20">
        <f t="shared" si="30"/>
        <v>0.7205484027</v>
      </c>
      <c r="F57" s="27">
        <v>92741.0</v>
      </c>
      <c r="G57" s="20">
        <f t="shared" si="31"/>
        <v>-1</v>
      </c>
      <c r="H57" s="27">
        <v>0.0</v>
      </c>
      <c r="J57" s="9" t="s">
        <v>356</v>
      </c>
      <c r="K57" s="20">
        <f>IFERROR(H71/B71-1,0)
</f>
        <v>-0.1089059977</v>
      </c>
      <c r="L57" s="20">
        <f t="shared" si="32"/>
        <v>-0.7258975393</v>
      </c>
      <c r="M57" s="20">
        <f>IFERROR(D71/B71-1,0)
</f>
        <v>-0.02985140196</v>
      </c>
      <c r="N57" s="20">
        <f t="shared" si="33"/>
        <v>18.00856552</v>
      </c>
      <c r="O57" s="20">
        <f>IFERROR(F71/D71-1,0)
</f>
        <v>-0.5674323299</v>
      </c>
      <c r="P57" s="20">
        <f t="shared" si="34"/>
        <v>-2.979790289</v>
      </c>
      <c r="Q57" s="20">
        <f>IFERROR(H71/F71-1,0)
</f>
        <v>1.123397016</v>
      </c>
    </row>
    <row r="58">
      <c r="A58" s="131" t="s">
        <v>92</v>
      </c>
      <c r="B58" s="202">
        <f>SUM(B53:B57)</f>
        <v>793435</v>
      </c>
      <c r="C58" s="20">
        <f t="shared" si="29"/>
        <v>0.02059525985</v>
      </c>
      <c r="D58" s="202">
        <f>SUM(D53:D57)</f>
        <v>809776</v>
      </c>
      <c r="E58" s="20">
        <f t="shared" si="30"/>
        <v>-0.0002111695086</v>
      </c>
      <c r="F58" s="202">
        <f>SUM(F53:F57)</f>
        <v>809605</v>
      </c>
      <c r="G58" s="20">
        <f t="shared" si="31"/>
        <v>-0.03249362343</v>
      </c>
      <c r="H58" s="202">
        <f>SUM(H53:H57)</f>
        <v>783298</v>
      </c>
      <c r="J58" s="9" t="s">
        <v>695</v>
      </c>
      <c r="K58" s="23">
        <f>IFERROR(B69/ABS(B71),0)</f>
        <v>1.480565837</v>
      </c>
      <c r="L58" s="20">
        <f t="shared" si="32"/>
        <v>-0.005228684051</v>
      </c>
      <c r="M58" s="23">
        <f>IFERROR(D69/ABS(D71),0)</f>
        <v>1.472824426</v>
      </c>
      <c r="N58" s="20">
        <f t="shared" si="33"/>
        <v>1.401636716</v>
      </c>
      <c r="O58" s="23">
        <f>IFERROR(F69/ABS(F71),0)</f>
        <v>3.537189217</v>
      </c>
      <c r="P58" s="20">
        <f t="shared" si="34"/>
        <v>-0.5424298061</v>
      </c>
      <c r="Q58" s="23">
        <f>IFERROR(H69/ABS(H71),0)</f>
        <v>1.618512356</v>
      </c>
    </row>
    <row r="59">
      <c r="A59" s="80"/>
      <c r="B59" s="80"/>
      <c r="C59" s="80"/>
      <c r="D59" s="80"/>
      <c r="E59" s="80"/>
      <c r="F59" s="80"/>
      <c r="G59" s="80"/>
      <c r="H59" s="80"/>
      <c r="K59" s="20"/>
      <c r="L59" s="20"/>
      <c r="M59" s="20"/>
      <c r="N59" s="20"/>
      <c r="O59" s="20"/>
      <c r="P59" s="20"/>
      <c r="Q59" s="20"/>
    </row>
    <row r="60">
      <c r="A60" s="81" t="s">
        <v>345</v>
      </c>
      <c r="B60" s="22" t="s">
        <v>12</v>
      </c>
      <c r="C60" s="22" t="s">
        <v>13</v>
      </c>
      <c r="D60" s="22" t="s">
        <v>14</v>
      </c>
      <c r="E60" s="22" t="s">
        <v>15</v>
      </c>
      <c r="F60" s="22" t="s">
        <v>16</v>
      </c>
      <c r="G60" s="22" t="s">
        <v>17</v>
      </c>
      <c r="H60" s="22" t="s">
        <v>18</v>
      </c>
      <c r="J60" s="131" t="s">
        <v>696</v>
      </c>
    </row>
    <row r="61">
      <c r="A61" s="131" t="s">
        <v>697</v>
      </c>
      <c r="B61" s="234">
        <f>SUM(B62:B63)</f>
        <v>46611</v>
      </c>
      <c r="C61" s="19">
        <f t="shared" ref="C61:C63" si="35">IFERROR(SUM((D61/B61)-1),0)</f>
        <v>-0.05200489155</v>
      </c>
      <c r="D61" s="234">
        <f>SUM(D62:D63)</f>
        <v>44187</v>
      </c>
      <c r="E61" s="19">
        <f t="shared" ref="E61:E63" si="36">IFERROR(SUM((F61/D61)-1),0)</f>
        <v>0.7750469595</v>
      </c>
      <c r="F61" s="234">
        <f>SUM(F62:F63)</f>
        <v>78434</v>
      </c>
      <c r="G61" s="19">
        <f t="shared" ref="G61:G63" si="37">IFERROR(SUM((H61/F61)-1),0)</f>
        <v>-0.4601320856</v>
      </c>
      <c r="H61" s="234">
        <f>SUM(H62:H63)</f>
        <v>42344</v>
      </c>
      <c r="J61" s="9" t="s">
        <v>698</v>
      </c>
      <c r="K61" s="20">
        <f>IFERROR(ABS(B81/B79),0)</f>
        <v>0.1380839199</v>
      </c>
      <c r="L61" s="20">
        <f t="shared" ref="L61:L62" si="38">IFERROR(SUM((M61/K61)-1),0)</f>
        <v>0.1580983745</v>
      </c>
      <c r="M61" s="20">
        <f>IFERROR(ABS(D81/D79),0)</f>
        <v>0.1599147632</v>
      </c>
      <c r="N61" s="20">
        <f t="shared" ref="N61:N62" si="39">IFERROR(SUM((O61/M61)-1),0)</f>
        <v>1.529043128</v>
      </c>
      <c r="O61" s="20">
        <f>IFERROR(ABS(F81/F79),0)</f>
        <v>0.4044313329</v>
      </c>
      <c r="P61" s="20">
        <f t="shared" ref="P61:P62" si="40">IFERROR(SUM((Q61/O61)-1),0)</f>
        <v>-0.7216635014</v>
      </c>
      <c r="Q61" s="20">
        <f>IFERROR(ABS(H81/H79),0)</f>
        <v>0.1125680011</v>
      </c>
    </row>
    <row r="62">
      <c r="A62" s="9" t="s">
        <v>699</v>
      </c>
      <c r="B62" s="232">
        <f t="shared" ref="B62:B63" si="41">B86</f>
        <v>2768529</v>
      </c>
      <c r="C62" s="19">
        <f t="shared" si="35"/>
        <v>-0.2430640965</v>
      </c>
      <c r="D62" s="232">
        <f t="shared" ref="D62:D63" si="42">SUM(D86-B86)</f>
        <v>2095599</v>
      </c>
      <c r="E62" s="19">
        <f t="shared" si="36"/>
        <v>1.387871439</v>
      </c>
      <c r="F62" s="232">
        <f t="shared" ref="F62:F63" si="43">SUM(F86-D86)</f>
        <v>5004021</v>
      </c>
      <c r="G62" s="19">
        <f t="shared" si="37"/>
        <v>-0.552401159</v>
      </c>
      <c r="H62" s="232">
        <f t="shared" ref="H62:H63" si="44">SUM(H86-F86)</f>
        <v>2239794</v>
      </c>
      <c r="J62" s="9" t="s">
        <v>700</v>
      </c>
      <c r="K62" s="20">
        <f>IFERROR((B82-B136)/B82,0)</f>
        <v>1</v>
      </c>
      <c r="L62" s="20">
        <f t="shared" si="38"/>
        <v>-1</v>
      </c>
      <c r="M62" s="20">
        <f>IFERROR((D82-#REF!)/D82,0)</f>
        <v>0</v>
      </c>
      <c r="N62" s="20">
        <f t="shared" si="39"/>
        <v>0</v>
      </c>
      <c r="O62" s="20">
        <f>IFERROR((F82-F146)/F82,0)</f>
        <v>0.9998960823</v>
      </c>
      <c r="P62" s="20">
        <f t="shared" si="40"/>
        <v>0.0001039284972</v>
      </c>
      <c r="Q62" s="20">
        <f>IFERROR((H82-H146)/H82,0)</f>
        <v>1</v>
      </c>
    </row>
    <row r="63">
      <c r="A63" s="9" t="s">
        <v>701</v>
      </c>
      <c r="B63" s="232">
        <f t="shared" si="41"/>
        <v>-2721918</v>
      </c>
      <c r="C63" s="19">
        <f t="shared" si="35"/>
        <v>-0.2463358558</v>
      </c>
      <c r="D63" s="232">
        <f t="shared" si="42"/>
        <v>-2051412</v>
      </c>
      <c r="E63" s="19">
        <f t="shared" si="36"/>
        <v>1.401071555</v>
      </c>
      <c r="F63" s="232">
        <f t="shared" si="43"/>
        <v>-4925587</v>
      </c>
      <c r="G63" s="19">
        <f t="shared" si="37"/>
        <v>-0.5538704321</v>
      </c>
      <c r="H63" s="232">
        <f t="shared" si="44"/>
        <v>-2197450</v>
      </c>
    </row>
    <row r="64">
      <c r="B64" s="232"/>
      <c r="C64" s="19"/>
      <c r="D64" s="232"/>
      <c r="E64" s="19"/>
      <c r="F64" s="232"/>
      <c r="G64" s="19"/>
      <c r="H64" s="232"/>
      <c r="J64" s="10" t="s">
        <v>360</v>
      </c>
    </row>
    <row r="65">
      <c r="B65" s="232" t="str">
        <f>B89</f>
        <v/>
      </c>
      <c r="C65" s="118"/>
      <c r="D65" s="232"/>
      <c r="E65" s="118"/>
      <c r="F65" s="232"/>
      <c r="G65" s="118"/>
      <c r="H65" s="232"/>
      <c r="J65" s="9" t="s">
        <v>303</v>
      </c>
      <c r="K65" s="124">
        <v>0.224</v>
      </c>
      <c r="L65" s="20">
        <f>IFERROR(SUM((M65/K65)-1),0)</f>
        <v>-0.03571428571</v>
      </c>
      <c r="M65" s="124">
        <v>0.216</v>
      </c>
      <c r="N65" s="20">
        <f>IFERROR(SUM((O65/M65)-1),0)</f>
        <v>-0.05555555556</v>
      </c>
      <c r="O65" s="124">
        <v>0.204</v>
      </c>
      <c r="P65" s="20">
        <f>IFERROR(SUM((Q65/O65)-1),0)</f>
        <v>0.1078431373</v>
      </c>
      <c r="Q65" s="124">
        <v>0.226</v>
      </c>
    </row>
    <row r="66">
      <c r="A66" s="131" t="s">
        <v>704</v>
      </c>
      <c r="B66" s="234">
        <f>SUM(B67)</f>
        <v>88196</v>
      </c>
      <c r="C66" s="19">
        <f t="shared" ref="C66:C67" si="45">IFERROR(SUM((D66/B66)-1),0)</f>
        <v>-0.02589686607</v>
      </c>
      <c r="D66" s="234">
        <f>SUM(D67)</f>
        <v>85912</v>
      </c>
      <c r="E66" s="19">
        <f t="shared" ref="E66:E67" si="46">IFERROR(SUM((F66/D66)-1),0)</f>
        <v>-0.3397662725</v>
      </c>
      <c r="F66" s="234">
        <f>SUM(F67)</f>
        <v>56722</v>
      </c>
      <c r="G66" s="19">
        <f t="shared" ref="G66:G67" si="47">IFERROR(SUM((H66/F66)-1),0)</f>
        <v>0.5685977222</v>
      </c>
      <c r="H66" s="234">
        <f>SUM(H67)</f>
        <v>88974</v>
      </c>
      <c r="J66" s="10" t="s">
        <v>705</v>
      </c>
      <c r="L66" s="20"/>
      <c r="N66" s="20"/>
      <c r="P66" s="20"/>
    </row>
    <row r="67">
      <c r="A67" s="9" t="s">
        <v>706</v>
      </c>
      <c r="B67" s="232">
        <f>B91</f>
        <v>88196</v>
      </c>
      <c r="C67" s="19">
        <f t="shared" si="45"/>
        <v>-0.02589686607</v>
      </c>
      <c r="D67" s="232">
        <f>SUM(D91-B91)</f>
        <v>85912</v>
      </c>
      <c r="E67" s="19">
        <f t="shared" si="46"/>
        <v>-0.3397662725</v>
      </c>
      <c r="F67" s="232">
        <f>SUM(F91-D91)</f>
        <v>56722</v>
      </c>
      <c r="G67" s="19">
        <f t="shared" si="47"/>
        <v>0.5685977222</v>
      </c>
      <c r="H67" s="232">
        <f>SUM(H91-F91)</f>
        <v>88974</v>
      </c>
      <c r="J67" s="9" t="s">
        <v>286</v>
      </c>
      <c r="K67" s="23">
        <f>B115-ABS(B120)</f>
        <v>-13229</v>
      </c>
      <c r="L67" s="20">
        <f>IFERROR(SUM((M67/K67)-1),0)</f>
        <v>14.42399274</v>
      </c>
      <c r="M67" s="23">
        <f>D115-ABS(D120)</f>
        <v>-204044</v>
      </c>
      <c r="N67" s="20">
        <f>IFERROR(SUM((O67/M67)-1),0)</f>
        <v>-0.5372909765</v>
      </c>
      <c r="O67" s="23">
        <f>F115-ABS(F120)</f>
        <v>-94413</v>
      </c>
      <c r="P67" s="20">
        <f>IFERROR(SUM((Q67/O67)-1),0)</f>
        <v>3.504008982</v>
      </c>
      <c r="Q67" s="23">
        <f>H115-ABS(H120)</f>
        <v>-425237</v>
      </c>
    </row>
    <row r="68">
      <c r="B68" s="232"/>
      <c r="C68" s="19"/>
      <c r="D68" s="232"/>
      <c r="E68" s="19"/>
      <c r="F68" s="232"/>
      <c r="G68" s="19"/>
      <c r="H68" s="232"/>
    </row>
    <row r="69">
      <c r="A69" s="131" t="s">
        <v>584</v>
      </c>
      <c r="B69" s="243">
        <f>SUM(B61,B66)</f>
        <v>134807</v>
      </c>
      <c r="C69" s="20">
        <f>IFERROR(SUM((D69/B69)-1),0)</f>
        <v>-0.03492400246</v>
      </c>
      <c r="D69" s="243">
        <f>SUM(D61,D66)</f>
        <v>130099</v>
      </c>
      <c r="E69" s="20">
        <f>IFERROR(SUM((F69/D69)-1),0)</f>
        <v>0.0388703987</v>
      </c>
      <c r="F69" s="243">
        <f>SUM(F61,F66)</f>
        <v>135156</v>
      </c>
      <c r="G69" s="20">
        <f>IFERROR(SUM((H69/F69)-1),0)</f>
        <v>-0.02839681553</v>
      </c>
      <c r="H69" s="243">
        <f>SUM(H61,H66)</f>
        <v>131318</v>
      </c>
    </row>
    <row r="70">
      <c r="B70" s="232"/>
      <c r="C70" s="19"/>
      <c r="D70" s="232"/>
      <c r="E70" s="19"/>
      <c r="F70" s="232"/>
      <c r="G70" s="19"/>
      <c r="H70" s="232"/>
    </row>
    <row r="71">
      <c r="A71" s="132" t="s">
        <v>707</v>
      </c>
      <c r="B71" s="243">
        <f>SUM(B72:B77)</f>
        <v>-91051</v>
      </c>
      <c r="C71" s="20">
        <f t="shared" ref="C71:C77" si="48">IFERROR(SUM((D71/B71)-1),0)</f>
        <v>-0.02985140196</v>
      </c>
      <c r="D71" s="243">
        <f>SUM(D72:D77)</f>
        <v>-88333</v>
      </c>
      <c r="E71" s="20">
        <f t="shared" ref="E71:E77" si="49">IFERROR(SUM((F71/D71)-1),0)</f>
        <v>-0.5674323299</v>
      </c>
      <c r="F71" s="243">
        <f>SUM(F72:F77)</f>
        <v>-38210</v>
      </c>
      <c r="G71" s="20">
        <f t="shared" ref="G71:G77" si="50">IFERROR(SUM((H71/F71)-1),0)</f>
        <v>1.123397016</v>
      </c>
      <c r="H71" s="243">
        <f>SUM(H72:H77)</f>
        <v>-81135</v>
      </c>
    </row>
    <row r="72">
      <c r="A72" s="9" t="s">
        <v>708</v>
      </c>
      <c r="B72" s="232">
        <f t="shared" ref="B72:B77" si="51">B96</f>
        <v>-40595</v>
      </c>
      <c r="C72" s="20">
        <f t="shared" si="48"/>
        <v>0.2314078088</v>
      </c>
      <c r="D72" s="232">
        <f t="shared" ref="D72:D77" si="52">SUM(D96-B96)</f>
        <v>-49989</v>
      </c>
      <c r="E72" s="20">
        <f t="shared" si="49"/>
        <v>-0.9101602353</v>
      </c>
      <c r="F72" s="232">
        <f t="shared" ref="F72:F77" si="53">SUM(F96-D96)</f>
        <v>-4491</v>
      </c>
      <c r="G72" s="20">
        <f t="shared" si="50"/>
        <v>6.003340013</v>
      </c>
      <c r="H72" s="232">
        <f t="shared" ref="H72:H77" si="54">SUM(H96-F96)</f>
        <v>-31452</v>
      </c>
    </row>
    <row r="73">
      <c r="A73" s="9" t="s">
        <v>709</v>
      </c>
      <c r="B73" s="232">
        <f t="shared" si="51"/>
        <v>-41110</v>
      </c>
      <c r="C73" s="20">
        <f t="shared" si="48"/>
        <v>-0.3189491608</v>
      </c>
      <c r="D73" s="232">
        <f t="shared" si="52"/>
        <v>-27998</v>
      </c>
      <c r="E73" s="20">
        <f t="shared" si="49"/>
        <v>-0.64476034</v>
      </c>
      <c r="F73" s="232">
        <f t="shared" si="53"/>
        <v>-9946</v>
      </c>
      <c r="G73" s="20">
        <f t="shared" si="50"/>
        <v>3.013673839</v>
      </c>
      <c r="H73" s="232">
        <f t="shared" si="54"/>
        <v>-39920</v>
      </c>
    </row>
    <row r="74">
      <c r="A74" s="9" t="s">
        <v>710</v>
      </c>
      <c r="B74" s="232">
        <f t="shared" si="51"/>
        <v>-8043</v>
      </c>
      <c r="C74" s="20">
        <f t="shared" si="48"/>
        <v>0.1767997016</v>
      </c>
      <c r="D74" s="232">
        <f t="shared" si="52"/>
        <v>-9465</v>
      </c>
      <c r="E74" s="20">
        <f t="shared" si="49"/>
        <v>0.510723719</v>
      </c>
      <c r="F74" s="232">
        <f t="shared" si="53"/>
        <v>-14299</v>
      </c>
      <c r="G74" s="20">
        <f t="shared" si="50"/>
        <v>-0.3284145744</v>
      </c>
      <c r="H74" s="232">
        <f t="shared" si="54"/>
        <v>-9603</v>
      </c>
    </row>
    <row r="75">
      <c r="A75" s="9" t="s">
        <v>711</v>
      </c>
      <c r="B75" s="232">
        <f t="shared" si="51"/>
        <v>-821</v>
      </c>
      <c r="C75" s="20">
        <f t="shared" si="48"/>
        <v>0.7088915956</v>
      </c>
      <c r="D75" s="232">
        <f t="shared" si="52"/>
        <v>-1403</v>
      </c>
      <c r="E75" s="20">
        <f t="shared" si="49"/>
        <v>6.183891661</v>
      </c>
      <c r="F75" s="232">
        <f t="shared" si="53"/>
        <v>-10079</v>
      </c>
      <c r="G75" s="20">
        <f t="shared" si="50"/>
        <v>-0.9185435063</v>
      </c>
      <c r="H75" s="232">
        <f t="shared" si="54"/>
        <v>-821</v>
      </c>
    </row>
    <row r="76">
      <c r="A76" s="9" t="s">
        <v>712</v>
      </c>
      <c r="B76" s="232">
        <f t="shared" si="51"/>
        <v>197</v>
      </c>
      <c r="C76" s="20">
        <f t="shared" si="48"/>
        <v>6.934010152</v>
      </c>
      <c r="D76" s="232">
        <f t="shared" si="52"/>
        <v>1563</v>
      </c>
      <c r="E76" s="20">
        <f t="shared" si="49"/>
        <v>-1.091490723</v>
      </c>
      <c r="F76" s="232">
        <f t="shared" si="53"/>
        <v>-143</v>
      </c>
      <c r="G76" s="20">
        <f t="shared" si="50"/>
        <v>-4.622377622</v>
      </c>
      <c r="H76" s="232">
        <f t="shared" si="54"/>
        <v>518</v>
      </c>
    </row>
    <row r="77">
      <c r="A77" s="9" t="s">
        <v>713</v>
      </c>
      <c r="B77" s="232">
        <f t="shared" si="51"/>
        <v>-679</v>
      </c>
      <c r="C77" s="20">
        <f t="shared" si="48"/>
        <v>0.5331369661</v>
      </c>
      <c r="D77" s="232">
        <f t="shared" si="52"/>
        <v>-1041</v>
      </c>
      <c r="E77" s="20">
        <f t="shared" si="49"/>
        <v>-1.718539866</v>
      </c>
      <c r="F77" s="232">
        <f t="shared" si="53"/>
        <v>748</v>
      </c>
      <c r="G77" s="20">
        <f t="shared" si="50"/>
        <v>-0.8088235294</v>
      </c>
      <c r="H77" s="232">
        <f t="shared" si="54"/>
        <v>143</v>
      </c>
    </row>
    <row r="78">
      <c r="B78" s="232"/>
      <c r="C78" s="19"/>
      <c r="D78" s="232"/>
      <c r="E78" s="19"/>
      <c r="F78" s="232"/>
      <c r="G78" s="19"/>
      <c r="H78" s="232"/>
    </row>
    <row r="79">
      <c r="A79" s="131" t="s">
        <v>581</v>
      </c>
      <c r="B79" s="243">
        <f>SUM(B69,B71)</f>
        <v>43756</v>
      </c>
      <c r="C79" s="20">
        <f>IFERROR(SUM((D79/B79)-1),0)</f>
        <v>-0.0454794771</v>
      </c>
      <c r="D79" s="243">
        <f>SUM(D69,D71)</f>
        <v>41766</v>
      </c>
      <c r="E79" s="20">
        <f>IFERROR(SUM((F79/D79)-1),0)</f>
        <v>1.32117033</v>
      </c>
      <c r="F79" s="243">
        <f>SUM(F69,F71)</f>
        <v>96946</v>
      </c>
      <c r="G79" s="20">
        <f>IFERROR(SUM((H79/F79)-1),0)</f>
        <v>-0.4823613145</v>
      </c>
      <c r="H79" s="243">
        <f>SUM(H69,H71)</f>
        <v>50183</v>
      </c>
    </row>
    <row r="80">
      <c r="B80" s="232"/>
      <c r="C80" s="118"/>
      <c r="D80" s="232"/>
      <c r="E80" s="118"/>
      <c r="F80" s="232"/>
      <c r="G80" s="118"/>
      <c r="H80" s="232"/>
    </row>
    <row r="81">
      <c r="A81" s="9" t="s">
        <v>714</v>
      </c>
      <c r="B81" s="232">
        <f>B105</f>
        <v>-6042</v>
      </c>
      <c r="C81" s="19">
        <f t="shared" ref="C81:C82" si="55">IFERROR(SUM((D81/B81)-1),0)</f>
        <v>0.105428666</v>
      </c>
      <c r="D81" s="255">
        <f>SUM(D105-B105)</f>
        <v>-6679</v>
      </c>
      <c r="E81" s="19">
        <f t="shared" ref="E81:E82" si="56">IFERROR(SUM((F81/D81)-1),0)</f>
        <v>4.870339871</v>
      </c>
      <c r="F81" s="255">
        <f>SUM(F105-D105)</f>
        <v>-39208</v>
      </c>
      <c r="G81" s="19">
        <f t="shared" ref="G81:G82" si="57">IFERROR(SUM((H81/F81)-1),0)</f>
        <v>-0.8559222608</v>
      </c>
      <c r="H81" s="255">
        <f>SUM(H105-F105)</f>
        <v>-5649</v>
      </c>
    </row>
    <row r="82">
      <c r="A82" s="131" t="s">
        <v>163</v>
      </c>
      <c r="B82" s="243">
        <f>SUM(B79,B81)</f>
        <v>37714</v>
      </c>
      <c r="C82" s="20">
        <f t="shared" si="55"/>
        <v>-0.06965583073</v>
      </c>
      <c r="D82" s="243">
        <f>SUM(D79,D81)</f>
        <v>35087</v>
      </c>
      <c r="E82" s="20">
        <f t="shared" si="56"/>
        <v>0.6455667341</v>
      </c>
      <c r="F82" s="243">
        <f>SUM(F79,F81)</f>
        <v>57738</v>
      </c>
      <c r="G82" s="20">
        <f t="shared" si="57"/>
        <v>-0.2286882123</v>
      </c>
      <c r="H82" s="243">
        <f>SUM(H79,H81)</f>
        <v>44534</v>
      </c>
    </row>
    <row r="83">
      <c r="A83" s="80"/>
      <c r="B83" s="80"/>
      <c r="C83" s="80"/>
      <c r="D83" s="80"/>
      <c r="E83" s="80"/>
      <c r="F83" s="80"/>
      <c r="G83" s="80"/>
      <c r="H83" s="80"/>
    </row>
    <row r="84">
      <c r="A84" s="81" t="s">
        <v>425</v>
      </c>
      <c r="B84" s="9" t="s">
        <v>12</v>
      </c>
      <c r="C84" s="9" t="s">
        <v>13</v>
      </c>
      <c r="D84" s="9" t="s">
        <v>14</v>
      </c>
      <c r="E84" s="9" t="s">
        <v>15</v>
      </c>
      <c r="F84" s="9" t="s">
        <v>16</v>
      </c>
      <c r="G84" s="9" t="s">
        <v>17</v>
      </c>
      <c r="H84" s="9" t="s">
        <v>18</v>
      </c>
    </row>
    <row r="85">
      <c r="A85" s="131" t="s">
        <v>697</v>
      </c>
      <c r="B85" s="132">
        <f>SUM(B86:B87)</f>
        <v>46611</v>
      </c>
      <c r="C85" s="20">
        <f t="shared" ref="C85:C87" si="58">IFERROR(SUM((D85/B85)-1),0)</f>
        <v>0.9479951085</v>
      </c>
      <c r="D85" s="132">
        <f>SUM(D86:D87)</f>
        <v>90798</v>
      </c>
      <c r="E85" s="20">
        <f t="shared" ref="E85:E87" si="59">IFERROR(SUM((F85/D85)-1),0)</f>
        <v>0.8638295998</v>
      </c>
      <c r="F85" s="132">
        <f>SUM(F86:F87)</f>
        <v>169232</v>
      </c>
      <c r="G85" s="20">
        <f t="shared" ref="G85:G87" si="60">IFERROR(SUM((H85/F85)-1),0)</f>
        <v>0.2502127257</v>
      </c>
      <c r="H85" s="234">
        <f>SUM(H86:H87)</f>
        <v>211576</v>
      </c>
    </row>
    <row r="86">
      <c r="A86" s="9" t="s">
        <v>699</v>
      </c>
      <c r="B86" s="27">
        <v>2768529.0</v>
      </c>
      <c r="C86" s="20">
        <f t="shared" si="58"/>
        <v>0.7569359035</v>
      </c>
      <c r="D86" s="27">
        <v>4864128.0</v>
      </c>
      <c r="E86" s="20">
        <f t="shared" si="59"/>
        <v>1.02876014</v>
      </c>
      <c r="F86" s="27">
        <v>9868149.0</v>
      </c>
      <c r="G86" s="20">
        <f t="shared" si="60"/>
        <v>0.2269720492</v>
      </c>
      <c r="H86" s="28">
        <v>1.2107943E7</v>
      </c>
    </row>
    <row r="87">
      <c r="A87" s="9" t="s">
        <v>701</v>
      </c>
      <c r="B87" s="27">
        <v>-2721918.0</v>
      </c>
      <c r="C87" s="20">
        <f t="shared" si="58"/>
        <v>0.7536641442</v>
      </c>
      <c r="D87" s="27">
        <v>-4773330.0</v>
      </c>
      <c r="E87" s="20">
        <f t="shared" si="59"/>
        <v>1.031897438</v>
      </c>
      <c r="F87" s="27">
        <v>-9698917.0</v>
      </c>
      <c r="G87" s="20">
        <f t="shared" si="60"/>
        <v>0.2265665332</v>
      </c>
      <c r="H87" s="28">
        <v>-1.1896367E7</v>
      </c>
    </row>
    <row r="88">
      <c r="B88" s="27"/>
      <c r="C88" s="20"/>
      <c r="D88" s="27"/>
      <c r="E88" s="20"/>
      <c r="F88" s="27"/>
      <c r="G88" s="20"/>
      <c r="H88" s="21"/>
    </row>
    <row r="89">
      <c r="B89" s="23"/>
      <c r="C89" s="20"/>
      <c r="D89" s="27"/>
      <c r="E89" s="20"/>
      <c r="F89" s="23"/>
      <c r="G89" s="20"/>
      <c r="H89" s="21"/>
    </row>
    <row r="90">
      <c r="A90" s="131" t="s">
        <v>704</v>
      </c>
      <c r="B90" s="132">
        <f>SUM(B91)</f>
        <v>88196</v>
      </c>
      <c r="C90" s="20">
        <f t="shared" ref="C90:C91" si="61">IFERROR(SUM((D90/B90)-1),0)</f>
        <v>0.9741031339</v>
      </c>
      <c r="D90" s="132">
        <f>SUM(D91)</f>
        <v>174108</v>
      </c>
      <c r="E90" s="20">
        <f t="shared" ref="E90:E91" si="62">IFERROR(SUM((F90/D90)-1),0)</f>
        <v>0.3257862936</v>
      </c>
      <c r="F90" s="132">
        <f>SUM(F91)</f>
        <v>230830</v>
      </c>
      <c r="G90" s="20">
        <f t="shared" ref="G90:G91" si="63">IFERROR(SUM((H90/F90)-1),0)</f>
        <v>0.3854524975</v>
      </c>
      <c r="H90" s="234">
        <f>SUM(H91)</f>
        <v>319804</v>
      </c>
    </row>
    <row r="91">
      <c r="A91" s="9" t="s">
        <v>706</v>
      </c>
      <c r="B91" s="27">
        <v>88196.0</v>
      </c>
      <c r="C91" s="20">
        <f t="shared" si="61"/>
        <v>0.9741031339</v>
      </c>
      <c r="D91" s="27">
        <v>174108.0</v>
      </c>
      <c r="E91" s="20">
        <f t="shared" si="62"/>
        <v>0.3257862936</v>
      </c>
      <c r="F91" s="27">
        <v>230830.0</v>
      </c>
      <c r="G91" s="20">
        <f t="shared" si="63"/>
        <v>0.3854524975</v>
      </c>
      <c r="H91" s="28">
        <v>319804.0</v>
      </c>
      <c r="I91" s="20"/>
    </row>
    <row r="92">
      <c r="B92" s="27"/>
      <c r="C92" s="20"/>
      <c r="D92" s="27"/>
      <c r="E92" s="20"/>
      <c r="F92" s="27"/>
      <c r="G92" s="20"/>
      <c r="H92" s="21"/>
      <c r="I92" s="20"/>
    </row>
    <row r="93">
      <c r="A93" s="131" t="s">
        <v>584</v>
      </c>
      <c r="B93" s="243">
        <f>SUM(B85,B90)</f>
        <v>134807</v>
      </c>
      <c r="C93" s="20">
        <f>IFERROR(SUM((D93/B93)-1),0)</f>
        <v>0.9650759975</v>
      </c>
      <c r="D93" s="243">
        <f>SUM(D85,D90)</f>
        <v>264906</v>
      </c>
      <c r="E93" s="20">
        <f>IFERROR(SUM((F93/D93)-1),0)</f>
        <v>0.5102036194</v>
      </c>
      <c r="F93" s="243">
        <f>SUM(F85,F90)</f>
        <v>400062</v>
      </c>
      <c r="G93" s="20">
        <f>IFERROR(SUM((H93/F93)-1),0)</f>
        <v>0.3282441222</v>
      </c>
      <c r="H93" s="234">
        <f>SUM(H85,H90)</f>
        <v>531380</v>
      </c>
      <c r="I93" s="20"/>
    </row>
    <row r="94">
      <c r="H94" s="21"/>
      <c r="I94" s="20"/>
    </row>
    <row r="95">
      <c r="A95" s="132" t="s">
        <v>707</v>
      </c>
      <c r="B95" s="243">
        <f>SUM(B96:B101)</f>
        <v>-91051</v>
      </c>
      <c r="C95" s="20">
        <f t="shared" ref="C95:C101" si="64">IFERROR(SUM((D95/B95)-1),0)</f>
        <v>0.970148598</v>
      </c>
      <c r="D95" s="243">
        <f>SUM(D96:D101)</f>
        <v>-179384</v>
      </c>
      <c r="E95" s="20">
        <f t="shared" ref="E95:E101" si="65">IFERROR(SUM((F95/D95)-1),0)</f>
        <v>0.2130067342</v>
      </c>
      <c r="F95" s="243">
        <f>SUM(F96:F101)</f>
        <v>-217594</v>
      </c>
      <c r="G95" s="20">
        <f t="shared" ref="G95:G101" si="66">IFERROR(SUM((H95/F95)-1),0)</f>
        <v>0.3728733329</v>
      </c>
      <c r="H95" s="234">
        <f>SUM(H96:H101)</f>
        <v>-298729</v>
      </c>
      <c r="I95" s="20"/>
    </row>
    <row r="96">
      <c r="A96" s="9" t="s">
        <v>708</v>
      </c>
      <c r="B96" s="27">
        <v>-40595.0</v>
      </c>
      <c r="C96" s="20">
        <f t="shared" si="64"/>
        <v>1.231407809</v>
      </c>
      <c r="D96" s="27">
        <v>-90584.0</v>
      </c>
      <c r="E96" s="20">
        <f t="shared" si="65"/>
        <v>0.04957829197</v>
      </c>
      <c r="F96" s="27">
        <v>-95075.0</v>
      </c>
      <c r="G96" s="20">
        <f t="shared" si="66"/>
        <v>0.3308125164</v>
      </c>
      <c r="H96" s="232">
        <v>-126527.0</v>
      </c>
      <c r="I96" s="20"/>
    </row>
    <row r="97">
      <c r="A97" s="9" t="s">
        <v>709</v>
      </c>
      <c r="B97" s="27">
        <v>-41110.0</v>
      </c>
      <c r="C97" s="20">
        <f t="shared" si="64"/>
        <v>0.6810508392</v>
      </c>
      <c r="D97" s="27">
        <v>-69108.0</v>
      </c>
      <c r="E97" s="20">
        <f t="shared" si="65"/>
        <v>0.143919662</v>
      </c>
      <c r="F97" s="27">
        <v>-79054.0</v>
      </c>
      <c r="G97" s="20">
        <f t="shared" si="66"/>
        <v>0.5049712855</v>
      </c>
      <c r="H97" s="232">
        <v>-118974.0</v>
      </c>
      <c r="I97" s="20"/>
      <c r="L97" s="20"/>
      <c r="N97" s="20"/>
      <c r="P97" s="20"/>
    </row>
    <row r="98">
      <c r="A98" s="9" t="s">
        <v>710</v>
      </c>
      <c r="B98" s="27">
        <v>-8043.0</v>
      </c>
      <c r="C98" s="20">
        <f t="shared" si="64"/>
        <v>1.176799702</v>
      </c>
      <c r="D98" s="27">
        <v>-17508.0</v>
      </c>
      <c r="E98" s="20">
        <f t="shared" si="65"/>
        <v>0.8167123601</v>
      </c>
      <c r="F98" s="27">
        <v>-31807.0</v>
      </c>
      <c r="G98" s="20">
        <f t="shared" si="66"/>
        <v>0.3019146729</v>
      </c>
      <c r="H98" s="232">
        <v>-41410.0</v>
      </c>
      <c r="I98" s="20"/>
      <c r="J98" s="9"/>
      <c r="L98" s="20"/>
      <c r="N98" s="20"/>
      <c r="P98" s="20"/>
    </row>
    <row r="99">
      <c r="A99" s="9" t="s">
        <v>711</v>
      </c>
      <c r="B99" s="27">
        <v>-821.0</v>
      </c>
      <c r="C99" s="20">
        <f t="shared" si="64"/>
        <v>1.708891596</v>
      </c>
      <c r="D99" s="27">
        <v>-2224.0</v>
      </c>
      <c r="E99" s="20">
        <f t="shared" si="65"/>
        <v>4.53192446</v>
      </c>
      <c r="F99" s="27">
        <v>-12303.0</v>
      </c>
      <c r="G99" s="20">
        <f t="shared" si="66"/>
        <v>0.06673169146</v>
      </c>
      <c r="H99" s="232">
        <v>-13124.0</v>
      </c>
      <c r="I99" s="20"/>
      <c r="K99" s="23"/>
      <c r="L99" s="20"/>
      <c r="M99" s="23"/>
      <c r="N99" s="20"/>
      <c r="O99" s="23"/>
      <c r="P99" s="20"/>
      <c r="Q99" s="23"/>
    </row>
    <row r="100">
      <c r="A100" s="9" t="s">
        <v>712</v>
      </c>
      <c r="B100" s="27">
        <v>197.0</v>
      </c>
      <c r="C100" s="20">
        <f t="shared" si="64"/>
        <v>7.934010152</v>
      </c>
      <c r="D100" s="27">
        <v>1760.0</v>
      </c>
      <c r="E100" s="20">
        <f t="shared" si="65"/>
        <v>-0.08125</v>
      </c>
      <c r="F100" s="27">
        <v>1617.0</v>
      </c>
      <c r="G100" s="20">
        <f t="shared" si="66"/>
        <v>0.3203463203</v>
      </c>
      <c r="H100" s="28">
        <v>2135.0</v>
      </c>
      <c r="I100" s="20"/>
      <c r="K100" s="23"/>
      <c r="L100" s="20"/>
      <c r="M100" s="23"/>
      <c r="N100" s="20"/>
      <c r="O100" s="23"/>
      <c r="P100" s="20"/>
      <c r="Q100" s="23"/>
    </row>
    <row r="101">
      <c r="A101" s="9" t="s">
        <v>713</v>
      </c>
      <c r="B101" s="27">
        <v>-679.0</v>
      </c>
      <c r="C101" s="20">
        <f t="shared" si="64"/>
        <v>1.533136966</v>
      </c>
      <c r="D101" s="27">
        <v>-1720.0</v>
      </c>
      <c r="E101" s="20">
        <f t="shared" si="65"/>
        <v>-0.4348837209</v>
      </c>
      <c r="F101" s="27">
        <v>-972.0</v>
      </c>
      <c r="G101" s="20">
        <f t="shared" si="66"/>
        <v>-0.1471193416</v>
      </c>
      <c r="H101" s="232">
        <v>-829.0</v>
      </c>
      <c r="I101" s="20"/>
      <c r="K101" s="23"/>
      <c r="L101" s="20"/>
      <c r="M101" s="23"/>
      <c r="N101" s="20"/>
      <c r="O101" s="23"/>
      <c r="P101" s="20"/>
      <c r="Q101" s="23"/>
    </row>
    <row r="102">
      <c r="H102" s="21"/>
      <c r="K102" s="23"/>
      <c r="L102" s="20"/>
      <c r="M102" s="23"/>
      <c r="N102" s="20"/>
      <c r="O102" s="23"/>
      <c r="P102" s="20"/>
      <c r="Q102" s="23"/>
    </row>
    <row r="103">
      <c r="A103" s="131" t="s">
        <v>581</v>
      </c>
      <c r="B103" s="243">
        <f>SUM(B93,B95)</f>
        <v>43756</v>
      </c>
      <c r="C103" s="20">
        <f>IFERROR(SUM((D103/B103)-1),0)</f>
        <v>0.9545205229</v>
      </c>
      <c r="D103" s="243">
        <f>SUM(D93,D95)</f>
        <v>85522</v>
      </c>
      <c r="E103" s="20">
        <f>IFERROR(SUM((F103/D103)-1),0)</f>
        <v>1.133579664</v>
      </c>
      <c r="F103" s="243">
        <f>SUM(F93,F95)</f>
        <v>182468</v>
      </c>
      <c r="G103" s="20">
        <f>IFERROR(SUM((H103/F103)-1),0)</f>
        <v>0.2750235658</v>
      </c>
      <c r="H103" s="234">
        <f>SUM(H93,H95)</f>
        <v>232651</v>
      </c>
    </row>
    <row r="104">
      <c r="H104" s="21"/>
      <c r="I104" s="20"/>
    </row>
    <row r="105">
      <c r="A105" s="9" t="s">
        <v>714</v>
      </c>
      <c r="B105" s="158">
        <v>-6042.0</v>
      </c>
      <c r="C105" s="20">
        <f t="shared" ref="C105:C106" si="67">IFERROR(SUM((D105/B105)-1),0)</f>
        <v>1.105428666</v>
      </c>
      <c r="D105" s="158">
        <v>-12721.0</v>
      </c>
      <c r="E105" s="20">
        <f t="shared" ref="E105:E106" si="68">IFERROR(SUM((F105/D105)-1),0)</f>
        <v>3.08214763</v>
      </c>
      <c r="F105" s="158">
        <v>-51929.0</v>
      </c>
      <c r="G105" s="20">
        <f t="shared" ref="G105:G106" si="69">IFERROR(SUM((H105/F105)-1),0)</f>
        <v>0.1087831462</v>
      </c>
      <c r="H105" s="232">
        <v>-57578.0</v>
      </c>
      <c r="I105" s="20"/>
      <c r="J105" s="20"/>
    </row>
    <row r="106">
      <c r="A106" s="131" t="s">
        <v>163</v>
      </c>
      <c r="B106" s="243">
        <f>SUM(B103,B105)</f>
        <v>37714</v>
      </c>
      <c r="C106" s="20">
        <f t="shared" si="67"/>
        <v>0.9303441693</v>
      </c>
      <c r="D106" s="243">
        <f>SUM(D103,D105)</f>
        <v>72801</v>
      </c>
      <c r="E106" s="20">
        <f t="shared" si="68"/>
        <v>0.7930935015</v>
      </c>
      <c r="F106" s="243">
        <f>SUM(F103,F105)</f>
        <v>130539</v>
      </c>
      <c r="G106" s="20">
        <f t="shared" si="69"/>
        <v>0.3411547507</v>
      </c>
      <c r="H106" s="234">
        <f>SUM(H103,H105)</f>
        <v>175073</v>
      </c>
      <c r="I106" s="20"/>
      <c r="J106" s="20"/>
    </row>
    <row r="107">
      <c r="A107" s="296"/>
      <c r="B107" s="297"/>
      <c r="C107" s="296"/>
      <c r="D107" s="297"/>
      <c r="E107" s="296"/>
      <c r="F107" s="297"/>
      <c r="G107" s="296"/>
      <c r="H107" s="297"/>
      <c r="I107" s="20"/>
      <c r="J107" s="20"/>
    </row>
    <row r="108">
      <c r="A108" s="17" t="s">
        <v>160</v>
      </c>
      <c r="B108" s="21"/>
      <c r="C108" s="22"/>
      <c r="D108" s="21"/>
      <c r="E108" s="22"/>
      <c r="F108" s="21"/>
      <c r="G108" s="22"/>
      <c r="H108" s="21"/>
      <c r="I108" s="20"/>
      <c r="J108" s="27"/>
    </row>
    <row r="109">
      <c r="A109" s="298" t="s">
        <v>162</v>
      </c>
      <c r="B109" s="21" t="s">
        <v>12</v>
      </c>
      <c r="C109" s="22" t="s">
        <v>13</v>
      </c>
      <c r="D109" s="21" t="s">
        <v>14</v>
      </c>
      <c r="E109" s="22" t="s">
        <v>15</v>
      </c>
      <c r="F109" s="21" t="s">
        <v>16</v>
      </c>
      <c r="G109" s="22" t="s">
        <v>17</v>
      </c>
      <c r="H109" s="21" t="s">
        <v>18</v>
      </c>
      <c r="I109" s="20"/>
      <c r="J109" s="20"/>
    </row>
    <row r="110">
      <c r="A110" s="51" t="s">
        <v>163</v>
      </c>
      <c r="B110" s="53">
        <v>37714.0</v>
      </c>
      <c r="C110" s="19">
        <f t="shared" ref="C110:C115" si="70">IFERROR(SUM((D110/B110)-1),0)</f>
        <v>1.341703346</v>
      </c>
      <c r="D110" s="53">
        <v>88315.0</v>
      </c>
      <c r="E110" s="19">
        <f t="shared" ref="E110:E115" si="71">IFERROR(SUM((F110/D110)-1),0)</f>
        <v>0.4781067769</v>
      </c>
      <c r="F110" s="53">
        <v>130539.0</v>
      </c>
      <c r="G110" s="19">
        <f t="shared" ref="G110:G115" si="72">IFERROR(SUM((H110/F110)-1),0)</f>
        <v>0.3411547507</v>
      </c>
      <c r="H110" s="53">
        <v>175073.0</v>
      </c>
      <c r="I110" s="20"/>
      <c r="J110" s="23"/>
    </row>
    <row r="111">
      <c r="A111" s="299" t="s">
        <v>165</v>
      </c>
      <c r="B111" s="300">
        <v>-5446.0</v>
      </c>
      <c r="C111" s="301">
        <f t="shared" si="70"/>
        <v>-27.5918105</v>
      </c>
      <c r="D111" s="300">
        <v>144819.0</v>
      </c>
      <c r="E111" s="301">
        <f t="shared" si="71"/>
        <v>0.5701599928</v>
      </c>
      <c r="F111" s="300">
        <v>227389.0</v>
      </c>
      <c r="G111" s="301">
        <f t="shared" si="72"/>
        <v>0.2547088909</v>
      </c>
      <c r="H111" s="300">
        <v>285307.0</v>
      </c>
    </row>
    <row r="112">
      <c r="A112" s="79" t="s">
        <v>173</v>
      </c>
      <c r="B112" s="53">
        <v>-5361.0</v>
      </c>
      <c r="C112" s="19">
        <f t="shared" si="70"/>
        <v>33.74053348</v>
      </c>
      <c r="D112" s="53">
        <v>-186244.0</v>
      </c>
      <c r="E112" s="19">
        <f t="shared" si="71"/>
        <v>-0.6453523335</v>
      </c>
      <c r="F112" s="53">
        <v>-66051.0</v>
      </c>
      <c r="G112" s="19">
        <f t="shared" si="72"/>
        <v>4.945784318</v>
      </c>
      <c r="H112" s="53">
        <v>-392725.0</v>
      </c>
    </row>
    <row r="113">
      <c r="A113" s="137" t="s">
        <v>219</v>
      </c>
      <c r="B113" s="138">
        <f>SUM(B111:B112)</f>
        <v>-10807</v>
      </c>
      <c r="C113" s="139">
        <f t="shared" si="70"/>
        <v>2.83316369</v>
      </c>
      <c r="D113" s="138">
        <f>SUM(D111:D112)</f>
        <v>-41425</v>
      </c>
      <c r="E113" s="139">
        <f t="shared" si="71"/>
        <v>-4.894701267</v>
      </c>
      <c r="F113" s="138">
        <f>SUM(F111:F112)</f>
        <v>161338</v>
      </c>
      <c r="G113" s="139">
        <f t="shared" si="72"/>
        <v>-1.665794791</v>
      </c>
      <c r="H113" s="138">
        <f>SUM(H111:H112)</f>
        <v>-107418</v>
      </c>
      <c r="I113" s="20"/>
      <c r="J113" s="20"/>
    </row>
    <row r="114">
      <c r="A114" s="22" t="s">
        <v>226</v>
      </c>
      <c r="B114" s="53">
        <v>-4896.0</v>
      </c>
      <c r="C114" s="19">
        <f t="shared" si="70"/>
        <v>2.460171569</v>
      </c>
      <c r="D114" s="53">
        <v>-16941.0</v>
      </c>
      <c r="E114" s="19">
        <f t="shared" si="71"/>
        <v>0.607638274</v>
      </c>
      <c r="F114" s="53">
        <v>-27235.0</v>
      </c>
      <c r="G114" s="19">
        <f t="shared" si="72"/>
        <v>0.1727556453</v>
      </c>
      <c r="H114" s="53">
        <v>-31940.0</v>
      </c>
      <c r="I114" s="20"/>
      <c r="J114" s="20"/>
    </row>
    <row r="115">
      <c r="A115" s="302" t="s">
        <v>169</v>
      </c>
      <c r="B115" s="303">
        <f>SUM(B112,B114)</f>
        <v>-10257</v>
      </c>
      <c r="C115" s="304">
        <f t="shared" si="70"/>
        <v>18.80939846</v>
      </c>
      <c r="D115" s="303">
        <f>SUM(D112,D114)</f>
        <v>-203185</v>
      </c>
      <c r="E115" s="304">
        <f t="shared" si="71"/>
        <v>-0.5408814627</v>
      </c>
      <c r="F115" s="303">
        <f>SUM(F112,F114)</f>
        <v>-93286</v>
      </c>
      <c r="G115" s="304">
        <f t="shared" si="72"/>
        <v>3.552290805</v>
      </c>
      <c r="H115" s="303">
        <f>SUM(H112,H114)</f>
        <v>-424665</v>
      </c>
      <c r="I115" s="20"/>
      <c r="J115" s="20"/>
    </row>
    <row r="116">
      <c r="I116" s="20"/>
      <c r="J116" s="20"/>
    </row>
    <row r="117">
      <c r="A117" s="22" t="s">
        <v>172</v>
      </c>
      <c r="B117" s="21"/>
      <c r="C117" s="118"/>
      <c r="D117" s="21"/>
      <c r="E117" s="118"/>
      <c r="F117" s="21"/>
      <c r="G117" s="118"/>
      <c r="H117" s="21"/>
    </row>
    <row r="118">
      <c r="A118" s="51" t="s">
        <v>715</v>
      </c>
      <c r="B118" s="53">
        <v>0.0</v>
      </c>
      <c r="C118" s="19">
        <f t="shared" ref="C118:C121" si="73">IFERROR(SUM((D118/B118)-1),0)</f>
        <v>0</v>
      </c>
      <c r="D118" s="53">
        <v>-6.0</v>
      </c>
      <c r="E118" s="19">
        <f t="shared" ref="E118:E121" si="74">IFERROR(SUM((F118/D118)-1),0)</f>
        <v>-1</v>
      </c>
      <c r="F118" s="53">
        <v>0.0</v>
      </c>
      <c r="G118" s="19">
        <f t="shared" ref="G118:G121" si="75">IFERROR(SUM((H118/F118)-1),0)</f>
        <v>0</v>
      </c>
      <c r="H118" s="53">
        <v>0.0</v>
      </c>
    </row>
    <row r="119">
      <c r="A119" s="51" t="s">
        <v>193</v>
      </c>
      <c r="B119" s="53">
        <v>0.0</v>
      </c>
      <c r="C119" s="19">
        <f t="shared" si="73"/>
        <v>0</v>
      </c>
      <c r="D119" s="53">
        <v>0.0</v>
      </c>
      <c r="E119" s="19">
        <f t="shared" si="74"/>
        <v>0</v>
      </c>
      <c r="F119" s="53">
        <v>0.0</v>
      </c>
      <c r="G119" s="19">
        <f t="shared" si="75"/>
        <v>0</v>
      </c>
      <c r="H119" s="53">
        <v>0.0</v>
      </c>
      <c r="I119" s="20"/>
      <c r="J119" s="23"/>
    </row>
    <row r="120">
      <c r="A120" s="51" t="s">
        <v>716</v>
      </c>
      <c r="B120" s="53">
        <v>-2972.0</v>
      </c>
      <c r="C120" s="19">
        <f t="shared" si="73"/>
        <v>-0.7109690444</v>
      </c>
      <c r="D120" s="53">
        <v>-859.0</v>
      </c>
      <c r="E120" s="19">
        <f t="shared" si="74"/>
        <v>0.3119906868</v>
      </c>
      <c r="F120" s="53">
        <v>-1127.0</v>
      </c>
      <c r="G120" s="19">
        <f t="shared" si="75"/>
        <v>-0.4924578527</v>
      </c>
      <c r="H120" s="53">
        <v>-572.0</v>
      </c>
      <c r="I120" s="20"/>
      <c r="J120" s="23"/>
    </row>
    <row r="121">
      <c r="A121" s="302" t="s">
        <v>192</v>
      </c>
      <c r="B121" s="303">
        <f>SUM(B118:B120)</f>
        <v>-2972</v>
      </c>
      <c r="C121" s="304">
        <f t="shared" si="73"/>
        <v>-0.7089502019</v>
      </c>
      <c r="D121" s="303">
        <f>SUM(D118:D120)</f>
        <v>-865</v>
      </c>
      <c r="E121" s="304">
        <f t="shared" si="74"/>
        <v>0.3028901734</v>
      </c>
      <c r="F121" s="303">
        <f>SUM(F118:F120)</f>
        <v>-1127</v>
      </c>
      <c r="G121" s="304">
        <f t="shared" si="75"/>
        <v>-0.4924578527</v>
      </c>
      <c r="H121" s="303">
        <f>SUM(H118:H120)</f>
        <v>-572</v>
      </c>
    </row>
    <row r="122">
      <c r="A122" s="22"/>
      <c r="B122" s="28"/>
      <c r="C122" s="19"/>
      <c r="D122" s="28"/>
      <c r="E122" s="19"/>
      <c r="F122" s="172"/>
      <c r="G122" s="19"/>
      <c r="H122" s="172"/>
    </row>
    <row r="123">
      <c r="A123" s="51" t="s">
        <v>717</v>
      </c>
      <c r="B123" s="21"/>
      <c r="C123" s="118"/>
      <c r="D123" s="21"/>
      <c r="E123" s="118"/>
      <c r="F123" s="21"/>
      <c r="G123" s="118"/>
      <c r="H123" s="21"/>
      <c r="I123" s="20"/>
      <c r="J123" s="23"/>
    </row>
    <row r="124">
      <c r="A124" s="9" t="s">
        <v>718</v>
      </c>
      <c r="B124" s="53">
        <v>-15566.0</v>
      </c>
      <c r="C124" s="19">
        <f t="shared" ref="C124:C129" si="76">IFERROR(SUM((D124/B124)-1),0)</f>
        <v>-0.7495181807</v>
      </c>
      <c r="D124" s="53">
        <v>-3899.0</v>
      </c>
      <c r="E124" s="19">
        <f t="shared" ref="E124:E129" si="77">IFERROR(SUM((F124/D124)-1),0)</f>
        <v>8.805591177</v>
      </c>
      <c r="F124" s="53">
        <v>-38232.0</v>
      </c>
      <c r="G124" s="19">
        <f t="shared" ref="G124:G129" si="78">IFERROR(SUM((H124/F124)-1),0)</f>
        <v>0.1134128479</v>
      </c>
      <c r="H124" s="53">
        <v>-42568.0</v>
      </c>
      <c r="I124" s="20"/>
      <c r="J124" s="23"/>
    </row>
    <row r="125">
      <c r="A125" s="51" t="s">
        <v>719</v>
      </c>
      <c r="B125" s="53">
        <v>0.0</v>
      </c>
      <c r="C125" s="19">
        <f t="shared" si="76"/>
        <v>0</v>
      </c>
      <c r="D125" s="53">
        <v>124200.0</v>
      </c>
      <c r="E125" s="19">
        <f t="shared" si="77"/>
        <v>0.1618357488</v>
      </c>
      <c r="F125" s="53">
        <v>144300.0</v>
      </c>
      <c r="G125" s="19">
        <f t="shared" si="78"/>
        <v>0.3471933472</v>
      </c>
      <c r="H125" s="53">
        <v>194400.0</v>
      </c>
      <c r="I125" s="20"/>
      <c r="J125" s="23"/>
    </row>
    <row r="126">
      <c r="A126" s="22" t="s">
        <v>205</v>
      </c>
      <c r="B126" s="53">
        <v>-1931.0</v>
      </c>
      <c r="C126" s="19">
        <f t="shared" si="76"/>
        <v>0.05696530295</v>
      </c>
      <c r="D126" s="53">
        <v>-2041.0</v>
      </c>
      <c r="E126" s="19">
        <f t="shared" si="77"/>
        <v>1.999510044</v>
      </c>
      <c r="F126" s="53">
        <v>-6122.0</v>
      </c>
      <c r="G126" s="19">
        <f t="shared" si="78"/>
        <v>0.3330610911</v>
      </c>
      <c r="H126" s="53">
        <v>-8161.0</v>
      </c>
      <c r="I126" s="20"/>
      <c r="J126" s="23"/>
    </row>
    <row r="127">
      <c r="A127" s="9" t="s">
        <v>720</v>
      </c>
      <c r="B127" s="53">
        <v>0.0</v>
      </c>
      <c r="C127" s="19">
        <f t="shared" si="76"/>
        <v>0</v>
      </c>
      <c r="D127" s="53">
        <v>-18899.0</v>
      </c>
      <c r="E127" s="19">
        <f t="shared" si="77"/>
        <v>-1</v>
      </c>
      <c r="F127" s="53">
        <v>0.0</v>
      </c>
      <c r="G127" s="19">
        <f t="shared" si="78"/>
        <v>0</v>
      </c>
      <c r="H127" s="53">
        <v>-195293.0</v>
      </c>
    </row>
    <row r="128">
      <c r="A128" s="9" t="s">
        <v>721</v>
      </c>
      <c r="B128" s="53">
        <v>0.0</v>
      </c>
      <c r="C128" s="19">
        <f t="shared" si="76"/>
        <v>0</v>
      </c>
      <c r="D128" s="53">
        <v>-31849.0</v>
      </c>
      <c r="E128" s="19">
        <f t="shared" si="77"/>
        <v>1.780181481</v>
      </c>
      <c r="F128" s="53">
        <v>-88546.0</v>
      </c>
      <c r="G128" s="19">
        <f t="shared" si="78"/>
        <v>-1</v>
      </c>
      <c r="H128" s="53">
        <v>0.0</v>
      </c>
    </row>
    <row r="129">
      <c r="A129" s="305" t="s">
        <v>722</v>
      </c>
      <c r="B129" s="303">
        <f>SUM(B124:B128)</f>
        <v>-17497</v>
      </c>
      <c r="C129" s="304">
        <f t="shared" si="76"/>
        <v>-4.858490027</v>
      </c>
      <c r="D129" s="303">
        <f>SUM(D124:D128)</f>
        <v>67512</v>
      </c>
      <c r="E129" s="304">
        <f t="shared" si="77"/>
        <v>-0.8311411305</v>
      </c>
      <c r="F129" s="303">
        <f>SUM(F124:F128)</f>
        <v>11400</v>
      </c>
      <c r="G129" s="304">
        <f t="shared" si="78"/>
        <v>-5.528245614</v>
      </c>
      <c r="H129" s="303">
        <f>SUM(H124:H128)</f>
        <v>-51622</v>
      </c>
    </row>
    <row r="131">
      <c r="A131" s="22" t="s">
        <v>386</v>
      </c>
      <c r="B131" s="53">
        <v>11354.0</v>
      </c>
      <c r="C131" s="19">
        <f t="shared" ref="C131:C134" si="79">IFERROR(SUM((D131/B131)-1),0)</f>
        <v>0.04342082086</v>
      </c>
      <c r="D131" s="53">
        <v>11847.0</v>
      </c>
      <c r="E131" s="19">
        <f t="shared" ref="E131:E134" si="80">IFERROR(SUM((F131/D131)-1),0)</f>
        <v>1.019160969</v>
      </c>
      <c r="F131" s="53">
        <v>23921.0</v>
      </c>
      <c r="G131" s="19">
        <f t="shared" ref="G131:G134" si="81">IFERROR(SUM((H131/F131)-1),0)</f>
        <v>0.6477572008</v>
      </c>
      <c r="H131" s="53">
        <v>39416.0</v>
      </c>
    </row>
    <row r="132">
      <c r="A132" s="306" t="s">
        <v>210</v>
      </c>
      <c r="B132" s="307">
        <f>SUM(B115,B121,B129)</f>
        <v>-30726</v>
      </c>
      <c r="C132" s="304">
        <f t="shared" si="79"/>
        <v>3.443728438</v>
      </c>
      <c r="D132" s="307">
        <f>SUM(D115,D121,D129)</f>
        <v>-136538</v>
      </c>
      <c r="E132" s="304">
        <f t="shared" si="80"/>
        <v>-0.3920154096</v>
      </c>
      <c r="F132" s="307">
        <f>SUM(F115,F121,F129)</f>
        <v>-83013</v>
      </c>
      <c r="G132" s="304">
        <f t="shared" si="81"/>
        <v>4.744389433</v>
      </c>
      <c r="H132" s="307">
        <f>SUM(H115,H121,H129)</f>
        <v>-476859</v>
      </c>
    </row>
    <row r="133">
      <c r="A133" s="22" t="s">
        <v>212</v>
      </c>
      <c r="B133" s="308">
        <v>137792.0</v>
      </c>
      <c r="C133" s="19">
        <f t="shared" si="79"/>
        <v>3.174661809</v>
      </c>
      <c r="D133" s="308">
        <v>575235.0</v>
      </c>
      <c r="E133" s="19">
        <f t="shared" si="80"/>
        <v>0</v>
      </c>
      <c r="F133" s="308">
        <v>575235.0</v>
      </c>
      <c r="G133" s="19">
        <f t="shared" si="81"/>
        <v>0</v>
      </c>
      <c r="H133" s="308">
        <v>575235.0</v>
      </c>
    </row>
    <row r="134">
      <c r="A134" s="309" t="s">
        <v>214</v>
      </c>
      <c r="B134" s="310">
        <f>SUM(B131:B133)</f>
        <v>118420</v>
      </c>
      <c r="C134" s="311">
        <f t="shared" si="79"/>
        <v>2.804627597</v>
      </c>
      <c r="D134" s="310">
        <f>SUM(D131:D133)</f>
        <v>450544</v>
      </c>
      <c r="E134" s="311">
        <f t="shared" si="80"/>
        <v>0.1455995419</v>
      </c>
      <c r="F134" s="310">
        <f>SUM(F131:F133)</f>
        <v>516143</v>
      </c>
      <c r="G134" s="311">
        <f t="shared" si="81"/>
        <v>-0.7330352247</v>
      </c>
      <c r="H134" s="310">
        <f>SUM(H131:H133)</f>
        <v>137792</v>
      </c>
    </row>
    <row r="136">
      <c r="A136" s="9" t="s">
        <v>21</v>
      </c>
    </row>
    <row r="137">
      <c r="A137" s="9" t="s">
        <v>27</v>
      </c>
      <c r="B137" s="27"/>
      <c r="F137" s="21"/>
      <c r="G137" s="118"/>
      <c r="H137" s="21"/>
    </row>
    <row r="138">
      <c r="A138" s="9" t="s">
        <v>32</v>
      </c>
      <c r="B138" s="32">
        <v>37798.0</v>
      </c>
      <c r="C138" s="29"/>
      <c r="D138" s="229"/>
      <c r="E138" s="29"/>
    </row>
    <row r="139">
      <c r="A139" s="9" t="s">
        <v>39</v>
      </c>
      <c r="B139" s="23">
        <f>SUM(B137:B138)</f>
        <v>37798</v>
      </c>
    </row>
    <row r="141">
      <c r="A141" s="22"/>
      <c r="B141" s="22"/>
      <c r="C141" s="22"/>
      <c r="D141" s="22"/>
      <c r="E141" s="22"/>
    </row>
    <row r="142" ht="22.5" customHeight="1">
      <c r="A142" s="82" t="s">
        <v>104</v>
      </c>
      <c r="B142" s="82" t="s">
        <v>105</v>
      </c>
      <c r="C142" s="82" t="s">
        <v>11</v>
      </c>
      <c r="D142" s="82" t="s">
        <v>106</v>
      </c>
      <c r="E142" s="82" t="s">
        <v>107</v>
      </c>
      <c r="F142" s="84" t="s">
        <v>108</v>
      </c>
    </row>
    <row r="143" ht="22.5" customHeight="1">
      <c r="A143" s="87" t="s">
        <v>112</v>
      </c>
      <c r="B143" s="88">
        <f>IFERROR(__xludf.DUMMYFUNCTION("(GOOGLEFINANCE(""BVMF:"" &amp; K2))"),14.21)</f>
        <v>14.21</v>
      </c>
      <c r="C143" s="89">
        <v>1.0</v>
      </c>
      <c r="D143" s="90">
        <f>B148</f>
        <v>175073000</v>
      </c>
      <c r="E143" s="91"/>
      <c r="F143" s="92">
        <v>-8.0</v>
      </c>
    </row>
    <row r="144" ht="22.5" customHeight="1">
      <c r="A144" s="97" t="s">
        <v>10</v>
      </c>
      <c r="B144" s="98">
        <f t="array" ref="B144">IFERROR(INDEX(Indicador_Ações[], MATCH(K2, Indicador_Ações[Stock], 0), MATCH(Indicador_Ações[[#HEADERS],[divida_bruta]], Indicador_Ações[#HEADERS], 0)),"")/3</f>
        <v>5635766667</v>
      </c>
      <c r="C144" s="99">
        <v>2.0</v>
      </c>
      <c r="D144" s="100">
        <f t="shared" ref="D144:D149" si="82">D143*(1+F143/100)</f>
        <v>161067160</v>
      </c>
      <c r="E144" s="100">
        <f>D144/(1+B149)^C143</f>
        <v>142537309.7</v>
      </c>
      <c r="F144" s="92">
        <v>6.0</v>
      </c>
    </row>
    <row r="145" ht="22.5" customHeight="1">
      <c r="A145" s="87" t="s">
        <v>116</v>
      </c>
      <c r="B145" s="88">
        <f>L23</f>
        <v>240252733000</v>
      </c>
      <c r="C145" s="89">
        <v>3.0</v>
      </c>
      <c r="D145" s="100">
        <f t="shared" si="82"/>
        <v>170731189.6</v>
      </c>
      <c r="E145" s="90">
        <f>D145/(1+B149)^C144</f>
        <v>133707564.9</v>
      </c>
      <c r="F145" s="92">
        <v>6.0</v>
      </c>
    </row>
    <row r="146" ht="22.5" customHeight="1">
      <c r="A146" s="97" t="s">
        <v>118</v>
      </c>
      <c r="B146" s="92">
        <f>SUM(F143:F151)/9</f>
        <v>4.444444444</v>
      </c>
      <c r="C146" s="99">
        <v>4.0</v>
      </c>
      <c r="D146" s="100">
        <f t="shared" si="82"/>
        <v>180975061</v>
      </c>
      <c r="E146" s="100">
        <f>D146/(1+B149)^C145</f>
        <v>125424795.4</v>
      </c>
      <c r="F146" s="92">
        <v>6.0</v>
      </c>
      <c r="G146" s="29"/>
      <c r="H146" s="265"/>
    </row>
    <row r="147" ht="22.5" customHeight="1">
      <c r="A147" s="87" t="s">
        <v>120</v>
      </c>
      <c r="B147" s="88">
        <v>0.01</v>
      </c>
      <c r="C147" s="89">
        <v>5.0</v>
      </c>
      <c r="D147" s="100">
        <f t="shared" si="82"/>
        <v>191833564.6</v>
      </c>
      <c r="E147" s="90">
        <f>D147/(1+B149)^C146</f>
        <v>117655117.8</v>
      </c>
      <c r="F147" s="92">
        <v>6.0</v>
      </c>
    </row>
    <row r="148" ht="22.5" customHeight="1">
      <c r="A148" s="97" t="s">
        <v>723</v>
      </c>
      <c r="B148" s="98">
        <f>K34</f>
        <v>175073000</v>
      </c>
      <c r="C148" s="99">
        <v>6.0</v>
      </c>
      <c r="D148" s="100">
        <f t="shared" si="82"/>
        <v>203343578.5</v>
      </c>
      <c r="E148" s="100">
        <f>D148/(1+B149)^C147</f>
        <v>110366747.7</v>
      </c>
      <c r="F148" s="92">
        <v>6.0</v>
      </c>
    </row>
    <row r="149" ht="22.5" customHeight="1">
      <c r="A149" s="87" t="s">
        <v>724</v>
      </c>
      <c r="B149" s="105">
        <v>0.13</v>
      </c>
      <c r="C149" s="89">
        <v>7.0</v>
      </c>
      <c r="D149" s="100">
        <f t="shared" si="82"/>
        <v>215544193.2</v>
      </c>
      <c r="E149" s="90">
        <f>D149/(1+B149)^C148</f>
        <v>103529869.5</v>
      </c>
      <c r="F149" s="92">
        <v>6.0</v>
      </c>
      <c r="G149" s="29"/>
      <c r="H149" s="229"/>
    </row>
    <row r="150" ht="22.5" customHeight="1">
      <c r="A150" s="97" t="s">
        <v>128</v>
      </c>
      <c r="B150" s="98">
        <f>B151/B144</f>
        <v>0.266929249</v>
      </c>
      <c r="C150" s="99" t="s">
        <v>131</v>
      </c>
      <c r="D150" s="100">
        <f>IFERROR( D149 * (1 + B147) / (B149  -B147  ), 0 )
</f>
        <v>1814163626</v>
      </c>
      <c r="E150" s="100">
        <f>D150/(1+B149)^C149</f>
        <v>771129558.9</v>
      </c>
      <c r="F150" s="92">
        <v>6.0</v>
      </c>
    </row>
    <row r="151" ht="22.5" customHeight="1">
      <c r="A151" s="87" t="s">
        <v>136</v>
      </c>
      <c r="B151" s="88">
        <f>E151</f>
        <v>1504350964</v>
      </c>
      <c r="C151" s="116"/>
      <c r="D151" s="90">
        <f>SUM(D144:D150)</f>
        <v>2937658373</v>
      </c>
      <c r="E151" s="90">
        <f>SUM(E143:E150)</f>
        <v>1504350964</v>
      </c>
      <c r="F151" s="92">
        <v>6.0</v>
      </c>
    </row>
    <row r="156">
      <c r="F156" s="23"/>
      <c r="G156" s="20"/>
      <c r="H156" s="23"/>
    </row>
    <row r="160">
      <c r="F160" s="27"/>
      <c r="G160" s="20"/>
      <c r="H160" s="27"/>
    </row>
    <row r="161">
      <c r="C161" s="20"/>
      <c r="D161" s="32"/>
      <c r="E161" s="20"/>
      <c r="F161" s="27"/>
      <c r="G161" s="20"/>
      <c r="H161" s="27"/>
    </row>
    <row r="162">
      <c r="A162" s="9"/>
      <c r="C162" s="20"/>
      <c r="E162" s="20"/>
      <c r="F162" s="23"/>
      <c r="G162" s="20"/>
      <c r="H162" s="23"/>
      <c r="I162" s="20"/>
    </row>
    <row r="163">
      <c r="B163" s="27"/>
      <c r="C163" s="20"/>
      <c r="D163" s="27"/>
      <c r="E163" s="20"/>
      <c r="F163" s="27"/>
      <c r="G163" s="20"/>
      <c r="H163" s="27"/>
      <c r="I163" s="20"/>
      <c r="J163" s="20"/>
    </row>
    <row r="164">
      <c r="A164" s="9"/>
      <c r="B164" s="9"/>
      <c r="C164" s="20"/>
      <c r="D164" s="9"/>
      <c r="E164" s="20"/>
      <c r="F164" s="27"/>
      <c r="G164" s="20"/>
      <c r="H164" s="27"/>
      <c r="I164" s="20"/>
      <c r="J164" s="20"/>
    </row>
    <row r="165">
      <c r="B165" s="27"/>
      <c r="C165" s="20"/>
      <c r="D165" s="27"/>
      <c r="E165" s="20"/>
      <c r="F165" s="27"/>
      <c r="G165" s="20"/>
      <c r="H165" s="27"/>
      <c r="I165" s="20"/>
      <c r="J165" s="20"/>
    </row>
    <row r="166">
      <c r="B166" s="27"/>
      <c r="C166" s="20"/>
      <c r="D166" s="27"/>
      <c r="E166" s="20"/>
      <c r="F166" s="27"/>
      <c r="G166" s="20"/>
      <c r="H166" s="27"/>
      <c r="I166" s="20"/>
      <c r="J166" s="27"/>
    </row>
    <row r="167">
      <c r="B167" s="27"/>
      <c r="C167" s="20"/>
      <c r="D167" s="27"/>
      <c r="E167" s="20"/>
      <c r="F167" s="27"/>
      <c r="G167" s="20"/>
      <c r="H167" s="27"/>
      <c r="I167" s="20"/>
      <c r="J167" s="20"/>
    </row>
    <row r="168">
      <c r="A168" s="9"/>
      <c r="C168" s="20"/>
      <c r="E168" s="20"/>
      <c r="F168" s="23"/>
      <c r="G168" s="20"/>
      <c r="H168" s="23"/>
      <c r="I168" s="20"/>
      <c r="J168" s="23"/>
    </row>
    <row r="171">
      <c r="I171" s="20"/>
      <c r="J171" s="20"/>
    </row>
    <row r="172">
      <c r="B172" s="27"/>
      <c r="C172" s="20"/>
      <c r="D172" s="32"/>
      <c r="E172" s="20"/>
      <c r="F172" s="32"/>
      <c r="G172" s="20"/>
      <c r="H172" s="32"/>
      <c r="I172" s="20"/>
      <c r="J172" s="20"/>
    </row>
    <row r="173">
      <c r="B173" s="32"/>
      <c r="C173" s="20"/>
      <c r="D173" s="23"/>
      <c r="E173" s="20"/>
      <c r="F173" s="23"/>
      <c r="G173" s="20"/>
      <c r="H173" s="23"/>
      <c r="I173" s="20"/>
      <c r="J173" s="20"/>
    </row>
    <row r="174">
      <c r="B174" s="23"/>
      <c r="C174" s="20"/>
      <c r="D174" s="32"/>
      <c r="E174" s="20"/>
      <c r="F174" s="32"/>
      <c r="G174" s="20"/>
      <c r="H174" s="32"/>
      <c r="I174" s="20"/>
      <c r="J174" s="20"/>
    </row>
    <row r="177">
      <c r="I177" s="20"/>
      <c r="J177" s="23"/>
    </row>
    <row r="178">
      <c r="I178" s="20"/>
      <c r="J178" s="23"/>
    </row>
    <row r="181">
      <c r="I181" s="20"/>
      <c r="J181" s="23"/>
    </row>
    <row r="182">
      <c r="I182" s="20"/>
      <c r="J182" s="23"/>
    </row>
    <row r="183">
      <c r="I183" s="20"/>
      <c r="J183" s="23"/>
    </row>
    <row r="184">
      <c r="I184" s="20"/>
      <c r="J184" s="23"/>
    </row>
    <row r="217">
      <c r="C217" s="20"/>
      <c r="D217" s="27"/>
    </row>
    <row r="218">
      <c r="C218" s="20"/>
      <c r="D218" s="27"/>
    </row>
    <row r="219">
      <c r="C219" s="20"/>
      <c r="D219" s="27"/>
    </row>
    <row r="220">
      <c r="C220" s="160"/>
      <c r="D220" s="158"/>
    </row>
    <row r="221">
      <c r="D221" s="23"/>
    </row>
    <row r="222">
      <c r="D222" s="23"/>
    </row>
    <row r="223">
      <c r="C223" s="20"/>
      <c r="D223" s="27"/>
    </row>
    <row r="224">
      <c r="C224" s="20"/>
      <c r="D224" s="27"/>
    </row>
    <row r="225">
      <c r="C225" s="20"/>
      <c r="D225" s="27"/>
    </row>
    <row r="226">
      <c r="C226" s="20"/>
      <c r="D226" s="27"/>
    </row>
    <row r="227">
      <c r="C227" s="160"/>
      <c r="D227" s="146"/>
    </row>
    <row r="228">
      <c r="D228" s="23"/>
    </row>
    <row r="229">
      <c r="C229" s="20"/>
    </row>
    <row r="230">
      <c r="C230" s="20"/>
      <c r="D230" s="32"/>
    </row>
    <row r="237">
      <c r="I237" s="20"/>
    </row>
    <row r="238">
      <c r="I238" s="20"/>
      <c r="J238" s="23"/>
    </row>
    <row r="239">
      <c r="I239" s="20"/>
      <c r="J239" s="23"/>
    </row>
    <row r="240">
      <c r="I240" s="20"/>
      <c r="J240" s="23"/>
    </row>
    <row r="241">
      <c r="I241" s="20"/>
      <c r="J241" s="23"/>
    </row>
    <row r="242">
      <c r="I242" s="20"/>
      <c r="J242" s="20"/>
    </row>
    <row r="243">
      <c r="I243" s="20"/>
      <c r="J243" s="20"/>
    </row>
    <row r="244">
      <c r="I244" s="20"/>
      <c r="J244" s="23"/>
    </row>
    <row r="245">
      <c r="I245" s="20"/>
      <c r="J245" s="23"/>
    </row>
    <row r="246">
      <c r="I246" s="20"/>
      <c r="J246" s="23"/>
    </row>
    <row r="247">
      <c r="I247" s="20"/>
      <c r="J247" s="20"/>
    </row>
    <row r="250">
      <c r="I250" s="20"/>
    </row>
    <row r="251">
      <c r="I251" s="20"/>
      <c r="J251" s="20"/>
    </row>
    <row r="252">
      <c r="I252" s="20"/>
      <c r="J252" s="20"/>
    </row>
    <row r="253">
      <c r="I253" s="20"/>
      <c r="J253" s="20"/>
    </row>
    <row r="254">
      <c r="I254" s="20"/>
      <c r="J254" s="27"/>
    </row>
    <row r="255">
      <c r="I255" s="20"/>
      <c r="J255" s="20"/>
    </row>
    <row r="256">
      <c r="I256" s="20"/>
      <c r="J256" s="23"/>
    </row>
    <row r="259">
      <c r="I259" s="20"/>
      <c r="J259" s="20"/>
    </row>
    <row r="260">
      <c r="I260" s="20"/>
      <c r="J260" s="20"/>
    </row>
    <row r="261">
      <c r="I261" s="20"/>
      <c r="J261" s="20"/>
    </row>
    <row r="262">
      <c r="I262" s="20"/>
      <c r="J262" s="20"/>
    </row>
    <row r="265">
      <c r="E265" s="20"/>
      <c r="F265" s="32"/>
      <c r="H265" s="23"/>
      <c r="I265" s="20"/>
      <c r="J265" s="23"/>
    </row>
    <row r="266">
      <c r="B266" s="32"/>
      <c r="C266" s="20"/>
      <c r="D266" s="32"/>
      <c r="E266" s="20"/>
      <c r="H266" s="23"/>
      <c r="I266" s="20"/>
      <c r="J266" s="23"/>
    </row>
    <row r="267">
      <c r="A267" s="9"/>
      <c r="B267" s="27"/>
      <c r="C267" s="20"/>
      <c r="D267" s="27"/>
      <c r="E267" s="20"/>
    </row>
    <row r="268">
      <c r="B268" s="32"/>
      <c r="C268" s="20"/>
      <c r="D268" s="32"/>
      <c r="E268" s="20"/>
      <c r="G268" s="9"/>
    </row>
    <row r="269">
      <c r="A269" s="9"/>
      <c r="B269" s="27"/>
      <c r="C269" s="20"/>
      <c r="D269" s="27"/>
      <c r="E269" s="20"/>
      <c r="H269" s="23"/>
      <c r="I269" s="20"/>
      <c r="J269" s="23"/>
    </row>
    <row r="270">
      <c r="A270" s="67"/>
      <c r="E270" s="20"/>
      <c r="H270" s="23"/>
      <c r="I270" s="20"/>
      <c r="J270" s="23"/>
    </row>
    <row r="271">
      <c r="B271" s="27"/>
      <c r="C271" s="20"/>
      <c r="D271" s="27"/>
      <c r="E271" s="20"/>
      <c r="F271" s="20"/>
      <c r="H271" s="23"/>
      <c r="I271" s="20"/>
      <c r="J271" s="23"/>
    </row>
    <row r="272">
      <c r="B272" s="27"/>
      <c r="C272" s="20"/>
      <c r="D272" s="27"/>
      <c r="H272" s="23"/>
      <c r="I272" s="20"/>
      <c r="J272" s="23"/>
    </row>
    <row r="273">
      <c r="B273" s="20"/>
      <c r="C273" s="20"/>
      <c r="D273" s="20"/>
      <c r="E273" s="20"/>
      <c r="F273" s="32"/>
    </row>
    <row r="274">
      <c r="B274" s="27"/>
      <c r="C274" s="20"/>
      <c r="D274" s="27"/>
      <c r="E274" s="20"/>
      <c r="F274" s="27"/>
    </row>
    <row r="275">
      <c r="B275" s="27"/>
      <c r="C275" s="20"/>
      <c r="D275" s="27"/>
      <c r="E275" s="20"/>
      <c r="F275" s="32"/>
    </row>
    <row r="276">
      <c r="B276" s="23"/>
      <c r="C276" s="20"/>
      <c r="D276" s="23"/>
      <c r="E276" s="20"/>
      <c r="F276" s="27"/>
    </row>
    <row r="277">
      <c r="E277" s="20"/>
      <c r="F277" s="32"/>
    </row>
    <row r="278">
      <c r="B278" s="27"/>
      <c r="D278" s="27"/>
      <c r="E278" s="20"/>
      <c r="F278" s="32"/>
    </row>
    <row r="279">
      <c r="A279" s="9"/>
      <c r="C279" s="20"/>
      <c r="E279" s="20"/>
    </row>
    <row r="280">
      <c r="E280" s="20"/>
    </row>
    <row r="281">
      <c r="B281" s="27"/>
      <c r="C281" s="20"/>
      <c r="D281" s="27"/>
      <c r="E281" s="20"/>
    </row>
    <row r="282">
      <c r="B282" s="27"/>
      <c r="C282" s="20"/>
      <c r="D282" s="27"/>
      <c r="E282" s="20"/>
      <c r="F282" s="32"/>
    </row>
    <row r="283">
      <c r="B283" s="27"/>
      <c r="C283" s="20"/>
      <c r="D283" s="27"/>
      <c r="E283" s="20"/>
    </row>
    <row r="285">
      <c r="A285" s="9"/>
      <c r="C285" s="20"/>
    </row>
    <row r="286">
      <c r="C286" s="20"/>
      <c r="E286" s="20"/>
      <c r="F286" s="20"/>
    </row>
    <row r="287">
      <c r="B287" s="27"/>
      <c r="C287" s="20"/>
      <c r="D287" s="27"/>
      <c r="E287" s="20"/>
      <c r="F287" s="20"/>
    </row>
    <row r="288">
      <c r="A288" s="9"/>
      <c r="C288" s="20"/>
      <c r="E288" s="20"/>
      <c r="F288" s="20"/>
    </row>
    <row r="290">
      <c r="A290" s="9"/>
    </row>
    <row r="291">
      <c r="A291" s="67"/>
    </row>
    <row r="292">
      <c r="B292" s="27"/>
      <c r="C292" s="20"/>
      <c r="D292" s="27"/>
    </row>
    <row r="293">
      <c r="A293" s="150"/>
      <c r="B293" s="27"/>
      <c r="C293" s="20"/>
      <c r="D293" s="27"/>
    </row>
    <row r="294">
      <c r="B294" s="27"/>
      <c r="C294" s="20"/>
      <c r="D294" s="27"/>
    </row>
    <row r="295">
      <c r="B295" s="27"/>
      <c r="C295" s="20"/>
      <c r="D295" s="27"/>
    </row>
    <row r="296">
      <c r="A296" s="9"/>
      <c r="B296" s="27"/>
      <c r="C296" s="20"/>
      <c r="D296" s="27"/>
    </row>
    <row r="297">
      <c r="B297" s="27"/>
      <c r="C297" s="20"/>
      <c r="D297" s="27"/>
    </row>
    <row r="298">
      <c r="B298" s="27"/>
      <c r="C298" s="20"/>
      <c r="D298" s="27"/>
    </row>
    <row r="299">
      <c r="B299" s="27"/>
      <c r="C299" s="20"/>
      <c r="D299" s="27"/>
    </row>
    <row r="300">
      <c r="B300" s="27"/>
      <c r="C300" s="20"/>
      <c r="D300" s="27"/>
    </row>
    <row r="301">
      <c r="C301" s="20"/>
      <c r="D301" s="32"/>
    </row>
    <row r="302">
      <c r="A302" s="67"/>
      <c r="B302" s="158"/>
      <c r="C302" s="160"/>
      <c r="D302" s="158"/>
    </row>
    <row r="303">
      <c r="B303" s="23"/>
      <c r="D303" s="23"/>
    </row>
    <row r="304">
      <c r="B304" s="27"/>
      <c r="C304" s="20"/>
      <c r="D304" s="27"/>
    </row>
    <row r="305">
      <c r="B305" s="27"/>
      <c r="C305" s="20"/>
      <c r="D305" s="27"/>
    </row>
    <row r="306">
      <c r="B306" s="27"/>
      <c r="C306" s="20"/>
      <c r="D306" s="27"/>
    </row>
    <row r="307">
      <c r="B307" s="27"/>
      <c r="C307" s="20"/>
      <c r="D307" s="27"/>
    </row>
    <row r="308">
      <c r="A308" s="67"/>
      <c r="B308" s="158"/>
      <c r="C308" s="160"/>
      <c r="D308" s="158"/>
    </row>
    <row r="309">
      <c r="B309" s="23"/>
      <c r="D309" s="23"/>
    </row>
    <row r="310">
      <c r="B310" s="27"/>
      <c r="D310" s="23"/>
    </row>
    <row r="311">
      <c r="B311" s="27"/>
      <c r="C311" s="20"/>
      <c r="D311" s="27"/>
    </row>
    <row r="312">
      <c r="B312" s="27"/>
      <c r="C312" s="20"/>
      <c r="D312" s="27"/>
    </row>
    <row r="313">
      <c r="B313" s="27"/>
      <c r="C313" s="20"/>
      <c r="D313" s="27"/>
    </row>
    <row r="314">
      <c r="B314" s="27"/>
      <c r="C314" s="20"/>
      <c r="D314" s="27"/>
    </row>
    <row r="315">
      <c r="A315" s="67"/>
      <c r="B315" s="146"/>
      <c r="C315" s="160"/>
      <c r="D315" s="146"/>
    </row>
    <row r="316">
      <c r="B316" s="23"/>
      <c r="D316" s="23"/>
    </row>
    <row r="317">
      <c r="A317" s="9"/>
      <c r="C317" s="20"/>
    </row>
    <row r="318">
      <c r="B318" s="32"/>
      <c r="C318" s="20"/>
      <c r="D318" s="32"/>
    </row>
    <row r="319">
      <c r="B319" s="9"/>
      <c r="C319" s="20"/>
      <c r="D319" s="9"/>
    </row>
  </sheetData>
  <dataValidations>
    <dataValidation type="list" allowBlank="1" showErrorMessage="1" sqref="B1 D1 F1 H1">
      <formula1>"Feito,Não,Atual"</formula1>
    </dataValidation>
    <dataValidation type="custom" allowBlank="1" showDropDown="1" sqref="B143:B151 D143:E151">
      <formula1>AND(ISNUMBER(B143),(NOT(OR(NOT(ISERROR(DATEVALUE(B143))), AND(ISNUMBER(B143), LEFT(CELL("format", B143))="D")))))</formula1>
    </dataValidation>
  </dataValidations>
  <drawing r:id="rId2"/>
  <legacyDrawing r:id="rId3"/>
  <tableParts count="1">
    <tablePart r:id="rId5"/>
  </tableParts>
</worksheet>
</file>