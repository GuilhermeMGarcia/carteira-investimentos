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Eficiencia" sheetId="2" r:id="rId6"/>
    <sheet state="visible" name="Decio_Bazin" sheetId="3" r:id="rId7"/>
    <sheet state="visible" name="Indicadores" sheetId="4" r:id="rId8"/>
    <sheet state="visible" name="Aporte" sheetId="5" r:id="rId9"/>
    <sheet state="visible" name="grafico" sheetId="6" r:id="rId10"/>
    <sheet state="visible" name="FERIADOS" sheetId="7" r:id="rId11"/>
    <sheet state="visible" name="Status_Script" sheetId="8" r:id="rId12"/>
  </sheets>
  <definedNames/>
  <calcPr/>
</workbook>
</file>

<file path=xl/sharedStrings.xml><?xml version="1.0" encoding="utf-8"?>
<sst xmlns="http://schemas.openxmlformats.org/spreadsheetml/2006/main" count="696" uniqueCount="243">
  <si>
    <t>Título</t>
  </si>
  <si>
    <t>Perfomance</t>
  </si>
  <si>
    <t>Taxa de Compra</t>
  </si>
  <si>
    <t>Y Mensal Consolidado</t>
  </si>
  <si>
    <t>YMC_Media</t>
  </si>
  <si>
    <t>Preço_Uni</t>
  </si>
  <si>
    <t>Taxa de Resgate</t>
  </si>
  <si>
    <t>Y_Anual_FIIs</t>
  </si>
  <si>
    <t>Preço Unitário de Resgate</t>
  </si>
  <si>
    <t>Y Mensal FIIs</t>
  </si>
  <si>
    <t>YMF_Media</t>
  </si>
  <si>
    <t>Data/Hora da Atualização</t>
  </si>
  <si>
    <t>% Ganho Capital</t>
  </si>
  <si>
    <t>Data do Vencimento</t>
  </si>
  <si>
    <t>Renda</t>
  </si>
  <si>
    <t>valor</t>
  </si>
  <si>
    <t>Tesouro IPCA+ 2029</t>
  </si>
  <si>
    <t>Fii</t>
  </si>
  <si>
    <t>Media_DPA_3Anos</t>
  </si>
  <si>
    <t>Anos_Media</t>
  </si>
  <si>
    <t>Ano</t>
  </si>
  <si>
    <t>LPC</t>
  </si>
  <si>
    <t>Selic</t>
  </si>
  <si>
    <t>Tesouro IPCA+ 2032</t>
  </si>
  <si>
    <t>KNRI11</t>
  </si>
  <si>
    <t>IPCA</t>
  </si>
  <si>
    <t>Tesouro IPCA+ 2040</t>
  </si>
  <si>
    <t>Ano_1</t>
  </si>
  <si>
    <t>Juros_Real</t>
  </si>
  <si>
    <t>PMLL11</t>
  </si>
  <si>
    <t>Ano_2</t>
  </si>
  <si>
    <t>Tesouro Renda+ Aposentadoria Extra 2065</t>
  </si>
  <si>
    <t>XPLG11</t>
  </si>
  <si>
    <t>Total Proventos</t>
  </si>
  <si>
    <t>FIIs_Provento</t>
  </si>
  <si>
    <t>Tesouro Selic 2031</t>
  </si>
  <si>
    <t>Valor Aplicado</t>
  </si>
  <si>
    <t>Valor Bruto</t>
  </si>
  <si>
    <t>Ano_3</t>
  </si>
  <si>
    <t>Ganho Capital</t>
  </si>
  <si>
    <t>BTLG11</t>
  </si>
  <si>
    <t>Total</t>
  </si>
  <si>
    <t>HGBS11</t>
  </si>
  <si>
    <t>Proventos pagos</t>
  </si>
  <si>
    <t>GGRC11</t>
  </si>
  <si>
    <t>PORD11</t>
  </si>
  <si>
    <t>Ticker</t>
  </si>
  <si>
    <t>BRCO11</t>
  </si>
  <si>
    <t>Valor</t>
  </si>
  <si>
    <t>Está barato?</t>
  </si>
  <si>
    <t>GARE11</t>
  </si>
  <si>
    <t>BBAS3</t>
  </si>
  <si>
    <t>MXRF11</t>
  </si>
  <si>
    <t>HGLG11</t>
  </si>
  <si>
    <t>HGRU11</t>
  </si>
  <si>
    <t>BBSE3</t>
  </si>
  <si>
    <t>PCIP11</t>
  </si>
  <si>
    <t>VALE3</t>
  </si>
  <si>
    <t>TAEE11</t>
  </si>
  <si>
    <t xml:space="preserve">Rentabilidade Mensal da Carteira FIIs:  </t>
  </si>
  <si>
    <t>Feito</t>
  </si>
  <si>
    <t>Atual</t>
  </si>
  <si>
    <t>Não</t>
  </si>
  <si>
    <t>ITUB3</t>
  </si>
  <si>
    <t xml:space="preserve">Rentabilidade Anualizado da Carteira FIIs:  </t>
  </si>
  <si>
    <t xml:space="preserve">Rentabilidade Acumulado da Carteira FIIs:  </t>
  </si>
  <si>
    <t>Jan</t>
  </si>
  <si>
    <t>Fev</t>
  </si>
  <si>
    <t>Mar</t>
  </si>
  <si>
    <t>Abr</t>
  </si>
  <si>
    <t>Mai</t>
  </si>
  <si>
    <t>Jun</t>
  </si>
  <si>
    <t>Jul</t>
  </si>
  <si>
    <t>PETR4</t>
  </si>
  <si>
    <t>Ago</t>
  </si>
  <si>
    <t>Set</t>
  </si>
  <si>
    <t>Out</t>
  </si>
  <si>
    <t>Nov</t>
  </si>
  <si>
    <t>Dez</t>
  </si>
  <si>
    <t>Fundo</t>
  </si>
  <si>
    <t>Segmento</t>
  </si>
  <si>
    <t>Classificação de Risco</t>
  </si>
  <si>
    <t>Qtidade Cotas Atual</t>
  </si>
  <si>
    <t>Preço Médio</t>
  </si>
  <si>
    <t>Cotação Atual</t>
  </si>
  <si>
    <t>Yield on Cost (YoC)</t>
  </si>
  <si>
    <t>Valorização</t>
  </si>
  <si>
    <t>Rentabilidade</t>
  </si>
  <si>
    <t>Qtidade de Cotas no Mês</t>
  </si>
  <si>
    <t>Dividendos  (por cota)</t>
  </si>
  <si>
    <t>Proventos Recebidos</t>
  </si>
  <si>
    <t>WEGE3</t>
  </si>
  <si>
    <t>Logística</t>
  </si>
  <si>
    <t>Oportunidade</t>
  </si>
  <si>
    <t>BRBI11</t>
  </si>
  <si>
    <t>CMIG4</t>
  </si>
  <si>
    <t>69,00</t>
  </si>
  <si>
    <t>79</t>
  </si>
  <si>
    <t>LVBI11</t>
  </si>
  <si>
    <t>Ancoragem</t>
  </si>
  <si>
    <t>ISAE4</t>
  </si>
  <si>
    <t>SAPR4</t>
  </si>
  <si>
    <t>Renda Urbana</t>
  </si>
  <si>
    <t>87</t>
  </si>
  <si>
    <t>ticker</t>
  </si>
  <si>
    <t>setor</t>
  </si>
  <si>
    <t>peso</t>
  </si>
  <si>
    <t>financeiro</t>
  </si>
  <si>
    <t>Setor</t>
  </si>
  <si>
    <t>% do total</t>
  </si>
  <si>
    <t>Total Investido</t>
  </si>
  <si>
    <t>4</t>
  </si>
  <si>
    <t>Shoppings</t>
  </si>
  <si>
    <t>Banco</t>
  </si>
  <si>
    <t>CRI</t>
  </si>
  <si>
    <t>Financeiro</t>
  </si>
  <si>
    <t>Log/Laje</t>
  </si>
  <si>
    <t>Seguradora</t>
  </si>
  <si>
    <t>Energia</t>
  </si>
  <si>
    <t>Proventos:</t>
  </si>
  <si>
    <t>YoC Mensal:</t>
  </si>
  <si>
    <t>Commodities</t>
  </si>
  <si>
    <t>YoC Anualizado:</t>
  </si>
  <si>
    <t>Cresc.</t>
  </si>
  <si>
    <t>Calculo de Emissao</t>
  </si>
  <si>
    <t>Preço depois da Emissão</t>
  </si>
  <si>
    <t>P/VP depois da Emissão</t>
  </si>
  <si>
    <t>Nome_FIIs</t>
  </si>
  <si>
    <t>Preço Fechamento</t>
  </si>
  <si>
    <t>Percentual de Emissão</t>
  </si>
  <si>
    <t>Preço da Sub</t>
  </si>
  <si>
    <t>P/VP</t>
  </si>
  <si>
    <t>Calculadora de Arbitragem</t>
  </si>
  <si>
    <t>Manual</t>
  </si>
  <si>
    <t>Nome_Fiis</t>
  </si>
  <si>
    <t>Calculadora de Flipagem Para novo P/VP</t>
  </si>
  <si>
    <t>Qtd_Cota</t>
  </si>
  <si>
    <t>%_De_Cota_Emissão</t>
  </si>
  <si>
    <t>Direito_QTD_Cota</t>
  </si>
  <si>
    <t>Valor_Mercado</t>
  </si>
  <si>
    <t>Valor_Da_Emissão</t>
  </si>
  <si>
    <t>IR</t>
  </si>
  <si>
    <t>Valor_IR</t>
  </si>
  <si>
    <t>Lucro_Bruto</t>
  </si>
  <si>
    <t>P/VP Desejavel</t>
  </si>
  <si>
    <t>Lucro_Liquido</t>
  </si>
  <si>
    <t>Saneamento</t>
  </si>
  <si>
    <t>Calculo se Compensa Arbitragem</t>
  </si>
  <si>
    <t>Rendimento</t>
  </si>
  <si>
    <t>Rendimento_2M</t>
  </si>
  <si>
    <t>Lucro</t>
  </si>
  <si>
    <t>Lucro_em_M</t>
  </si>
  <si>
    <t>Calculo se Compensa Flipagem</t>
  </si>
  <si>
    <t>Calculadora Venda de Direito</t>
  </si>
  <si>
    <t>Preço_Direito</t>
  </si>
  <si>
    <t>Qtd_Direito</t>
  </si>
  <si>
    <t>Oque compensa -------------------&gt;</t>
  </si>
  <si>
    <t>Industria</t>
  </si>
  <si>
    <t>ITSA4</t>
  </si>
  <si>
    <t>Total Ações</t>
  </si>
  <si>
    <t>Total FIIs</t>
  </si>
  <si>
    <t>Total investido</t>
  </si>
  <si>
    <t>Sub_Setor</t>
  </si>
  <si>
    <t>% do Total</t>
  </si>
  <si>
    <t>Log</t>
  </si>
  <si>
    <t>Shopp</t>
  </si>
  <si>
    <t>NTNB</t>
  </si>
  <si>
    <t>Renda_Urbana</t>
  </si>
  <si>
    <t>Papel</t>
  </si>
  <si>
    <t>Renda_Fixa</t>
  </si>
  <si>
    <t>Internacional</t>
  </si>
  <si>
    <t>Cripto</t>
  </si>
  <si>
    <t>Nome</t>
  </si>
  <si>
    <t>Tesouro Renda</t>
  </si>
  <si>
    <t>Status</t>
  </si>
  <si>
    <t>Data/Hora</t>
  </si>
  <si>
    <t>Selic_IPCA</t>
  </si>
  <si>
    <t>OK ✅</t>
  </si>
  <si>
    <t>Titulos_IPCA</t>
  </si>
  <si>
    <t>Feriados</t>
  </si>
  <si>
    <t>Etfs</t>
  </si>
  <si>
    <t>Saldo Atual</t>
  </si>
  <si>
    <t>Posição</t>
  </si>
  <si>
    <t>Renda Urb/Log</t>
  </si>
  <si>
    <t>Lajes/Log</t>
  </si>
  <si>
    <t>Tipo</t>
  </si>
  <si>
    <t>Capital</t>
  </si>
  <si>
    <t>Peso(%)</t>
  </si>
  <si>
    <t>Peso Ideal</t>
  </si>
  <si>
    <t>Ações Nacionais</t>
  </si>
  <si>
    <t>TICKER</t>
  </si>
  <si>
    <t>FCFE_KE</t>
  </si>
  <si>
    <t>Excess_Return</t>
  </si>
  <si>
    <t>TIR</t>
  </si>
  <si>
    <t>FIIs</t>
  </si>
  <si>
    <t>QTD</t>
  </si>
  <si>
    <t>Ação</t>
  </si>
  <si>
    <t>Peso</t>
  </si>
  <si>
    <t>Nota</t>
  </si>
  <si>
    <t>MG_FCFE</t>
  </si>
  <si>
    <t>P/Teto</t>
  </si>
  <si>
    <t>Margen</t>
  </si>
  <si>
    <t>Preço mercado</t>
  </si>
  <si>
    <t>ITUB4</t>
  </si>
  <si>
    <t>VP/Cota</t>
  </si>
  <si>
    <t>Justo</t>
  </si>
  <si>
    <t>Div/12</t>
  </si>
  <si>
    <t>LPC 3 anos</t>
  </si>
  <si>
    <t>Rend_Cota</t>
  </si>
  <si>
    <t>Rendimento_Total</t>
  </si>
  <si>
    <t>Spread</t>
  </si>
  <si>
    <t>Taxa_Total</t>
  </si>
  <si>
    <t>P/M</t>
  </si>
  <si>
    <t>Financeiro_P/M</t>
  </si>
  <si>
    <t>qtd</t>
  </si>
  <si>
    <t>% Peso</t>
  </si>
  <si>
    <t>CDI_Bruto</t>
  </si>
  <si>
    <t>CDI_Liquido</t>
  </si>
  <si>
    <t>Retorno(%)</t>
  </si>
  <si>
    <t>Data da Aplicação</t>
  </si>
  <si>
    <t>Hoje</t>
  </si>
  <si>
    <t>Dia_Corridos</t>
  </si>
  <si>
    <t>Redimento</t>
  </si>
  <si>
    <t xml:space="preserve">CDI Diário (%)        </t>
  </si>
  <si>
    <t>CDB</t>
  </si>
  <si>
    <t>LFTB11</t>
  </si>
  <si>
    <t>Tesouro Selic</t>
  </si>
  <si>
    <t>preço</t>
  </si>
  <si>
    <t>Rent_Bruta</t>
  </si>
  <si>
    <t>Rent_Liq</t>
  </si>
  <si>
    <t>Etf</t>
  </si>
  <si>
    <t>financeiro ($)</t>
  </si>
  <si>
    <t>Dolar/REAL</t>
  </si>
  <si>
    <t>DIA</t>
  </si>
  <si>
    <t>XBOX</t>
  </si>
  <si>
    <t>SPXB11</t>
  </si>
  <si>
    <t>USD</t>
  </si>
  <si>
    <t>Investido R$</t>
  </si>
  <si>
    <t>% investido</t>
  </si>
  <si>
    <t>Preço medio</t>
  </si>
  <si>
    <t>Perda</t>
  </si>
  <si>
    <t>BTC</t>
  </si>
  <si>
    <t>USDT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</si>
</sst>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R$ -416]#,##0.00"/>
    <numFmt numFmtId="165" formatCode="dd/MM/yyyy HH:mm:ss"/>
    <numFmt numFmtId="166" formatCode="0.0%"/>
    <numFmt numFmtId="167" formatCode="mmm/d"/>
    <numFmt numFmtId="168" formatCode="mmmm&quot; de &quot;yy"/>
    <numFmt numFmtId="169" formatCode="dd/mm/yyyy"/>
    <numFmt numFmtId="170" formatCode="m/d/yyyy h:mm:ss"/>
    <numFmt numFmtId="171" formatCode="[$$]#,##0.00"/>
    <numFmt numFmtId="172" formatCode="[$$]#,##0.000"/>
    <numFmt numFmtId="173" formatCode="dd/MM/yyyy"/>
    <numFmt numFmtId="174" formatCode="[$R$ -416]#,##0.000"/>
    <numFmt numFmtId="175" formatCode="0.000%"/>
  </numFmts>
  <fonts count="3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FFFF"/>
      <name val="Arial"/>
      <scheme val="minor"/>
    </font>
    <font>
      <b/>
      <color rgb="FF00FFFF"/>
      <name val="Arial"/>
      <scheme val="minor"/>
    </font>
    <font/>
    <font>
      <b/>
      <sz val="9.0"/>
      <color rgb="FF00FFFF"/>
      <name val="Nunito"/>
    </font>
    <font>
      <b/>
      <sz val="9.0"/>
      <color theme="1"/>
      <name val="Nunito"/>
    </font>
    <font>
      <b/>
      <sz val="11.0"/>
      <color rgb="FF00FFFF"/>
      <name val="Calibri"/>
    </font>
    <font>
      <b/>
      <sz val="11.0"/>
      <color theme="1"/>
      <name val="Calibri"/>
    </font>
    <font>
      <b/>
      <sz val="9.0"/>
      <color rgb="FF000000"/>
      <name val="Nunito"/>
    </font>
    <font>
      <sz val="9.0"/>
      <color rgb="FF000000"/>
      <name val="Nunito"/>
    </font>
    <font>
      <sz val="9.0"/>
      <color theme="1"/>
      <name val="Nunito"/>
    </font>
    <font>
      <b/>
      <i/>
      <color rgb="FF000000"/>
      <name val="Arial"/>
      <scheme val="minor"/>
    </font>
    <font>
      <b/>
      <sz val="8.0"/>
      <color rgb="FF00FFFF"/>
      <name val="Arial"/>
    </font>
    <font>
      <b/>
      <sz val="8.0"/>
      <color theme="1"/>
      <name val="Arial"/>
    </font>
    <font>
      <color rgb="FFFFFFFF"/>
      <name val="Arial"/>
      <scheme val="minor"/>
    </font>
    <font>
      <b/>
      <color rgb="FF434343"/>
      <name val="Roboto"/>
    </font>
    <font>
      <color rgb="FF00FF00"/>
      <name val="Arial"/>
      <scheme val="minor"/>
    </font>
    <font>
      <b/>
      <color rgb="FF00FF00"/>
      <name val="Arial"/>
      <scheme val="minor"/>
    </font>
    <font>
      <b/>
      <sz val="12.0"/>
      <color rgb="FF000000"/>
      <name val="Arial"/>
      <scheme val="minor"/>
    </font>
    <font>
      <b/>
      <sz val="10.0"/>
      <color rgb="FF000000"/>
      <name val="Arial"/>
      <scheme val="minor"/>
    </font>
    <font>
      <b/>
      <color rgb="FF000000"/>
      <name val="Roboto"/>
    </font>
    <font>
      <b/>
      <sz val="10.0"/>
      <color rgb="FF000000"/>
      <name val="Roboto"/>
    </font>
    <font>
      <b/>
      <sz val="12.0"/>
      <color rgb="FF000000"/>
      <name val="Roboto"/>
    </font>
    <font>
      <b/>
      <color theme="1"/>
      <name val="Roboto"/>
    </font>
    <font>
      <b/>
      <color rgb="FF000000"/>
      <name val="Arial"/>
    </font>
    <font>
      <b/>
      <sz val="12.0"/>
      <color theme="1"/>
      <name val="Roboto"/>
    </font>
    <font>
      <color rgb="FF000000"/>
      <name val="Arial"/>
    </font>
    <font>
      <b/>
      <sz val="9.0"/>
      <color rgb="FF000000"/>
      <name val="&quot;Google Sans Mono&quot;"/>
    </font>
    <font>
      <color rgb="FF000000"/>
      <name val="Arial"/>
      <scheme val="minor"/>
    </font>
    <font>
      <sz val="9.0"/>
      <color rgb="FF000000"/>
      <name val="&quot;Google Sans Mono&quot;"/>
    </font>
    <font>
      <color rgb="FF434343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0FFFF"/>
        <bgColor rgb="FFF0FFFF"/>
      </patternFill>
    </fill>
    <fill>
      <patternFill patternType="solid">
        <fgColor rgb="FFFFF2CC"/>
        <bgColor rgb="FFFFF2CC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284E3F"/>
      </left>
      <right style="thin">
        <color rgb="FFCCCCCC"/>
      </right>
      <top style="thin">
        <color rgb="FFCCCCCC"/>
      </top>
      <bottom style="thin">
        <color rgb="FF284E3F"/>
      </bottom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284E3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</border>
    <border>
      <left style="double">
        <color rgb="FFFFFFFF"/>
      </left>
      <right style="double">
        <color rgb="FFFFFFFF"/>
      </right>
      <top style="double">
        <color rgb="FFFFFFFF"/>
      </top>
    </border>
    <border>
      <right style="double">
        <color rgb="FFFFFFFF"/>
      </right>
      <top style="double">
        <color rgb="FFFFFFFF"/>
      </top>
    </border>
    <border>
      <left style="double">
        <color rgb="FFFFFFFF"/>
      </left>
      <top style="double">
        <color rgb="FFFFFFFF"/>
      </top>
      <bottom style="double">
        <color rgb="FFFFFFFF"/>
      </bottom>
    </border>
    <border>
      <right style="double">
        <color rgb="FFFFFFFF"/>
      </right>
      <top style="double">
        <color rgb="FFFFFFFF"/>
      </top>
      <bottom style="double">
        <color rgb="FFFFFFFF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284E3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10" xfId="0" applyAlignment="1" applyFill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10" xfId="0" applyAlignment="1" applyBorder="1" applyFill="1" applyFont="1" applyNumberFormat="1">
      <alignment horizontal="right" shrinkToFit="0" vertical="center" wrapText="0"/>
    </xf>
    <xf borderId="0" fillId="0" fontId="2" numFmtId="0" xfId="0" applyAlignment="1" applyFont="1">
      <alignment vertical="bottom"/>
    </xf>
    <xf borderId="0" fillId="0" fontId="2" numFmtId="167" xfId="0" applyAlignment="1" applyFont="1" applyNumberFormat="1">
      <alignment horizontal="right" vertical="bottom"/>
    </xf>
    <xf borderId="0" fillId="4" fontId="2" numFmtId="164" xfId="0" applyAlignment="1" applyFill="1" applyFont="1" applyNumberFormat="1">
      <alignment horizontal="right" vertical="bottom"/>
    </xf>
    <xf borderId="0" fillId="4" fontId="2" numFmtId="164" xfId="0" applyAlignment="1" applyFill="1" applyFont="1" applyNumberFormat="1">
      <alignment horizontal="right" vertical="bottom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vertical="bottom"/>
    </xf>
    <xf borderId="0" fillId="0" fontId="2" numFmtId="10" xfId="0" applyAlignment="1" applyFont="1" applyNumberFormat="1">
      <alignment vertical="bottom"/>
    </xf>
    <xf borderId="0" fillId="0" fontId="1" numFmtId="0" xfId="0" applyFont="1"/>
    <xf borderId="0" fillId="5" fontId="5" numFmtId="0" xfId="0" applyAlignment="1" applyFill="1" applyFont="1">
      <alignment shrinkToFit="0" vertical="bottom" wrapText="0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4" fontId="2" numFmtId="167" xfId="0" applyAlignment="1" applyFill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4" fontId="2" numFmtId="10" xfId="0" applyAlignment="1" applyFill="1" applyFont="1" applyNumberFormat="1">
      <alignment vertical="bottom"/>
    </xf>
    <xf borderId="0" fillId="0" fontId="1" numFmtId="0" xfId="0" applyAlignment="1" applyFont="1">
      <alignment horizontal="center" shrinkToFit="0" vertical="center" wrapText="0"/>
    </xf>
    <xf borderId="0" fillId="0" fontId="2" numFmtId="168" xfId="0" applyAlignment="1" applyFont="1" applyNumberFormat="1">
      <alignment horizontal="right" readingOrder="0" vertical="bottom"/>
    </xf>
    <xf borderId="0" fillId="0" fontId="2" numFmtId="168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vertical="bottom"/>
    </xf>
    <xf borderId="0" fillId="0" fontId="1" numFmtId="4" xfId="0" applyFont="1" applyNumberFormat="1"/>
    <xf borderId="0" fillId="0" fontId="2" numFmtId="0" xfId="0" applyAlignment="1" applyFont="1">
      <alignment horizontal="center" readingOrder="0" vertical="bottom"/>
    </xf>
    <xf borderId="0" fillId="0" fontId="5" numFmtId="10" xfId="0" applyAlignment="1" applyFont="1" applyNumberFormat="1">
      <alignment horizontal="right"/>
    </xf>
    <xf borderId="0" fillId="5" fontId="5" numFmtId="0" xfId="0" applyAlignment="1" applyFill="1" applyFont="1">
      <alignment readingOrder="0" shrinkToFit="0" vertical="bottom" wrapText="0"/>
    </xf>
    <xf borderId="0" fillId="0" fontId="1" numFmtId="10" xfId="0" applyFont="1" applyNumberFormat="1"/>
    <xf borderId="0" fillId="6" fontId="1" numFmtId="10" xfId="0" applyFill="1" applyFont="1" applyNumberFormat="1"/>
    <xf borderId="0" fillId="6" fontId="6" numFmtId="0" xfId="0" applyAlignment="1" applyFill="1" applyFont="1">
      <alignment readingOrder="0"/>
    </xf>
    <xf borderId="0" fillId="6" fontId="7" numFmtId="10" xfId="0" applyAlignment="1" applyFill="1" applyFont="1" applyNumberFormat="1">
      <alignment horizontal="right"/>
    </xf>
    <xf borderId="0" fillId="6" fontId="1" numFmtId="0" xfId="0" applyFill="1" applyFont="1"/>
    <xf borderId="0" fillId="6" fontId="1" numFmtId="0" xfId="0" applyAlignment="1" applyFill="1" applyFont="1">
      <alignment readingOrder="0"/>
    </xf>
    <xf borderId="0" fillId="6" fontId="6" numFmtId="10" xfId="0" applyFill="1" applyFont="1" applyNumberFormat="1"/>
    <xf borderId="3" fillId="7" fontId="2" numFmtId="0" xfId="0" applyAlignment="1" applyBorder="1" applyFill="1" applyFont="1">
      <alignment horizontal="center" readingOrder="0" vertical="bottom"/>
    </xf>
    <xf borderId="3" fillId="0" fontId="8" numFmtId="0" xfId="0" applyBorder="1" applyFont="1"/>
    <xf borderId="4" fillId="0" fontId="8" numFmtId="0" xfId="0" applyBorder="1" applyFont="1"/>
    <xf borderId="5" fillId="6" fontId="9" numFmtId="164" xfId="0" applyAlignment="1" applyBorder="1" applyFill="1" applyFont="1" applyNumberFormat="1">
      <alignment horizontal="center" readingOrder="0" shrinkToFit="0" vertical="center" wrapText="0"/>
    </xf>
    <xf borderId="5" fillId="6" fontId="9" numFmtId="164" xfId="0" applyAlignment="1" applyBorder="1" applyFill="1" applyFont="1" applyNumberFormat="1">
      <alignment horizontal="center" shrinkToFit="0" vertical="center" wrapText="0"/>
    </xf>
    <xf borderId="5" fillId="6" fontId="9" numFmtId="164" xfId="0" applyAlignment="1" applyBorder="1" applyFill="1" applyFont="1" applyNumberFormat="1">
      <alignment horizontal="center" readingOrder="0" shrinkToFit="0" vertical="center" wrapText="1"/>
    </xf>
    <xf borderId="5" fillId="6" fontId="9" numFmtId="164" xfId="0" applyAlignment="1" applyBorder="1" applyFill="1" applyFont="1" applyNumberFormat="1">
      <alignment horizontal="center" shrinkToFit="0" vertical="center" wrapText="1"/>
    </xf>
    <xf borderId="5" fillId="7" fontId="10" numFmtId="164" xfId="0" applyAlignment="1" applyBorder="1" applyFill="1" applyFont="1" applyNumberFormat="1">
      <alignment horizontal="center" readingOrder="0" shrinkToFit="0" vertical="center" wrapText="1"/>
    </xf>
    <xf borderId="6" fillId="6" fontId="11" numFmtId="164" xfId="0" applyAlignment="1" applyBorder="1" applyFill="1" applyFont="1" applyNumberFormat="1">
      <alignment horizontal="center" readingOrder="0" shrinkToFit="0" vertical="center" wrapText="1"/>
    </xf>
    <xf borderId="6" fillId="7" fontId="12" numFmtId="164" xfId="0" applyAlignment="1" applyBorder="1" applyFill="1" applyFont="1" applyNumberFormat="1">
      <alignment horizontal="center" readingOrder="0" shrinkToFit="0" vertical="center" wrapText="1"/>
    </xf>
    <xf borderId="7" fillId="7" fontId="12" numFmtId="164" xfId="0" applyAlignment="1" applyBorder="1" applyFill="1" applyFont="1" applyNumberFormat="1">
      <alignment horizontal="center" readingOrder="0" shrinkToFit="0" vertical="center" wrapText="1"/>
    </xf>
    <xf borderId="6" fillId="6" fontId="11" numFmtId="164" xfId="0" applyAlignment="1" applyBorder="1" applyFill="1" applyFont="1" applyNumberFormat="1">
      <alignment horizontal="center" shrinkToFit="0" wrapText="1"/>
    </xf>
    <xf borderId="7" fillId="7" fontId="12" numFmtId="164" xfId="0" applyAlignment="1" applyBorder="1" applyFill="1" applyFont="1" applyNumberFormat="1">
      <alignment horizontal="center" shrinkToFit="0" wrapText="1"/>
    </xf>
    <xf borderId="8" fillId="8" fontId="5" numFmtId="0" xfId="0" applyAlignment="1" applyBorder="1" applyFill="1" applyFont="1">
      <alignment readingOrder="0"/>
    </xf>
    <xf borderId="8" fillId="8" fontId="13" numFmtId="0" xfId="0" applyAlignment="1" applyBorder="1" applyFill="1" applyFont="1">
      <alignment horizontal="right" readingOrder="0" vertical="center"/>
    </xf>
    <xf borderId="8" fillId="8" fontId="13" numFmtId="0" xfId="0" applyAlignment="1" applyBorder="1" applyFill="1" applyFont="1">
      <alignment horizontal="center" vertical="center"/>
    </xf>
    <xf borderId="8" fillId="8" fontId="14" numFmtId="164" xfId="0" applyAlignment="1" applyBorder="1" applyFill="1" applyFont="1" applyNumberFormat="1">
      <alignment horizontal="center" readingOrder="0" vertical="center"/>
    </xf>
    <xf borderId="8" fillId="8" fontId="14" numFmtId="164" xfId="0" applyAlignment="1" applyBorder="1" applyFill="1" applyFont="1" applyNumberFormat="1">
      <alignment horizontal="center" vertical="center"/>
    </xf>
    <xf borderId="8" fillId="8" fontId="14" numFmtId="10" xfId="0" applyAlignment="1" applyBorder="1" applyFill="1" applyFont="1" applyNumberFormat="1">
      <alignment horizontal="center" vertical="center"/>
    </xf>
    <xf borderId="8" fillId="8" fontId="14" numFmtId="0" xfId="0" applyAlignment="1" applyBorder="1" applyFill="1" applyFont="1">
      <alignment horizontal="center" readingOrder="0" vertical="center"/>
    </xf>
    <xf borderId="8" fillId="9" fontId="14" numFmtId="164" xfId="0" applyAlignment="1" applyBorder="1" applyFill="1" applyFont="1" applyNumberFormat="1">
      <alignment horizontal="center" readingOrder="0" vertical="center"/>
    </xf>
    <xf borderId="8" fillId="8" fontId="15" numFmtId="164" xfId="0" applyAlignment="1" applyBorder="1" applyFill="1" applyFont="1" applyNumberFormat="1">
      <alignment horizontal="center"/>
    </xf>
    <xf borderId="8" fillId="8" fontId="14" numFmtId="49" xfId="0" applyAlignment="1" applyBorder="1" applyFill="1" applyFont="1" applyNumberFormat="1">
      <alignment horizontal="center" readingOrder="0" vertical="center"/>
    </xf>
    <xf borderId="8" fillId="8" fontId="2" numFmtId="164" xfId="0" applyAlignment="1" applyBorder="1" applyFill="1" applyFont="1" applyNumberFormat="1">
      <alignment readingOrder="0" vertical="bottom"/>
    </xf>
    <xf borderId="0" fillId="5" fontId="16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0" fillId="4" fontId="4" numFmtId="10" xfId="0" applyAlignment="1" applyFill="1" applyFont="1" applyNumberFormat="1">
      <alignment shrinkToFit="0" vertical="center" wrapText="0"/>
    </xf>
    <xf borderId="0" fillId="4" fontId="4" numFmtId="164" xfId="0" applyAlignment="1" applyFill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8" fillId="8" fontId="14" numFmtId="49" xfId="0" applyAlignment="1" applyBorder="1" applyFill="1" applyFont="1" applyNumberFormat="1">
      <alignment horizontal="center" vertical="center"/>
    </xf>
    <xf borderId="8" fillId="8" fontId="2" numFmtId="164" xfId="0" applyBorder="1" applyFill="1" applyFont="1" applyNumberFormat="1"/>
    <xf borderId="0" fillId="4" fontId="5" numFmtId="0" xfId="0" applyAlignment="1" applyFill="1" applyFont="1">
      <alignment shrinkToFit="0" vertical="bottom" wrapText="0"/>
    </xf>
    <xf borderId="8" fillId="8" fontId="2" numFmtId="164" xfId="0" applyAlignment="1" applyBorder="1" applyFill="1" applyFont="1" applyNumberFormat="1">
      <alignment readingOrder="0"/>
    </xf>
    <xf borderId="9" fillId="8" fontId="14" numFmtId="0" xfId="0" applyAlignment="1" applyBorder="1" applyFill="1" applyFont="1">
      <alignment horizontal="center" readingOrder="0" vertical="center"/>
    </xf>
    <xf borderId="8" fillId="8" fontId="2" numFmtId="49" xfId="0" applyBorder="1" applyFill="1" applyFont="1" applyNumberFormat="1"/>
    <xf borderId="10" fillId="8" fontId="14" numFmtId="164" xfId="0" applyAlignment="1" applyBorder="1" applyFill="1" applyFont="1" applyNumberFormat="1">
      <alignment horizontal="center" vertical="center"/>
    </xf>
    <xf borderId="8" fillId="0" fontId="14" numFmtId="0" xfId="0" applyAlignment="1" applyBorder="1" applyFont="1">
      <alignment horizontal="center" vertical="center"/>
    </xf>
    <xf borderId="8" fillId="0" fontId="14" numFmtId="164" xfId="0" applyAlignment="1" applyBorder="1" applyFont="1" applyNumberFormat="1">
      <alignment horizontal="center" vertical="center"/>
    </xf>
    <xf borderId="8" fillId="0" fontId="14" numFmtId="10" xfId="0" applyAlignment="1" applyBorder="1" applyFont="1" applyNumberFormat="1">
      <alignment horizontal="center" vertical="center"/>
    </xf>
    <xf borderId="11" fillId="0" fontId="14" numFmtId="0" xfId="0" applyAlignment="1" applyBorder="1" applyFont="1">
      <alignment horizontal="center" vertical="center"/>
    </xf>
    <xf borderId="0" fillId="6" fontId="17" numFmtId="164" xfId="0" applyAlignment="1" applyFill="1" applyFont="1" applyNumberFormat="1">
      <alignment horizontal="center" shrinkToFit="0" vertical="center" wrapText="1"/>
    </xf>
    <xf borderId="11" fillId="8" fontId="14" numFmtId="0" xfId="0" applyAlignment="1" applyBorder="1" applyFill="1" applyFont="1">
      <alignment horizontal="center" readingOrder="0" vertical="center"/>
    </xf>
    <xf borderId="0" fillId="7" fontId="18" numFmtId="164" xfId="0" applyAlignment="1" applyFill="1" applyFont="1" applyNumberFormat="1">
      <alignment horizontal="center" shrinkToFit="0" vertical="center" wrapText="1"/>
    </xf>
    <xf borderId="12" fillId="8" fontId="14" numFmtId="0" xfId="0" applyAlignment="1" applyBorder="1" applyFill="1" applyFont="1">
      <alignment horizontal="center" readingOrder="0" vertical="center"/>
    </xf>
    <xf borderId="8" fillId="7" fontId="18" numFmtId="164" xfId="0" applyAlignment="1" applyBorder="1" applyFill="1" applyFont="1" applyNumberFormat="1">
      <alignment horizontal="center" shrinkToFit="0" vertical="center" wrapText="1"/>
    </xf>
    <xf borderId="8" fillId="0" fontId="19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2" numFmtId="0" xfId="0" applyBorder="1" applyFont="1"/>
    <xf borderId="8" fillId="7" fontId="18" numFmtId="164" xfId="0" applyAlignment="1" applyBorder="1" applyFill="1" applyFont="1" applyNumberFormat="1">
      <alignment horizontal="center" shrinkToFit="0" wrapText="1"/>
    </xf>
    <xf borderId="0" fillId="6" fontId="17" numFmtId="164" xfId="0" applyAlignment="1" applyFill="1" applyFont="1" applyNumberFormat="1">
      <alignment horizontal="center" readingOrder="0" shrinkToFit="0" vertical="center" wrapText="1"/>
    </xf>
    <xf borderId="0" fillId="7" fontId="18" numFmtId="10" xfId="0" applyAlignment="1" applyFill="1" applyFont="1" applyNumberFormat="1">
      <alignment horizontal="center" shrinkToFit="0" vertical="center" wrapText="1"/>
    </xf>
    <xf borderId="8" fillId="7" fontId="18" numFmtId="10" xfId="0" applyAlignment="1" applyBorder="1" applyFill="1" applyFont="1" applyNumberFormat="1">
      <alignment horizontal="center" shrinkToFit="0" vertical="center" wrapText="1"/>
    </xf>
    <xf borderId="8" fillId="7" fontId="2" numFmtId="10" xfId="0" applyBorder="1" applyFill="1" applyFont="1" applyNumberFormat="1"/>
    <xf borderId="0" fillId="0" fontId="1" numFmtId="164" xfId="0" applyAlignment="1" applyFont="1" applyNumberFormat="1">
      <alignment readingOrder="0"/>
    </xf>
    <xf borderId="0" fillId="4" fontId="5" numFmtId="0" xfId="0" applyAlignment="1" applyFill="1" applyFont="1">
      <alignment readingOrder="0" shrinkToFit="0" vertical="bottom" wrapText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0" fillId="4" fontId="4" numFmtId="0" xfId="0" applyAlignment="1" applyFill="1" applyFont="1">
      <alignment shrinkToFit="0" vertical="center" wrapText="0"/>
    </xf>
    <xf borderId="0" fillId="4" fontId="16" numFmtId="0" xfId="0" applyAlignment="1" applyFill="1" applyFont="1">
      <alignment readingOrder="0" shrinkToFit="0" vertical="center" wrapText="0"/>
    </xf>
    <xf borderId="0" fillId="4" fontId="20" numFmtId="0" xfId="0" applyAlignment="1" applyFill="1" applyFont="1">
      <alignment shrinkToFit="0" vertical="center" wrapText="0"/>
    </xf>
    <xf borderId="0" fillId="0" fontId="1" numFmtId="170" xfId="0" applyAlignment="1" applyFont="1" applyNumberFormat="1">
      <alignment readingOrder="0"/>
    </xf>
    <xf borderId="0" fillId="0" fontId="1" numFmtId="170" xfId="0" applyFont="1" applyNumberFormat="1"/>
    <xf borderId="0" fillId="0" fontId="1" numFmtId="0" xfId="0" applyAlignment="1" applyFont="1">
      <alignment horizontal="center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0" fontId="13" numFmtId="164" xfId="0" applyAlignment="1" applyFont="1" applyNumberFormat="1">
      <alignment horizontal="center" vertical="center"/>
    </xf>
    <xf borderId="0" fillId="0" fontId="13" numFmtId="10" xfId="0" applyAlignment="1" applyFont="1" applyNumberFormat="1">
      <alignment horizontal="center" vertical="center"/>
    </xf>
    <xf borderId="0" fillId="4" fontId="5" numFmtId="0" xfId="0" applyAlignment="1" applyFill="1" applyFont="1">
      <alignment readingOrder="0" shrinkToFit="0" vertical="center" wrapText="0"/>
    </xf>
    <xf borderId="0" fillId="4" fontId="13" numFmtId="0" xfId="0" applyAlignment="1" applyFill="1" applyFont="1">
      <alignment readingOrder="0" shrinkToFit="0" vertical="center" wrapText="0"/>
    </xf>
    <xf borderId="0" fillId="4" fontId="13" numFmtId="0" xfId="0" applyAlignment="1" applyFill="1" applyFont="1">
      <alignment horizontal="right" readingOrder="0" shrinkToFit="0" vertical="center" wrapText="0"/>
    </xf>
    <xf borderId="0" fillId="4" fontId="13" numFmtId="4" xfId="0" applyAlignment="1" applyFill="1" applyFont="1" applyNumberFormat="1">
      <alignment shrinkToFit="0" vertical="center" wrapText="0"/>
    </xf>
    <xf borderId="0" fillId="4" fontId="13" numFmtId="164" xfId="0" applyAlignment="1" applyFill="1" applyFont="1" applyNumberFormat="1">
      <alignment horizontal="center" shrinkToFit="0" vertical="center" wrapText="0"/>
    </xf>
    <xf borderId="0" fillId="4" fontId="13" numFmtId="164" xfId="0" applyAlignment="1" applyFill="1" applyFont="1" applyNumberFormat="1">
      <alignment horizontal="center" shrinkToFit="0" vertical="center" wrapText="0"/>
    </xf>
    <xf borderId="0" fillId="4" fontId="13" numFmtId="10" xfId="0" applyAlignment="1" applyFill="1" applyFont="1" applyNumberFormat="1">
      <alignment horizontal="center" shrinkToFit="0" vertical="center" wrapText="0"/>
    </xf>
    <xf borderId="0" fillId="4" fontId="13" numFmtId="0" xfId="0" applyAlignment="1" applyFill="1" applyFont="1">
      <alignment horizontal="center" shrinkToFit="0" vertical="center" wrapText="0"/>
    </xf>
    <xf borderId="0" fillId="6" fontId="5" numFmtId="164" xfId="0" applyAlignment="1" applyFill="1" applyFont="1" applyNumberFormat="1">
      <alignment readingOrder="0" vertical="bottom"/>
    </xf>
    <xf borderId="0" fillId="6" fontId="1" numFmtId="171" xfId="0" applyAlignment="1" applyFill="1" applyFont="1" applyNumberFormat="1">
      <alignment readingOrder="0"/>
    </xf>
    <xf borderId="0" fillId="6" fontId="1" numFmtId="164" xfId="0" applyFill="1" applyFont="1" applyNumberFormat="1"/>
    <xf borderId="13" fillId="6" fontId="21" numFmtId="0" xfId="0" applyAlignment="1" applyBorder="1" applyFill="1" applyFont="1">
      <alignment horizontal="center" readingOrder="0"/>
    </xf>
    <xf borderId="0" fillId="6" fontId="1" numFmtId="172" xfId="0" applyFill="1" applyFont="1" applyNumberFormat="1"/>
    <xf borderId="0" fillId="2" fontId="4" numFmtId="0" xfId="0" applyAlignment="1" applyFill="1" applyFont="1">
      <alignment readingOrder="0" shrinkToFit="0" vertical="center" wrapText="0"/>
    </xf>
    <xf borderId="0" fillId="2" fontId="4" numFmtId="4" xfId="0" applyAlignment="1" applyFill="1" applyFont="1" applyNumberFormat="1">
      <alignment readingOrder="0" shrinkToFit="0" vertical="center" wrapText="0"/>
    </xf>
    <xf borderId="0" fillId="2" fontId="4" numFmtId="10" xfId="0" applyAlignment="1" applyFill="1" applyFont="1" applyNumberFormat="1">
      <alignment shrinkToFit="0" vertical="center" wrapText="0"/>
    </xf>
    <xf borderId="0" fillId="2" fontId="4" numFmtId="10" xfId="0" applyAlignment="1" applyFill="1" applyFont="1" applyNumberFormat="1">
      <alignment readingOrder="0" shrinkToFit="0" vertical="center" wrapText="0"/>
    </xf>
    <xf borderId="13" fillId="6" fontId="21" numFmtId="10" xfId="0" applyAlignment="1" applyBorder="1" applyFill="1" applyFont="1" applyNumberFormat="1">
      <alignment horizontal="center"/>
    </xf>
    <xf borderId="0" fillId="6" fontId="21" numFmtId="0" xfId="0" applyFill="1" applyFont="1"/>
    <xf borderId="0" fillId="6" fontId="1" numFmtId="164" xfId="0" applyFill="1" applyFont="1" applyNumberFormat="1"/>
    <xf borderId="0" fillId="6" fontId="4" numFmtId="164" xfId="0" applyAlignment="1" applyFill="1" applyFont="1" applyNumberFormat="1">
      <alignment readingOrder="0"/>
    </xf>
    <xf borderId="0" fillId="2" fontId="4" numFmtId="4" xfId="0" applyAlignment="1" applyFill="1" applyFont="1" applyNumberFormat="1">
      <alignment shrinkToFit="0" vertical="center" wrapText="0"/>
    </xf>
    <xf borderId="0" fillId="6" fontId="1" numFmtId="0" xfId="0" applyFill="1" applyFont="1"/>
    <xf borderId="0" fillId="6" fontId="5" numFmtId="0" xfId="0" applyAlignment="1" applyFill="1" applyFont="1">
      <alignment readingOrder="0" vertical="bottom"/>
    </xf>
    <xf borderId="13" fillId="6" fontId="21" numFmtId="0" xfId="0" applyAlignment="1" applyBorder="1" applyFill="1" applyFont="1">
      <alignment horizontal="center" readingOrder="0" shrinkToFit="0" vertical="center" wrapText="0"/>
    </xf>
    <xf borderId="13" fillId="6" fontId="21" numFmtId="164" xfId="0" applyAlignment="1" applyBorder="1" applyFill="1" applyFont="1" applyNumberFormat="1">
      <alignment horizontal="center" shrinkToFit="0" vertical="center" wrapText="0"/>
    </xf>
    <xf borderId="13" fillId="6" fontId="21" numFmtId="10" xfId="0" applyAlignment="1" applyBorder="1" applyFill="1" applyFont="1" applyNumberFormat="1">
      <alignment shrinkToFit="0" vertical="center" wrapText="0"/>
    </xf>
    <xf borderId="13" fillId="6" fontId="21" numFmtId="10" xfId="0" applyAlignment="1" applyBorder="1" applyFill="1" applyFont="1" applyNumberFormat="1">
      <alignment horizontal="center" readingOrder="0"/>
    </xf>
    <xf borderId="14" fillId="2" fontId="20" numFmtId="0" xfId="0" applyAlignment="1" applyBorder="1" applyFill="1" applyFont="1">
      <alignment shrinkToFit="0" vertical="center" wrapText="0"/>
    </xf>
    <xf borderId="15" fillId="2" fontId="20" numFmtId="4" xfId="0" applyAlignment="1" applyBorder="1" applyFill="1" applyFont="1" applyNumberFormat="1">
      <alignment readingOrder="0" shrinkToFit="0" vertical="center" wrapText="0"/>
    </xf>
    <xf borderId="16" fillId="2" fontId="20" numFmtId="10" xfId="0" applyAlignment="1" applyBorder="1" applyFill="1" applyFont="1" applyNumberFormat="1">
      <alignment horizontal="right" shrinkToFit="0" vertical="center" wrapText="0"/>
    </xf>
    <xf borderId="0" fillId="2" fontId="20" numFmtId="10" xfId="0" applyAlignment="1" applyFill="1" applyFont="1" applyNumberFormat="1">
      <alignment horizontal="right" readingOrder="0" shrinkToFit="0" vertical="center" wrapText="0"/>
    </xf>
    <xf borderId="0" fillId="2" fontId="4" numFmtId="10" xfId="0" applyAlignment="1" applyFill="1" applyFont="1" applyNumberFormat="1">
      <alignment readingOrder="0" shrinkToFit="0" vertical="center" wrapText="0"/>
    </xf>
    <xf borderId="0" fillId="2" fontId="4" numFmtId="10" xfId="0" applyAlignment="1" applyFill="1" applyFont="1" applyNumberFormat="1">
      <alignment shrinkToFit="0" vertical="center" wrapText="0"/>
    </xf>
    <xf borderId="13" fillId="6" fontId="22" numFmtId="164" xfId="0" applyAlignment="1" applyBorder="1" applyFill="1" applyFont="1" applyNumberFormat="1">
      <alignment horizontal="center" readingOrder="0" shrinkToFit="0" vertical="center" wrapText="0"/>
    </xf>
    <xf borderId="0" fillId="6" fontId="21" numFmtId="0" xfId="0" applyFill="1" applyFont="1"/>
    <xf borderId="13" fillId="6" fontId="22" numFmtId="164" xfId="0" applyAlignment="1" applyBorder="1" applyFill="1" applyFont="1" applyNumberFormat="1">
      <alignment horizontal="center" readingOrder="0" shrinkToFit="0" vertical="bottom" wrapText="0"/>
    </xf>
    <xf borderId="13" fillId="6" fontId="22" numFmtId="10" xfId="0" applyAlignment="1" applyBorder="1" applyFill="1" applyFont="1" applyNumberFormat="1">
      <alignment readingOrder="0" shrinkToFit="0" vertical="center" wrapText="0"/>
    </xf>
    <xf borderId="0" fillId="6" fontId="22" numFmtId="0" xfId="0" applyAlignment="1" applyFill="1" applyFont="1">
      <alignment readingOrder="0" vertical="bottom"/>
    </xf>
    <xf borderId="0" fillId="6" fontId="22" numFmtId="164" xfId="0" applyAlignment="1" applyFill="1" applyFont="1" applyNumberFormat="1">
      <alignment readingOrder="0"/>
    </xf>
    <xf borderId="0" fillId="6" fontId="22" numFmtId="164" xfId="0" applyAlignment="1" applyFill="1" applyFont="1" applyNumberFormat="1">
      <alignment readingOrder="0"/>
    </xf>
    <xf borderId="0" fillId="6" fontId="1" numFmtId="0" xfId="0" applyAlignment="1" applyFill="1" applyFont="1">
      <alignment horizontal="center" readingOrder="0"/>
    </xf>
    <xf borderId="0" fillId="6" fontId="1" numFmtId="173" xfId="0" applyAlignment="1" applyFill="1" applyFont="1" applyNumberFormat="1">
      <alignment horizontal="right" readingOrder="0"/>
    </xf>
    <xf borderId="0" fillId="6" fontId="1" numFmtId="169" xfId="0" applyAlignment="1" applyFill="1" applyFont="1" applyNumberFormat="1">
      <alignment horizontal="left" readingOrder="0"/>
    </xf>
    <xf borderId="0" fillId="6" fontId="1" numFmtId="0" xfId="0" applyAlignment="1" applyFill="1" applyFont="1">
      <alignment horizontal="center"/>
    </xf>
    <xf borderId="0" fillId="6" fontId="22" numFmtId="0" xfId="0" applyAlignment="1" applyFill="1" applyFont="1">
      <alignment vertical="bottom"/>
    </xf>
    <xf borderId="0" fillId="6" fontId="1" numFmtId="173" xfId="0" applyAlignment="1" applyFill="1" applyFont="1" applyNumberFormat="1">
      <alignment horizontal="left"/>
    </xf>
    <xf borderId="0" fillId="6" fontId="1" numFmtId="49" xfId="0" applyAlignment="1" applyFill="1" applyFont="1" applyNumberFormat="1">
      <alignment readingOrder="0"/>
    </xf>
    <xf borderId="0" fillId="6" fontId="21" numFmtId="49" xfId="0" applyAlignment="1" applyFill="1" applyFont="1" applyNumberFormat="1">
      <alignment readingOrder="0"/>
    </xf>
    <xf borderId="0" fillId="6" fontId="21" numFmtId="0" xfId="0" applyAlignment="1" applyFill="1" applyFont="1">
      <alignment readingOrder="0"/>
    </xf>
    <xf borderId="0" fillId="6" fontId="21" numFmtId="0" xfId="0" applyAlignment="1" applyFill="1" applyFont="1">
      <alignment readingOrder="0"/>
    </xf>
    <xf borderId="0" fillId="5" fontId="5" numFmtId="0" xfId="0" applyAlignment="1" applyFill="1" applyFont="1">
      <alignment readingOrder="0" shrinkToFit="0" vertical="bottom" wrapText="0"/>
    </xf>
    <xf borderId="0" fillId="5" fontId="5" numFmtId="10" xfId="0" applyAlignment="1" applyFill="1" applyFont="1" applyNumberFormat="1">
      <alignment horizontal="center" shrinkToFit="0" vertical="center" wrapText="0"/>
    </xf>
    <xf borderId="0" fillId="5" fontId="23" numFmtId="0" xfId="0" applyAlignment="1" applyFill="1" applyFont="1">
      <alignment horizontal="center" readingOrder="0" shrinkToFit="0" vertical="center" wrapText="0"/>
    </xf>
    <xf borderId="0" fillId="5" fontId="24" numFmtId="10" xfId="0" applyAlignment="1" applyFill="1" applyFont="1" applyNumberFormat="1">
      <alignment horizontal="center" readingOrder="0" shrinkToFit="0" vertical="center" wrapText="0"/>
    </xf>
    <xf borderId="0" fillId="5" fontId="24" numFmtId="164" xfId="0" applyAlignment="1" applyFill="1" applyFont="1" applyNumberFormat="1">
      <alignment horizontal="center" shrinkToFit="0" vertical="center" wrapText="0"/>
    </xf>
    <xf borderId="0" fillId="5" fontId="24" numFmtId="164" xfId="0" applyAlignment="1" applyFill="1" applyFont="1" applyNumberFormat="1">
      <alignment shrinkToFit="0" vertical="center" wrapText="0"/>
    </xf>
    <xf borderId="0" fillId="5" fontId="24" numFmtId="10" xfId="0" applyAlignment="1" applyFill="1" applyFont="1" applyNumberFormat="1">
      <alignment readingOrder="0" shrinkToFit="0" vertical="center" wrapText="0"/>
    </xf>
    <xf borderId="0" fillId="5" fontId="24" numFmtId="10" xfId="0" applyAlignment="1" applyFill="1" applyFont="1" applyNumberFormat="1">
      <alignment readingOrder="0" shrinkToFit="0" vertical="center" wrapText="0"/>
    </xf>
    <xf borderId="0" fillId="5" fontId="24" numFmtId="164" xfId="0" applyAlignment="1" applyFill="1" applyFont="1" applyNumberFormat="1">
      <alignment horizontal="center" readingOrder="0" shrinkToFit="0" vertical="center" wrapText="0"/>
    </xf>
    <xf borderId="0" fillId="5" fontId="4" numFmtId="10" xfId="0" applyAlignment="1" applyFill="1" applyFont="1" applyNumberFormat="1">
      <alignment horizontal="right" shrinkToFit="0" vertical="center" wrapText="0"/>
    </xf>
    <xf borderId="0" fillId="5" fontId="25" numFmtId="0" xfId="0" applyAlignment="1" applyFill="1" applyFont="1">
      <alignment readingOrder="0" shrinkToFit="0" vertical="bottom" wrapText="0"/>
    </xf>
    <xf borderId="0" fillId="5" fontId="25" numFmtId="0" xfId="0" applyAlignment="1" applyFill="1" applyFont="1">
      <alignment readingOrder="0" shrinkToFit="0" vertical="bottom" wrapText="0"/>
    </xf>
    <xf borderId="0" fillId="5" fontId="26" numFmtId="10" xfId="0" applyAlignment="1" applyFill="1" applyFont="1" applyNumberFormat="1">
      <alignment horizontal="center" shrinkToFit="0" vertical="center" wrapText="0"/>
    </xf>
    <xf borderId="0" fillId="5" fontId="27" numFmtId="0" xfId="0" applyAlignment="1" applyFill="1" applyFont="1">
      <alignment horizontal="center" readingOrder="0" shrinkToFit="0" vertical="center" wrapText="0"/>
    </xf>
    <xf borderId="0" fillId="5" fontId="26" numFmtId="164" xfId="0" applyAlignment="1" applyFill="1" applyFont="1" applyNumberFormat="1">
      <alignment horizontal="center" readingOrder="0" shrinkToFit="0" vertical="center" wrapText="0"/>
    </xf>
    <xf borderId="0" fillId="5" fontId="26" numFmtId="164" xfId="0" applyAlignment="1" applyFill="1" applyFont="1" applyNumberFormat="1">
      <alignment readingOrder="0" shrinkToFit="0" vertical="center" wrapText="0"/>
    </xf>
    <xf borderId="0" fillId="5" fontId="28" numFmtId="164" xfId="0" applyAlignment="1" applyFill="1" applyFont="1" applyNumberFormat="1">
      <alignment horizontal="center" shrinkToFit="0" vertical="center" wrapText="0"/>
    </xf>
    <xf borderId="0" fillId="5" fontId="24" numFmtId="10" xfId="0" applyAlignment="1" applyFill="1" applyFont="1" applyNumberFormat="1">
      <alignment horizontal="center" shrinkToFit="0" vertical="center" wrapText="0"/>
    </xf>
    <xf borderId="0" fillId="5" fontId="29" numFmtId="0" xfId="0" applyAlignment="1" applyFill="1" applyFont="1">
      <alignment readingOrder="0" shrinkToFit="0" vertical="bottom" wrapText="0"/>
    </xf>
    <xf borderId="0" fillId="5" fontId="28" numFmtId="0" xfId="0" applyAlignment="1" applyFill="1" applyFont="1">
      <alignment horizontal="right" readingOrder="0" shrinkToFit="0" vertical="bottom" wrapText="0"/>
    </xf>
    <xf borderId="0" fillId="5" fontId="28" numFmtId="0" xfId="0" applyAlignment="1" applyFill="1" applyFont="1">
      <alignment readingOrder="0" shrinkToFit="0" vertical="bottom" wrapText="0"/>
    </xf>
    <xf borderId="0" fillId="5" fontId="28" numFmtId="10" xfId="0" applyAlignment="1" applyFill="1" applyFont="1" applyNumberFormat="1">
      <alignment horizontal="center" shrinkToFit="0" vertical="center" wrapText="0"/>
    </xf>
    <xf borderId="0" fillId="5" fontId="30" numFmtId="0" xfId="0" applyAlignment="1" applyFill="1" applyFont="1">
      <alignment horizontal="center" shrinkToFit="0" vertical="center" wrapText="0"/>
    </xf>
    <xf borderId="0" fillId="5" fontId="28" numFmtId="164" xfId="0" applyAlignment="1" applyFill="1" applyFont="1" applyNumberFormat="1">
      <alignment horizontal="right" shrinkToFit="0" vertical="center" wrapText="0"/>
    </xf>
    <xf borderId="0" fillId="5" fontId="28" numFmtId="10" xfId="0" applyAlignment="1" applyFill="1" applyFont="1" applyNumberFormat="1">
      <alignment horizontal="right" shrinkToFit="0" vertical="center" wrapText="0"/>
    </xf>
    <xf borderId="0" fillId="6" fontId="5" numFmtId="164" xfId="0" applyAlignment="1" applyFill="1" applyFont="1" applyNumberFormat="1">
      <alignment readingOrder="0"/>
    </xf>
    <xf borderId="0" fillId="5" fontId="28" numFmtId="0" xfId="0" applyAlignment="1" applyFill="1" applyFont="1">
      <alignment horizontal="right" shrinkToFit="0" vertical="bottom" wrapText="0"/>
    </xf>
    <xf borderId="0" fillId="5" fontId="28" numFmtId="0" xfId="0" applyAlignment="1" applyFill="1" applyFont="1">
      <alignment shrinkToFit="0" vertical="bottom" wrapText="0"/>
    </xf>
    <xf borderId="0" fillId="5" fontId="28" numFmtId="10" xfId="0" applyAlignment="1" applyFill="1" applyFont="1" applyNumberFormat="1">
      <alignment horizontal="right" readingOrder="0" shrinkToFit="0" vertical="center" wrapText="0"/>
    </xf>
    <xf borderId="0" fillId="6" fontId="5" numFmtId="10" xfId="0" applyAlignment="1" applyFill="1" applyFont="1" applyNumberFormat="1">
      <alignment horizontal="center" readingOrder="0"/>
    </xf>
    <xf borderId="0" fillId="6" fontId="5" numFmtId="174" xfId="0" applyAlignment="1" applyFill="1" applyFont="1" applyNumberFormat="1">
      <alignment readingOrder="0"/>
    </xf>
    <xf borderId="0" fillId="6" fontId="5" numFmtId="0" xfId="0" applyAlignment="1" applyFill="1" applyFont="1">
      <alignment readingOrder="0" vertical="bottom"/>
    </xf>
    <xf borderId="0" fillId="6" fontId="24" numFmtId="10" xfId="0" applyAlignment="1" applyFill="1" applyFont="1" applyNumberFormat="1">
      <alignment horizontal="center"/>
    </xf>
    <xf borderId="0" fillId="6" fontId="24" numFmtId="164" xfId="0" applyAlignment="1" applyFill="1" applyFont="1" applyNumberFormat="1">
      <alignment horizontal="center"/>
    </xf>
    <xf borderId="0" fillId="6" fontId="4" numFmtId="0" xfId="0" applyAlignment="1" applyFill="1" applyFont="1">
      <alignment readingOrder="0"/>
    </xf>
    <xf borderId="0" fillId="6" fontId="24" numFmtId="164" xfId="0" applyAlignment="1" applyFill="1" applyFont="1" applyNumberFormat="1">
      <alignment horizontal="center" readingOrder="0"/>
    </xf>
    <xf borderId="0" fillId="6" fontId="24" numFmtId="49" xfId="0" applyAlignment="1" applyFill="1" applyFont="1" applyNumberFormat="1">
      <alignment horizontal="center" readingOrder="0"/>
    </xf>
    <xf borderId="0" fillId="6" fontId="24" numFmtId="10" xfId="0" applyAlignment="1" applyFill="1" applyFont="1" applyNumberFormat="1">
      <alignment horizontal="center" readingOrder="0"/>
    </xf>
    <xf borderId="0" fillId="6" fontId="5" numFmtId="164" xfId="0" applyAlignment="1" applyFill="1" applyFont="1" applyNumberFormat="1">
      <alignment horizontal="center"/>
    </xf>
    <xf borderId="0" fillId="6" fontId="5" numFmtId="164" xfId="0" applyAlignment="1" applyFill="1" applyFont="1" applyNumberFormat="1">
      <alignment horizontal="center" readingOrder="0"/>
    </xf>
    <xf borderId="0" fillId="6" fontId="5" numFmtId="10" xfId="0" applyAlignment="1" applyFill="1" applyFont="1" applyNumberFormat="1">
      <alignment horizontal="left" readingOrder="0"/>
    </xf>
    <xf borderId="0" fillId="6" fontId="5" numFmtId="10" xfId="0" applyAlignment="1" applyFill="1" applyFont="1" applyNumberFormat="1">
      <alignment readingOrder="0"/>
    </xf>
    <xf borderId="0" fillId="6" fontId="24" numFmtId="4" xfId="0" applyAlignment="1" applyFill="1" applyFont="1" applyNumberFormat="1">
      <alignment horizontal="center" readingOrder="0"/>
    </xf>
    <xf borderId="0" fillId="6" fontId="5" numFmtId="0" xfId="0" applyAlignment="1" applyFill="1" applyFont="1">
      <alignment readingOrder="0" vertical="bottom"/>
    </xf>
    <xf borderId="0" fillId="6" fontId="24" numFmtId="0" xfId="0" applyAlignment="1" applyFill="1" applyFont="1">
      <alignment horizontal="center" readingOrder="0"/>
    </xf>
    <xf borderId="0" fillId="6" fontId="31" numFmtId="0" xfId="0" applyAlignment="1" applyFill="1" applyFont="1">
      <alignment horizontal="left" readingOrder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3" fontId="5" numFmtId="0" xfId="0" applyAlignment="1" applyFill="1" applyFont="1">
      <alignment readingOrder="0" shrinkToFit="0" vertical="center" wrapText="0"/>
    </xf>
    <xf borderId="0" fillId="3" fontId="16" numFmtId="0" xfId="0" applyAlignment="1" applyFill="1" applyFont="1">
      <alignment readingOrder="0" shrinkToFit="0" vertical="center" wrapText="0"/>
    </xf>
    <xf borderId="0" fillId="3" fontId="5" numFmtId="10" xfId="0" applyAlignment="1" applyFill="1" applyFont="1" applyNumberFormat="1">
      <alignment shrinkToFit="0" vertical="center" wrapText="0"/>
    </xf>
    <xf borderId="0" fillId="3" fontId="5" numFmtId="10" xfId="0" applyAlignment="1" applyFill="1" applyFont="1" applyNumberFormat="1">
      <alignment readingOrder="0" shrinkToFit="0" vertical="center" wrapText="0"/>
    </xf>
    <xf borderId="0" fillId="10" fontId="5" numFmtId="164" xfId="0" applyAlignment="1" applyFill="1" applyFont="1" applyNumberFormat="1">
      <alignment shrinkToFit="0" vertical="center" wrapText="0"/>
    </xf>
    <xf borderId="0" fillId="11" fontId="32" numFmtId="164" xfId="0" applyAlignment="1" applyFill="1" applyFont="1" applyNumberFormat="1">
      <alignment shrinkToFit="0" vertical="center" wrapText="0"/>
    </xf>
    <xf borderId="0" fillId="12" fontId="5" numFmtId="4" xfId="0" applyAlignment="1" applyFill="1" applyFont="1" applyNumberFormat="1">
      <alignment shrinkToFit="0" vertical="center" wrapText="0"/>
    </xf>
    <xf borderId="0" fillId="13" fontId="5" numFmtId="164" xfId="0" applyAlignment="1" applyFill="1" applyFont="1" applyNumberFormat="1">
      <alignment readingOrder="0" shrinkToFit="0" vertical="center" wrapText="0"/>
    </xf>
    <xf borderId="0" fillId="11" fontId="5" numFmtId="164" xfId="0" applyAlignment="1" applyFill="1" applyFont="1" applyNumberFormat="1">
      <alignment readingOrder="0" shrinkToFit="0" vertical="center" wrapText="0"/>
    </xf>
    <xf borderId="0" fillId="14" fontId="5" numFmtId="174" xfId="0" applyAlignment="1" applyFill="1" applyFont="1" applyNumberFormat="1">
      <alignment readingOrder="0" shrinkToFit="0" vertical="center" wrapText="0"/>
    </xf>
    <xf borderId="0" fillId="10" fontId="5" numFmtId="174" xfId="0" applyAlignment="1" applyFill="1" applyFont="1" applyNumberForma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10" fontId="4" numFmtId="10" xfId="0" applyAlignment="1" applyFill="1" applyFont="1" applyNumberFormat="1">
      <alignment readingOrder="0" shrinkToFit="0" vertical="center" wrapText="0"/>
    </xf>
    <xf borderId="0" fillId="10" fontId="4" numFmtId="10" xfId="0" applyAlignment="1" applyFill="1" applyFont="1" applyNumberFormat="1">
      <alignment shrinkToFit="0" vertical="center" wrapText="0"/>
    </xf>
    <xf borderId="0" fillId="12" fontId="4" numFmtId="10" xfId="0" applyAlignment="1" applyFill="1" applyFont="1" applyNumberFormat="1">
      <alignment readingOrder="0" shrinkToFit="0" vertical="center" wrapText="0"/>
    </xf>
    <xf borderId="0" fillId="12" fontId="4" numFmtId="10" xfId="0" applyAlignment="1" applyFill="1" applyFont="1" applyNumberFormat="1">
      <alignment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15" fontId="4" numFmtId="10" xfId="0" applyAlignment="1" applyFill="1" applyFont="1" applyNumberFormat="1">
      <alignment readingOrder="0" shrinkToFit="0" vertical="center" wrapText="0"/>
    </xf>
    <xf borderId="0" fillId="15" fontId="4" numFmtId="10" xfId="0" applyAlignment="1" applyFill="1" applyFont="1" applyNumberFormat="1">
      <alignment shrinkToFit="0" vertical="center" wrapText="0"/>
    </xf>
    <xf borderId="0" fillId="3" fontId="32" numFmtId="10" xfId="0" applyAlignment="1" applyFill="1" applyFont="1" applyNumberFormat="1">
      <alignment readingOrder="0" shrinkToFit="0" vertical="center" wrapText="0"/>
    </xf>
    <xf borderId="0" fillId="11" fontId="32" numFmtId="164" xfId="0" applyAlignment="1" applyFill="1" applyFont="1" applyNumberFormat="1">
      <alignment readingOrder="0" shrinkToFit="0" vertical="center" wrapText="0"/>
    </xf>
    <xf borderId="0" fillId="11" fontId="32" numFmtId="164" xfId="0" applyAlignment="1" applyFill="1" applyFont="1" applyNumberFormat="1">
      <alignment readingOrder="0" shrinkToFit="0" vertical="center" wrapText="0"/>
    </xf>
    <xf borderId="0" fillId="0" fontId="33" numFmtId="4" xfId="0" applyAlignment="1" applyFont="1" applyNumberFormat="1">
      <alignment readingOrder="0" shrinkToFit="0" vertical="center" wrapText="0"/>
    </xf>
    <xf borderId="0" fillId="0" fontId="33" numFmtId="164" xfId="0" applyAlignment="1" applyFont="1" applyNumberFormat="1">
      <alignment readingOrder="0" shrinkToFit="0" vertical="center" wrapText="0"/>
    </xf>
    <xf borderId="0" fillId="10" fontId="5" numFmtId="10" xfId="0" applyAlignment="1" applyFill="1" applyFont="1" applyNumberFormat="1">
      <alignment readingOrder="0" shrinkToFit="0" vertical="center" wrapText="0"/>
    </xf>
    <xf borderId="0" fillId="0" fontId="33" numFmtId="10" xfId="0" applyAlignment="1" applyFont="1" applyNumberFormat="1">
      <alignment readingOrder="0" shrinkToFit="0" vertical="center" wrapText="0"/>
    </xf>
    <xf borderId="0" fillId="16" fontId="5" numFmtId="164" xfId="0" applyAlignment="1" applyFill="1" applyFont="1" applyNumberFormat="1">
      <alignment shrinkToFit="0" vertical="center" wrapText="0"/>
    </xf>
    <xf borderId="0" fillId="16" fontId="5" numFmtId="174" xfId="0" applyAlignment="1" applyFill="1" applyFont="1" applyNumberFormat="1">
      <alignment readingOrder="0" shrinkToFit="0" vertical="center" wrapText="0"/>
    </xf>
    <xf borderId="0" fillId="17" fontId="1" numFmtId="4" xfId="0" applyAlignment="1" applyFill="1" applyFont="1" applyNumberFormat="1">
      <alignment shrinkToFit="0" vertical="center" wrapText="0"/>
    </xf>
    <xf borderId="0" fillId="16" fontId="4" numFmtId="10" xfId="0" applyAlignment="1" applyFill="1" applyFont="1" applyNumberFormat="1">
      <alignment readingOrder="0" shrinkToFit="0" vertical="center" wrapText="0"/>
    </xf>
    <xf borderId="0" fillId="16" fontId="4" numFmtId="10" xfId="0" applyAlignment="1" applyFill="1" applyFont="1" applyNumberFormat="1">
      <alignment shrinkToFit="0" vertical="center" wrapText="0"/>
    </xf>
    <xf borderId="0" fillId="0" fontId="5" numFmtId="4" xfId="0" applyAlignment="1" applyFont="1" applyNumberFormat="1">
      <alignment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16" fontId="5" numFmtId="10" xfId="0" applyAlignment="1" applyFill="1" applyFont="1" applyNumberFormat="1">
      <alignment readingOrder="0" shrinkToFit="0" vertical="center" wrapText="0"/>
    </xf>
    <xf borderId="0" fillId="0" fontId="34" numFmtId="164" xfId="0" applyAlignment="1" applyFont="1" applyNumberFormat="1">
      <alignment readingOrder="0" shrinkToFit="0" vertical="center" wrapText="0"/>
    </xf>
    <xf borderId="0" fillId="0" fontId="32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5" numFmtId="10" xfId="0" applyFont="1" applyNumberFormat="1"/>
    <xf borderId="0" fillId="0" fontId="5" numFmtId="164" xfId="0" applyFont="1" applyNumberFormat="1"/>
    <xf borderId="0" fillId="0" fontId="32" numFmtId="10" xfId="0" applyAlignment="1" applyFont="1" applyNumberFormat="1">
      <alignment readingOrder="0"/>
    </xf>
    <xf borderId="0" fillId="0" fontId="32" numFmtId="10" xfId="0" applyAlignment="1" applyFont="1" applyNumberFormat="1">
      <alignment horizontal="left" readingOrder="0"/>
    </xf>
    <xf borderId="0" fillId="0" fontId="32" numFmtId="10" xfId="0" applyAlignment="1" applyFont="1" applyNumberFormat="1">
      <alignment horizontal="left"/>
    </xf>
    <xf borderId="0" fillId="0" fontId="32" numFmtId="4" xfId="0" applyAlignment="1" applyFont="1" applyNumberFormat="1">
      <alignment horizontal="left" readingOrder="0"/>
    </xf>
    <xf borderId="0" fillId="0" fontId="32" numFmtId="164" xfId="0" applyAlignment="1" applyFont="1" applyNumberFormat="1">
      <alignment horizontal="left"/>
    </xf>
    <xf borderId="0" fillId="0" fontId="5" numFmtId="164" xfId="0" applyAlignment="1" applyFont="1" applyNumberFormat="1">
      <alignment horizontal="left"/>
    </xf>
    <xf borderId="0" fillId="0" fontId="5" numFmtId="164" xfId="0" applyAlignment="1" applyFont="1" applyNumberFormat="1">
      <alignment horizontal="left" readingOrder="0"/>
    </xf>
    <xf borderId="0" fillId="0" fontId="5" numFmtId="10" xfId="0" applyAlignment="1" applyFont="1" applyNumberFormat="1">
      <alignment horizontal="left" readingOrder="0"/>
    </xf>
    <xf borderId="0" fillId="0" fontId="5" numFmtId="10" xfId="0" applyAlignment="1" applyFont="1" applyNumberFormat="1">
      <alignment horizontal="center" readingOrder="0"/>
    </xf>
    <xf borderId="0" fillId="0" fontId="5" numFmtId="17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2" fontId="2" numFmtId="4" xfId="0" applyAlignment="1" applyFill="1" applyFont="1" applyNumberForma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10" xfId="0" applyAlignment="1" applyFill="1" applyFont="1" applyNumberFormat="1">
      <alignment shrinkToFit="0" vertical="center" wrapText="0"/>
    </xf>
    <xf borderId="0" fillId="2" fontId="1" numFmtId="10" xfId="0" applyAlignment="1" applyFill="1" applyFont="1" applyNumberFormat="1">
      <alignment readingOrder="0" shrinkToFit="0" vertical="center" wrapText="0"/>
    </xf>
    <xf borderId="0" fillId="9" fontId="2" numFmtId="173" xfId="0" applyAlignment="1" applyFill="1" applyFont="1" applyNumberFormat="1">
      <alignment readingOrder="0" shrinkToFit="0" vertical="center" wrapText="0"/>
    </xf>
    <xf borderId="0" fillId="2" fontId="35" numFmtId="173" xfId="0" applyAlignment="1" applyFill="1" applyFont="1" applyNumberFormat="1">
      <alignment horizontal="right" readingOrder="0" shrinkToFit="0" vertical="center" wrapText="0"/>
    </xf>
    <xf borderId="0" fillId="2" fontId="3" numFmtId="0" xfId="0" applyAlignment="1" applyFill="1" applyFont="1">
      <alignment shrinkToFit="0" vertical="center" wrapText="0"/>
    </xf>
    <xf borderId="0" fillId="2" fontId="3" numFmtId="164" xfId="0" applyAlignment="1" applyFill="1" applyFont="1" applyNumberFormat="1">
      <alignment horizontal="right" shrinkToFit="0" vertical="center" wrapText="0"/>
    </xf>
    <xf borderId="0" fillId="2" fontId="1" numFmtId="175" xfId="0" applyAlignment="1" applyFill="1" applyFont="1" applyNumberFormat="1">
      <alignment shrinkToFit="0" vertical="center" wrapText="0"/>
    </xf>
    <xf borderId="0" fillId="2" fontId="1" numFmtId="4" xfId="0" applyAlignment="1" applyFill="1" applyFont="1" applyNumberFormat="1">
      <alignment readingOrder="0" shrinkToFit="0" vertical="center" wrapText="0"/>
    </xf>
    <xf borderId="0" fillId="9" fontId="1" numFmtId="173" xfId="0" applyAlignment="1" applyFill="1" applyFont="1" applyNumberFormat="1">
      <alignment readingOrder="0" shrinkToFit="0" vertical="center" wrapText="0"/>
    </xf>
    <xf borderId="0" fillId="2" fontId="1" numFmtId="10" xfId="0" applyAlignment="1" applyFill="1" applyFont="1" applyNumberFormat="1">
      <alignment shrinkToFit="0" vertical="center" wrapText="0"/>
    </xf>
    <xf borderId="0" fillId="2" fontId="1" numFmtId="173" xfId="0" applyAlignment="1" applyFill="1" applyFont="1" applyNumberForma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164" xfId="0" applyAlignment="1" applyFill="1" applyFont="1" applyNumberForma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10" xfId="0" applyAlignment="1" applyFill="1" applyFont="1" applyNumberFormat="1">
      <alignment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171" xfId="0" applyAlignment="1" applyFill="1" applyFont="1" applyNumberFormat="1">
      <alignment shrinkToFit="0" vertical="center" wrapText="0"/>
    </xf>
    <xf borderId="0" fillId="4" fontId="1" numFmtId="164" xfId="0" applyAlignment="1" applyFill="1" applyFont="1" applyNumberFormat="1">
      <alignment shrinkToFit="0" vertical="center" wrapText="0"/>
    </xf>
    <xf borderId="0" fillId="4" fontId="1" numFmtId="2" xfId="0" applyAlignment="1" applyFill="1" applyFont="1" applyNumberFormat="1">
      <alignment readingOrder="0" shrinkToFit="0" vertical="center" wrapText="0"/>
    </xf>
    <xf borderId="0" fillId="0" fontId="1" numFmtId="171" xfId="0" applyFont="1" applyNumberFormat="1"/>
    <xf borderId="0" fillId="4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17" fillId="2" fontId="3" numFmtId="0" xfId="0" applyAlignment="1" applyBorder="1" applyFill="1" applyFont="1">
      <alignment shrinkToFit="0" vertical="center" wrapText="0"/>
    </xf>
    <xf borderId="18" fillId="2" fontId="3" numFmtId="0" xfId="0" applyAlignment="1" applyBorder="1" applyFill="1" applyFont="1">
      <alignment horizontal="right" readingOrder="0" shrinkToFit="0" vertical="center" wrapText="0"/>
    </xf>
    <xf borderId="18" fillId="2" fontId="3" numFmtId="10" xfId="0" applyAlignment="1" applyBorder="1" applyFill="1" applyFont="1" applyNumberFormat="1">
      <alignment horizontal="right" shrinkToFit="0" vertical="center" wrapText="0"/>
    </xf>
    <xf borderId="18" fillId="2" fontId="3" numFmtId="164" xfId="0" applyAlignment="1" applyBorder="1" applyFill="1" applyFont="1" applyNumberFormat="1">
      <alignment horizontal="right" shrinkToFit="0" vertical="center" wrapText="0"/>
    </xf>
    <xf borderId="18" fillId="2" fontId="3" numFmtId="171" xfId="0" applyAlignment="1" applyBorder="1" applyFill="1" applyFont="1" applyNumberFormat="1">
      <alignment shrinkToFit="0" vertical="center" wrapText="0"/>
    </xf>
    <xf borderId="18" fillId="2" fontId="3" numFmtId="171" xfId="0" applyAlignment="1" applyBorder="1" applyFill="1" applyFont="1" applyNumberFormat="1">
      <alignment readingOrder="0" shrinkToFit="0" vertical="center" wrapText="0"/>
    </xf>
    <xf borderId="17" fillId="2" fontId="3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  <tableStyles count="40">
    <tableStyle count="4" pivot="0" name="Indica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ficie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ador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ficienci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Eficiencia-style 3">
      <tableStyleElement dxfId="2" type="firstRowStripe"/>
      <tableStyleElement dxfId="3" type="secondRowStripe"/>
    </tableStyle>
    <tableStyle count="4" pivot="0" name="Decio_Bazi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o_Bazin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or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porte-style 2">
      <tableStyleElement dxfId="2" type="firstRowStripe"/>
      <tableStyleElement dxfId="3" type="secondRowStripe"/>
    </tableStyle>
    <tableStyle count="4" pivot="0" name="graf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grafico-style 7">
      <tableStyleElement dxfId="2" type="firstRowStripe"/>
      <tableStyleElement dxfId="3" type="secondRowStripe"/>
    </tableStyle>
    <tableStyle count="4" pivot="0" name="grafic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fic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OME-style 2">
      <tableStyleElement dxfId="2" type="firstRowStripe"/>
      <tableStyleElement dxfId="3" type="secondRowStripe"/>
    </tableStyle>
    <tableStyle count="4" pivot="0" name="HOM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 9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Setores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grafico!$H$3</c:f>
            </c:strRef>
          </c:tx>
          <c:dPt>
            <c:idx val="0"/>
            <c:explosion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grafico!$F$4:$F$9</c:f>
            </c:strRef>
          </c:cat>
          <c:val>
            <c:numRef>
              <c:f>grafico!$H$4:$H$9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Setores_Peso_Ideal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grafico!$Q$3</c:f>
            </c:strRef>
          </c:tx>
          <c:dPt>
            <c:idx val="0"/>
            <c:explosion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grafico!$O$4:$O$9</c:f>
            </c:strRef>
          </c:cat>
          <c:val>
            <c:numRef>
              <c:f>grafico!$Q$4:$Q$9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Setores_Setores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grafico!$AA$3</c:f>
            </c:strRef>
          </c:tx>
          <c:dPt>
            <c:idx val="0"/>
            <c:explosion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grafico!$Y$4:$Y$9</c:f>
            </c:strRef>
          </c:cat>
          <c:val>
            <c:numRef>
              <c:f>grafico!$AA$4:$AA$9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Carteira_segmento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grafico!$H$29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grafico!$F$30:$F$42</c:f>
            </c:strRef>
          </c:cat>
          <c:val>
            <c:numRef>
              <c:f>grafico!$H$30:$H$42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Baratos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Aporte!$F$2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Aporte!$E$4:$E$11</c:f>
            </c:strRef>
          </c:cat>
          <c:val>
            <c:numRef>
              <c:f>Aporte!$F$3:$F$26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Setores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grafico!$H$3</c:f>
            </c:strRef>
          </c:tx>
          <c:dPt>
            <c:idx val="0"/>
            <c:explosion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grafico!$F$4:$F$9</c:f>
            </c:strRef>
          </c:cat>
          <c:val>
            <c:numRef>
              <c:f>grafico!$H$4:$H$9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Setores_Peso_Ideal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grafico!$Q$3</c:f>
            </c:strRef>
          </c:tx>
          <c:dPt>
            <c:idx val="0"/>
            <c:explosion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grafico!$O$4:$O$9</c:f>
            </c:strRef>
          </c:cat>
          <c:val>
            <c:numRef>
              <c:f>grafico!$Q$4:$Q$9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Setores_Setores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grafico!$AA$3</c:f>
            </c:strRef>
          </c:tx>
          <c:dPt>
            <c:idx val="0"/>
            <c:explosion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grafico!$Y$4:$Y$9</c:f>
            </c:strRef>
          </c:cat>
          <c:val>
            <c:numRef>
              <c:f>grafico!$AA$4:$AA$9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Carteira_segmento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grafico!$H$29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grafico!$F$30:$F$42</c:f>
            </c:strRef>
          </c:cat>
          <c:val>
            <c:numRef>
              <c:f>grafico!$H$30:$H$42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Chart5.png"/><Relationship Id="rId6" Type="http://schemas.openxmlformats.org/officeDocument/2006/relationships/chart" Target="../charts/chart5.xml"/><Relationship Id="rId7" Type="http://schemas.openxmlformats.org/officeDocument/2006/relationships/image" Target="../media/Chart12.png"/><Relationship Id="rId8" Type="http://schemas.openxmlformats.org/officeDocument/2006/relationships/image" Target="../media/Chart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0</xdr:rowOff>
    </xdr:from>
    <xdr:ext cx="4695825" cy="2914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895350</xdr:colOff>
      <xdr:row>34</xdr:row>
      <xdr:rowOff>0</xdr:rowOff>
    </xdr:from>
    <xdr:ext cx="4762500" cy="29146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1038225</xdr:colOff>
      <xdr:row>34</xdr:row>
      <xdr:rowOff>0</xdr:rowOff>
    </xdr:from>
    <xdr:ext cx="4695825" cy="29146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1276350</xdr:colOff>
      <xdr:row>0</xdr:row>
      <xdr:rowOff>0</xdr:rowOff>
    </xdr:from>
    <xdr:ext cx="7600950" cy="47244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9</xdr:row>
      <xdr:rowOff>0</xdr:rowOff>
    </xdr:from>
    <xdr:ext cx="5715000" cy="1276350"/>
    <xdr:pic>
      <xdr:nvPicPr>
        <xdr:cNvPr id="2081193686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1085850</xdr:colOff>
      <xdr:row>0</xdr:row>
      <xdr:rowOff>133350</xdr:rowOff>
    </xdr:from>
    <xdr:ext cx="3895725" cy="243840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64</xdr:row>
      <xdr:rowOff>0</xdr:rowOff>
    </xdr:from>
    <xdr:ext cx="4667250" cy="2886075"/>
    <xdr:pic>
      <xdr:nvPicPr>
        <xdr:cNvPr id="1479736034" name="Chart1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866775</xdr:colOff>
      <xdr:row>64</xdr:row>
      <xdr:rowOff>0</xdr:rowOff>
    </xdr:from>
    <xdr:ext cx="4667250" cy="2886075"/>
    <xdr:pic>
      <xdr:nvPicPr>
        <xdr:cNvPr id="881327644" name="Chart1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10</xdr:row>
      <xdr:rowOff>57150</xdr:rowOff>
    </xdr:from>
    <xdr:ext cx="4352925" cy="26955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0</xdr:colOff>
      <xdr:row>9</xdr:row>
      <xdr:rowOff>47625</xdr:rowOff>
    </xdr:from>
    <xdr:ext cx="4352925" cy="26955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</xdr:colOff>
      <xdr:row>15</xdr:row>
      <xdr:rowOff>123825</xdr:rowOff>
    </xdr:from>
    <xdr:ext cx="4352925" cy="26955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43</xdr:row>
      <xdr:rowOff>152400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6</xdr:row>
      <xdr:rowOff>19050</xdr:rowOff>
    </xdr:from>
    <xdr:ext cx="5715000" cy="1276350"/>
    <xdr:pic>
      <xdr:nvPicPr>
        <xdr:cNvPr id="1221595576" name="Chart1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9" displayName="Carteira" name="Carteira" id="32">
  <tableColumns count="4">
    <tableColumn name="Tipo" id="1"/>
    <tableColumn name="Capital" id="2"/>
    <tableColumn name="Peso(%)" id="3"/>
    <tableColumn name="Peso Ideal" id="4"/>
  </tableColumns>
  <tableStyleInfo name="HOME-style" showColumnStripes="0" showFirstColumn="1" showLastColumn="1" showRowStripes="1"/>
</table>
</file>

<file path=xl/tables/table2.xml><?xml version="1.0" encoding="utf-8"?>
<table xmlns="http://schemas.openxmlformats.org/spreadsheetml/2006/main" headerRowCount="0" ref="F2:F5" displayName="Table_4" name="Table_4" id="33">
  <tableColumns count="1">
    <tableColumn name="Column1" id="1"/>
  </tableColumns>
  <tableStyleInfo name="HOME-style 2" showColumnStripes="0" showFirstColumn="1" showLastColumn="1" showRowStripes="1"/>
</table>
</file>

<file path=xl/tables/table3.xml><?xml version="1.0" encoding="utf-8"?>
<table xmlns="http://schemas.openxmlformats.org/spreadsheetml/2006/main" ref="J3:M14" displayName="FCD" name="FCD" id="34">
  <tableColumns count="4">
    <tableColumn name="TICKER" id="1"/>
    <tableColumn name="FCFE_KE" id="2"/>
    <tableColumn name="Excess_Return" id="3"/>
    <tableColumn name="TIR" id="4"/>
  </tableColumns>
  <tableStyleInfo name="HOME-style 3" showColumnStripes="0" showFirstColumn="1" showLastColumn="1" showRowStripes="1"/>
</table>
</file>

<file path=xl/tables/table4.xml><?xml version="1.0" encoding="utf-8"?>
<table xmlns="http://schemas.openxmlformats.org/spreadsheetml/2006/main" ref="A21:L34" displayName="Ações_Nacionais" name="Ações_Nacionais" id="35">
  <tableColumns count="12">
    <tableColumn name="QTD" id="1"/>
    <tableColumn name="Ação" id="2"/>
    <tableColumn name="Peso" id="3"/>
    <tableColumn name="Nota" id="4"/>
    <tableColumn name="Peso Ideal" id="5"/>
    <tableColumn name="Financeiro" id="6"/>
    <tableColumn name="FCFE_KE" id="7"/>
    <tableColumn name="MG_FCFE" id="8"/>
    <tableColumn name="P/Teto" id="9"/>
    <tableColumn name="Margen" id="10"/>
    <tableColumn name="Preço mercado" id="11"/>
    <tableColumn name="TIR" id="12"/>
  </tableColumns>
  <tableStyleInfo name="HOME-style 4" showColumnStripes="0" showFirstColumn="1" showLastColumn="1" showRowStripes="1"/>
</table>
</file>

<file path=xl/tables/table5.xml><?xml version="1.0" encoding="utf-8"?>
<table xmlns="http://schemas.openxmlformats.org/spreadsheetml/2006/main" ref="A51:S64" displayName="Fiis" name="Fiis" id="36">
  <tableColumns count="19">
    <tableColumn name="QTD" id="1"/>
    <tableColumn name="Fii" id="2"/>
    <tableColumn name="Peso" id="3"/>
    <tableColumn name="Nota" id="4"/>
    <tableColumn name="Peso Ideal" id="5"/>
    <tableColumn name="Financeiro" id="6"/>
    <tableColumn name="Preço mercado" id="7"/>
    <tableColumn name="P/VP" id="8"/>
    <tableColumn name="VP/Cota" id="9"/>
    <tableColumn name="Justo" id="10"/>
    <tableColumn name="Div/12" id="11"/>
    <tableColumn name="LPC 3 anos" id="12"/>
    <tableColumn name="Rend_Cota" id="13"/>
    <tableColumn name="Rendimento_Total" id="14"/>
    <tableColumn name="Spread" id="15"/>
    <tableColumn name="IPCA" id="16"/>
    <tableColumn name="Taxa_Total" id="17"/>
    <tableColumn name="P/M" id="18"/>
    <tableColumn name="Financeiro_P/M" id="19"/>
  </tableColumns>
  <tableStyleInfo name="HOME-style 5" showColumnStripes="0" showFirstColumn="1" showLastColumn="1" showRowStripes="1"/>
</table>
</file>

<file path=xl/tables/table6.xml><?xml version="1.0" encoding="utf-8"?>
<table xmlns="http://schemas.openxmlformats.org/spreadsheetml/2006/main" ref="A82:L85" displayName="Renda_Fixa" name="Renda_Fixa" id="37">
  <tableColumns count="12">
    <tableColumn name="Tipo" id="1"/>
    <tableColumn name="qtd" id="2"/>
    <tableColumn name="Financeiro" id="3"/>
    <tableColumn name="% Peso" id="4"/>
    <tableColumn name="CDI_Bruto" id="5"/>
    <tableColumn name="CDI_Liquido" id="6"/>
    <tableColumn name="Retorno(%)" id="7"/>
    <tableColumn name="Data da Aplicação" id="8"/>
    <tableColumn name="Hoje" id="9"/>
    <tableColumn name="Dia_Corridos" id="10"/>
    <tableColumn name="Redimento" id="11"/>
    <tableColumn name="CDI Diário (%)        " id="12"/>
  </tableColumns>
  <tableStyleInfo name="HOME-style 6" showColumnStripes="0" showFirstColumn="1" showLastColumn="1" showRowStripes="1"/>
</table>
</file>

<file path=xl/tables/table7.xml><?xml version="1.0" encoding="utf-8"?>
<table xmlns="http://schemas.openxmlformats.org/spreadsheetml/2006/main" ref="A88:H92" displayName="Tesouro" name="Tesouro" id="38">
  <tableColumns count="8">
    <tableColumn name="Tipo" id="1"/>
    <tableColumn name="qtd" id="2"/>
    <tableColumn name="preço" id="3"/>
    <tableColumn name="Financeiro" id="4"/>
    <tableColumn name="% Peso" id="5"/>
    <tableColumn name="Rent_Bruta" id="6"/>
    <tableColumn name="Rent_Liq" id="7"/>
    <tableColumn name="Retorno(%)" id="8"/>
  </tableColumns>
  <tableStyleInfo name="HOME-style 7" showColumnStripes="0" showFirstColumn="1" showLastColumn="1" showRowStripes="1"/>
</table>
</file>

<file path=xl/tables/table8.xml><?xml version="1.0" encoding="utf-8"?>
<table xmlns="http://schemas.openxmlformats.org/spreadsheetml/2006/main" ref="A96:G99" displayName="Etfs" name="Etfs" id="39">
  <tableColumns count="7">
    <tableColumn name="Etf" id="1"/>
    <tableColumn name="qtd" id="2"/>
    <tableColumn name="Peso" id="3"/>
    <tableColumn name="financeiro" id="4"/>
    <tableColumn name="financeiro ($)" id="5"/>
    <tableColumn name="preço" id="6"/>
    <tableColumn name="Dolar/REAL" id="7"/>
  </tableColumns>
  <tableStyleInfo name="HOME-style 8" showColumnStripes="0" showFirstColumn="1" showLastColumn="1" showRowStripes="1"/>
</table>
</file>

<file path=xl/tables/table9.xml><?xml version="1.0" encoding="utf-8"?>
<table xmlns="http://schemas.openxmlformats.org/spreadsheetml/2006/main" ref="A103:K105" displayName="Cripto" name="Cripto" id="40">
  <tableColumns count="11">
    <tableColumn name="Cripto" id="1"/>
    <tableColumn name="qtd" id="2"/>
    <tableColumn name="Peso" id="3"/>
    <tableColumn name="financeiro" id="4"/>
    <tableColumn name="financeiro ($)" id="5"/>
    <tableColumn name="preço" id="6"/>
    <tableColumn name="USD" id="7"/>
    <tableColumn name="Investido R$" id="8"/>
    <tableColumn name="% investido" id="9"/>
    <tableColumn name="Preço medio" id="10"/>
    <tableColumn name="Perda" id="11"/>
  </tableColumns>
  <tableStyleInfo name="HOME-style 9" showColumnStripes="0" showFirstColumn="1" showLastColumn="1" showRowStripes="1"/>
</table>
</file>

<file path=xl/tables/table10.xml><?xml version="1.0" encoding="utf-8"?>
<table xmlns="http://schemas.openxmlformats.org/spreadsheetml/2006/main" ref="B2:H3" displayName="desempenho" name="desempenho" id="1">
  <tableColumns count="7">
    <tableColumn name="Perfomance" id="1"/>
    <tableColumn name="Y Mensal Consolidado" id="2"/>
    <tableColumn name="YMC_Media" id="3"/>
    <tableColumn name="Y_Anual_FIIs" id="4"/>
    <tableColumn name="Y Mensal FIIs" id="5"/>
    <tableColumn name="YMF_Media" id="6"/>
    <tableColumn name="% Ganho Capital" id="7"/>
  </tableColumns>
  <tableStyleInfo name="Eficiencia-style" showColumnStripes="0" showFirstColumn="1" showLastColumn="1" showRowStripes="1"/>
</table>
</file>

<file path=xl/tables/table11.xml><?xml version="1.0" encoding="utf-8"?>
<table xmlns="http://schemas.openxmlformats.org/spreadsheetml/2006/main" ref="B6:F7" displayName="financeiros" name="financeiros" id="5">
  <tableColumns count="5">
    <tableColumn name="Total Proventos" id="1"/>
    <tableColumn name="FIIs_Provento" id="2"/>
    <tableColumn name="Valor Aplicado" id="3"/>
    <tableColumn name="Valor Bruto" id="4"/>
    <tableColumn name="Ganho Capital" id="5"/>
  </tableColumns>
  <tableStyleInfo name="Eficiencia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43:D53" displayName="Table_1" name="Table_1" id="7">
  <tableColumns count="4">
    <tableColumn name="Column1" id="1"/>
    <tableColumn name="Column2" id="2"/>
    <tableColumn name="Column3" id="3"/>
    <tableColumn name="Column4" id="4"/>
  </tableColumns>
  <tableStyleInfo name="Eficiencia-style 3" showColumnStripes="0" showFirstColumn="1" showLastColumn="1" showRowStripes="1"/>
</table>
</file>

<file path=xl/tables/table13.xml><?xml version="1.0" encoding="utf-8"?>
<table xmlns="http://schemas.openxmlformats.org/spreadsheetml/2006/main" ref="B2:D15" displayName="LCP_3Anos" name="LCP_3Anos" id="3">
  <tableColumns count="3">
    <tableColumn name="Fii" id="1"/>
    <tableColumn name="Media_DPA_3Anos" id="2"/>
    <tableColumn name="Anos_Media" id="3"/>
  </tableColumns>
  <tableStyleInfo name="Decio_Bazin-style" showColumnStripes="0" showFirstColumn="1" showLastColumn="1" showRowStripes="1"/>
</table>
</file>

<file path=xl/tables/table14.xml><?xml version="1.0" encoding="utf-8"?>
<table xmlns="http://schemas.openxmlformats.org/spreadsheetml/2006/main" ref="F2:G6" displayName="KNRI11" name="KNRI11" id="6">
  <tableColumns count="2">
    <tableColumn name="Ano" id="1"/>
    <tableColumn name="LPC" id="2"/>
  </tableColumns>
  <tableStyleInfo name="Decio_Bazin-style 2" showColumnStripes="0" showFirstColumn="1" showLastColumn="1" showRowStripes="1"/>
</table>
</file>

<file path=xl/tables/table15.xml><?xml version="1.0" encoding="utf-8"?>
<table xmlns="http://schemas.openxmlformats.org/spreadsheetml/2006/main" ref="I2:J6" displayName="XPLG11" name="XPLG11" id="8">
  <tableColumns count="2">
    <tableColumn name="Ano" id="1"/>
    <tableColumn name="LPC" id="2"/>
  </tableColumns>
  <tableStyleInfo name="Decio_Bazin-style 3" showColumnStripes="0" showFirstColumn="1" showLastColumn="1" showRowStripes="1"/>
</table>
</file>

<file path=xl/tables/table16.xml><?xml version="1.0" encoding="utf-8"?>
<table xmlns="http://schemas.openxmlformats.org/spreadsheetml/2006/main" ref="L2:M6" displayName="HGBS11" name="HGBS11" id="9">
  <tableColumns count="2">
    <tableColumn name="Ano" id="1"/>
    <tableColumn name="LPC" id="2"/>
  </tableColumns>
  <tableStyleInfo name="Decio_Bazin-style 4" showColumnStripes="0" showFirstColumn="1" showLastColumn="1" showRowStripes="1"/>
</table>
</file>

<file path=xl/tables/table17.xml><?xml version="1.0" encoding="utf-8"?>
<table xmlns="http://schemas.openxmlformats.org/spreadsheetml/2006/main" ref="O2:P6" displayName="PORD11" name="PORD11" id="10">
  <tableColumns count="2">
    <tableColumn name="Ano" id="1"/>
    <tableColumn name="LPC" id="2"/>
  </tableColumns>
  <tableStyleInfo name="Decio_Bazin-style 5" showColumnStripes="0" showFirstColumn="1" showLastColumn="1" showRowStripes="1"/>
</table>
</file>

<file path=xl/tables/table18.xml><?xml version="1.0" encoding="utf-8"?>
<table xmlns="http://schemas.openxmlformats.org/spreadsheetml/2006/main" ref="F9:G13" displayName="PMLL11" name="PMLL11" id="11">
  <tableColumns count="2">
    <tableColumn name="Ano" id="1"/>
    <tableColumn name="LPC" id="2"/>
  </tableColumns>
  <tableStyleInfo name="Decio_Bazin-style 6" showColumnStripes="0" showFirstColumn="1" showLastColumn="1" showRowStripes="1"/>
</table>
</file>

<file path=xl/tables/table19.xml><?xml version="1.0" encoding="utf-8"?>
<table xmlns="http://schemas.openxmlformats.org/spreadsheetml/2006/main" ref="I9:J13" displayName="BTLG11" name="BTLG11" id="12">
  <tableColumns count="2">
    <tableColumn name="Ano" id="1"/>
    <tableColumn name="LPC" id="2"/>
  </tableColumns>
  <tableStyleInfo name="Decio_Bazin-style 7" showColumnStripes="0" showFirstColumn="1" showLastColumn="1" showRowStripes="1"/>
</table>
</file>

<file path=xl/tables/table20.xml><?xml version="1.0" encoding="utf-8"?>
<table xmlns="http://schemas.openxmlformats.org/spreadsheetml/2006/main" ref="L9:M13" displayName="GGRC11" name="GGRC11" id="13">
  <tableColumns count="2">
    <tableColumn name="Ano" id="1"/>
    <tableColumn name="LPC" id="2"/>
  </tableColumns>
  <tableStyleInfo name="Decio_Bazin-style 8" showColumnStripes="0" showFirstColumn="1" showLastColumn="1" showRowStripes="1"/>
</table>
</file>

<file path=xl/tables/table21.xml><?xml version="1.0" encoding="utf-8"?>
<table xmlns="http://schemas.openxmlformats.org/spreadsheetml/2006/main" ref="O9:P13" displayName="BRCO11" name="BRCO11" id="14">
  <tableColumns count="2">
    <tableColumn name="Ano" id="1"/>
    <tableColumn name="LPC" id="2"/>
  </tableColumns>
  <tableStyleInfo name="Decio_Bazin-style 9" showColumnStripes="0" showFirstColumn="1" showLastColumn="1" showRowStripes="1"/>
</table>
</file>

<file path=xl/tables/table22.xml><?xml version="1.0" encoding="utf-8"?>
<table xmlns="http://schemas.openxmlformats.org/spreadsheetml/2006/main" ref="G18:H22" displayName="PCIP11" name="PCIP11" id="15">
  <tableColumns count="2">
    <tableColumn name="Ano" id="1"/>
    <tableColumn name="LPC" id="2"/>
  </tableColumns>
  <tableStyleInfo name="Decio_Bazin-style 10" showColumnStripes="0" showFirstColumn="1" showLastColumn="1" showRowStripes="1"/>
</table>
</file>

<file path=xl/tables/table23.xml><?xml version="1.0" encoding="utf-8"?>
<table xmlns="http://schemas.openxmlformats.org/spreadsheetml/2006/main" ref="A19:B23" displayName="GARE11" name="GARE11" id="16">
  <tableColumns count="2">
    <tableColumn name="Ano" id="1"/>
    <tableColumn name="LPC" id="2"/>
  </tableColumns>
  <tableStyleInfo name="Decio_Bazin-style 11" showColumnStripes="0" showFirstColumn="1" showLastColumn="1" showRowStripes="1"/>
</table>
</file>

<file path=xl/tables/table24.xml><?xml version="1.0" encoding="utf-8"?>
<table xmlns="http://schemas.openxmlformats.org/spreadsheetml/2006/main" ref="D19:E23" displayName="MXRF11" name="MXRF11" id="17">
  <tableColumns count="2">
    <tableColumn name="Ano" id="1"/>
    <tableColumn name="LPC" id="2"/>
  </tableColumns>
  <tableStyleInfo name="Decio_Bazin-style 12" showColumnStripes="0" showFirstColumn="1" showLastColumn="1" showRowStripes="1"/>
</table>
</file>

<file path=xl/tables/table25.xml><?xml version="1.0" encoding="utf-8"?>
<table xmlns="http://schemas.openxmlformats.org/spreadsheetml/2006/main" ref="A26:B30" displayName="HGLG11" name="HGLG11" id="18">
  <tableColumns count="2">
    <tableColumn name="Ano" id="1"/>
    <tableColumn name="LPC" id="2"/>
  </tableColumns>
  <tableStyleInfo name="Decio_Bazin-style 13" showColumnStripes="0" showFirstColumn="1" showLastColumn="1" showRowStripes="1"/>
</table>
</file>

<file path=xl/tables/table26.xml><?xml version="1.0" encoding="utf-8"?>
<table xmlns="http://schemas.openxmlformats.org/spreadsheetml/2006/main" ref="D26:E30" displayName="HGRU11" name="HGRU11" id="19">
  <tableColumns count="2">
    <tableColumn name="Ano" id="1"/>
    <tableColumn name="LPC" id="2"/>
  </tableColumns>
  <tableStyleInfo name="Decio_Bazin-style 14" showColumnStripes="0" showFirstColumn="1" showLastColumn="1" showRowStripes="1"/>
</table>
</file>

<file path=xl/tables/table27.xml><?xml version="1.0" encoding="utf-8"?>
<table xmlns="http://schemas.openxmlformats.org/spreadsheetml/2006/main" ref="A2:G7" displayName="IPCA" name="IPCA" id="2">
  <tableColumns count="7">
    <tableColumn name="Título" id="1"/>
    <tableColumn name="Taxa de Compra" id="2"/>
    <tableColumn name="Preço_Uni" id="3"/>
    <tableColumn name="Taxa de Resgate" id="4"/>
    <tableColumn name="Preço Unitário de Resgate" id="5"/>
    <tableColumn name="Data/Hora da Atualização" id="6"/>
    <tableColumn name="Data do Vencimento" id="7"/>
  </tableColumns>
  <tableStyleInfo name="Indicadores-style" showColumnStripes="0" showFirstColumn="1" showLastColumn="1" showRowStripes="1"/>
</table>
</file>

<file path=xl/tables/table28.xml><?xml version="1.0" encoding="utf-8"?>
<table xmlns="http://schemas.openxmlformats.org/spreadsheetml/2006/main" ref="I2:J5" displayName="BCB" name="BCB" id="4">
  <tableColumns count="2">
    <tableColumn name="Renda" id="1"/>
    <tableColumn name="valor" id="2"/>
  </tableColumns>
  <tableStyleInfo name="Indicadores-style 2" showColumnStripes="0" showFirstColumn="1" showLastColumn="1" showRowStripes="1"/>
</table>
</file>

<file path=xl/tables/table29.xml><?xml version="1.0" encoding="utf-8"?>
<table xmlns="http://schemas.openxmlformats.org/spreadsheetml/2006/main" ref="A3:C27" displayName="Baratos" name="Baratos" id="20">
  <tableColumns count="3">
    <tableColumn name="Ticker" id="1"/>
    <tableColumn name="Está barato?" id="2"/>
    <tableColumn name="Valor" id="3"/>
  </tableColumns>
  <tableStyleInfo name="Aporte-style" showColumnStripes="0" showFirstColumn="1" showLastColumn="1" showRowStripes="1"/>
</table>
</file>

<file path=xl/tables/table30.xml><?xml version="1.0" encoding="utf-8"?>
<table xmlns="http://schemas.openxmlformats.org/spreadsheetml/2006/main" headerRowCount="0" ref="A39:C39" displayName="Table_2" name="Table_2" id="21">
  <tableColumns count="3">
    <tableColumn name="Column1" id="1"/>
    <tableColumn name="Column2" id="2"/>
    <tableColumn name="Column3" id="3"/>
  </tableColumns>
  <tableStyleInfo name="Aporte-style 2" showColumnStripes="0" showFirstColumn="1" showLastColumn="1" showRowStripes="1"/>
</table>
</file>

<file path=xl/tables/table31.xml><?xml version="1.0" encoding="utf-8"?>
<table xmlns="http://schemas.openxmlformats.org/spreadsheetml/2006/main" ref="A3:D15" displayName="Setores_Ações" name="Setores_Ações" id="22">
  <tableColumns count="4">
    <tableColumn name="ticker" id="1"/>
    <tableColumn name="setor" id="2"/>
    <tableColumn name="peso" id="3"/>
    <tableColumn name="financeiro" id="4"/>
  </tableColumns>
  <tableStyleInfo name="grafico-style" showColumnStripes="0" showFirstColumn="1" showLastColumn="1" showRowStripes="1"/>
</table>
</file>

<file path=xl/tables/table32.xml><?xml version="1.0" encoding="utf-8"?>
<table xmlns="http://schemas.openxmlformats.org/spreadsheetml/2006/main" ref="F3:H9" displayName="Total_Setor_Ações" name="Total_Setor_Ações" id="23">
  <tableColumns count="3">
    <tableColumn name="Setor" id="1"/>
    <tableColumn name="% do total" id="2"/>
    <tableColumn name="Total Investido" id="3"/>
  </tableColumns>
  <tableStyleInfo name="grafico-style 2" showColumnStripes="0" showFirstColumn="1" showLastColumn="1" showRowStripes="1"/>
</table>
</file>

<file path=xl/tables/table33.xml><?xml version="1.0" encoding="utf-8"?>
<table xmlns="http://schemas.openxmlformats.org/spreadsheetml/2006/main" ref="J3:M15" displayName="Peso_Ideal_Ações" name="Peso_Ideal_Ações" id="24">
  <tableColumns count="4">
    <tableColumn name="ticker" id="1"/>
    <tableColumn name="setor" id="2"/>
    <tableColumn name="peso" id="3"/>
    <tableColumn name="financeiro" id="4"/>
  </tableColumns>
  <tableStyleInfo name="grafico-style 3" showColumnStripes="0" showFirstColumn="1" showLastColumn="1" showRowStripes="1"/>
</table>
</file>

<file path=xl/tables/table34.xml><?xml version="1.0" encoding="utf-8"?>
<table xmlns="http://schemas.openxmlformats.org/spreadsheetml/2006/main" ref="O3:Q9" displayName="Total_Peso_Ideal_Ações" name="Total_Peso_Ideal_Ações" id="25">
  <tableColumns count="3">
    <tableColumn name="Setor" id="1"/>
    <tableColumn name="% do total" id="2"/>
    <tableColumn name="Total Investido" id="3"/>
  </tableColumns>
  <tableStyleInfo name="grafico-style 4" showColumnStripes="0" showFirstColumn="1" showLastColumn="1" showRowStripes="1"/>
</table>
</file>

<file path=xl/tables/table35.xml><?xml version="1.0" encoding="utf-8"?>
<table xmlns="http://schemas.openxmlformats.org/spreadsheetml/2006/main" ref="T3:W15" displayName="Peso_Setores_Ideal" name="Peso_Setores_Ideal" id="26">
  <tableColumns count="4">
    <tableColumn name="ticker" id="1"/>
    <tableColumn name="setor" id="2"/>
    <tableColumn name="peso" id="3"/>
    <tableColumn name="financeiro" id="4"/>
  </tableColumns>
  <tableStyleInfo name="grafico-style 5" showColumnStripes="0" showFirstColumn="1" showLastColumn="1" showRowStripes="1"/>
</table>
</file>

<file path=xl/tables/table36.xml><?xml version="1.0" encoding="utf-8"?>
<table xmlns="http://schemas.openxmlformats.org/spreadsheetml/2006/main" ref="Y3:AA8" displayName="Peso_Total_Setores_Ideal" name="Peso_Total_Setores_Ideal" id="27">
  <tableColumns count="3">
    <tableColumn name="Setor" id="1"/>
    <tableColumn name="% do total" id="2"/>
    <tableColumn name="Total Investido" id="3"/>
  </tableColumns>
  <tableStyleInfo name="grafico-style 6" showColumnStripes="0" showFirstColumn="1" showLastColumn="1" showRowStripes="1"/>
</table>
</file>

<file path=xl/tables/table37.xml><?xml version="1.0" encoding="utf-8"?>
<table xmlns="http://schemas.openxmlformats.org/spreadsheetml/2006/main" headerRowCount="0" ref="F18:F19" displayName="Table_3" name="Table_3" id="28">
  <tableColumns count="1">
    <tableColumn name="Column1" id="1"/>
  </tableColumns>
  <tableStyleInfo name="grafico-style 7" showColumnStripes="0" showFirstColumn="1" showLastColumn="1" showRowStripes="1"/>
</table>
</file>

<file path=xl/tables/table38.xml><?xml version="1.0" encoding="utf-8"?>
<table xmlns="http://schemas.openxmlformats.org/spreadsheetml/2006/main" ref="F29:H42" displayName="Segmento" name="Segmento" id="29">
  <tableColumns count="3">
    <tableColumn name="Sub_Setor" id="1"/>
    <tableColumn name="% do Total" id="2"/>
    <tableColumn name="Total Investido" id="3"/>
  </tableColumns>
  <tableStyleInfo name="grafico-style 8" showColumnStripes="0" showFirstColumn="1" showLastColumn="1" showRowStripes="1"/>
</table>
</file>

<file path=xl/tables/table39.xml><?xml version="1.0" encoding="utf-8"?>
<table xmlns="http://schemas.openxmlformats.org/spreadsheetml/2006/main" ref="A30:D56" displayName="Grafico_Total" name="Grafico_Total" id="30">
  <tableColumns count="4">
    <tableColumn name="ticker" id="1"/>
    <tableColumn name="setor" id="2"/>
    <tableColumn name="peso" id="3"/>
    <tableColumn name="financeiro" id="4"/>
  </tableColumns>
  <tableStyleInfo name="grafico-style 9" showColumnStripes="0" showFirstColumn="1" showLastColumn="1" showRowStripes="1"/>
</table>
</file>

<file path=xl/tables/table40.xml><?xml version="1.0" encoding="utf-8"?>
<table xmlns="http://schemas.openxmlformats.org/spreadsheetml/2006/main" ref="A60:G73" displayName="Setores_FIIs" name="Setores_FIIs" id="31">
  <tableColumns count="7">
    <tableColumn name="Fundo" id="1"/>
    <tableColumn name="Segmento" id="2"/>
    <tableColumn name="Classificação de Risco" id="3"/>
    <tableColumn name="Qtidade Cotas Atual" id="4"/>
    <tableColumn name="Cotação Atual" id="5"/>
    <tableColumn name="Saldo Atual" id="6"/>
    <tableColumn name="Posição" id="7"/>
  </tableColumns>
  <tableStyleInfo name="grafico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0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7.xml"/><Relationship Id="rId22" Type="http://schemas.openxmlformats.org/officeDocument/2006/relationships/table" Target="../tables/table19.xml"/><Relationship Id="rId21" Type="http://schemas.openxmlformats.org/officeDocument/2006/relationships/table" Target="../tables/table18.xml"/><Relationship Id="rId24" Type="http://schemas.openxmlformats.org/officeDocument/2006/relationships/table" Target="../tables/table21.xml"/><Relationship Id="rId23" Type="http://schemas.openxmlformats.org/officeDocument/2006/relationships/table" Target="../tables/table20.xml"/><Relationship Id="rId1" Type="http://schemas.openxmlformats.org/officeDocument/2006/relationships/drawing" Target="../drawings/drawing3.xml"/><Relationship Id="rId26" Type="http://schemas.openxmlformats.org/officeDocument/2006/relationships/table" Target="../tables/table23.xml"/><Relationship Id="rId25" Type="http://schemas.openxmlformats.org/officeDocument/2006/relationships/table" Target="../tables/table22.xml"/><Relationship Id="rId17" Type="http://schemas.openxmlformats.org/officeDocument/2006/relationships/table" Target="../tables/table14.xml"/><Relationship Id="rId28" Type="http://schemas.openxmlformats.org/officeDocument/2006/relationships/table" Target="../tables/table25.xml"/><Relationship Id="rId16" Type="http://schemas.openxmlformats.org/officeDocument/2006/relationships/table" Target="../tables/table13.xml"/><Relationship Id="rId27" Type="http://schemas.openxmlformats.org/officeDocument/2006/relationships/table" Target="../tables/table24.xml"/><Relationship Id="rId19" Type="http://schemas.openxmlformats.org/officeDocument/2006/relationships/table" Target="../tables/table16.xml"/><Relationship Id="rId18" Type="http://schemas.openxmlformats.org/officeDocument/2006/relationships/table" Target="../tables/table15.xml"/><Relationship Id="rId29" Type="http://schemas.openxmlformats.org/officeDocument/2006/relationships/table" Target="../tables/table2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7.xml"/><Relationship Id="rId5" Type="http://schemas.openxmlformats.org/officeDocument/2006/relationships/table" Target="../tables/table2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9.xml"/><Relationship Id="rId5" Type="http://schemas.openxmlformats.org/officeDocument/2006/relationships/table" Target="../tables/table30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9.xml"/><Relationship Id="rId21" Type="http://schemas.openxmlformats.org/officeDocument/2006/relationships/table" Target="../tables/table40.xml"/><Relationship Id="rId13" Type="http://schemas.openxmlformats.org/officeDocument/2006/relationships/table" Target="../tables/table32.xml"/><Relationship Id="rId12" Type="http://schemas.openxmlformats.org/officeDocument/2006/relationships/table" Target="../tables/table31.xml"/><Relationship Id="rId1" Type="http://schemas.openxmlformats.org/officeDocument/2006/relationships/drawing" Target="../drawings/drawing6.xml"/><Relationship Id="rId15" Type="http://schemas.openxmlformats.org/officeDocument/2006/relationships/table" Target="../tables/table34.xml"/><Relationship Id="rId14" Type="http://schemas.openxmlformats.org/officeDocument/2006/relationships/table" Target="../tables/table33.xml"/><Relationship Id="rId17" Type="http://schemas.openxmlformats.org/officeDocument/2006/relationships/table" Target="../tables/table36.xml"/><Relationship Id="rId16" Type="http://schemas.openxmlformats.org/officeDocument/2006/relationships/table" Target="../tables/table35.xml"/><Relationship Id="rId19" Type="http://schemas.openxmlformats.org/officeDocument/2006/relationships/table" Target="../tables/table38.xml"/><Relationship Id="rId18" Type="http://schemas.openxmlformats.org/officeDocument/2006/relationships/table" Target="../tables/table3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4.63"/>
    <col customWidth="1" min="3" max="3" width="15.63"/>
    <col customWidth="1" min="4" max="4" width="14.13"/>
    <col customWidth="1" min="5" max="5" width="13.5"/>
    <col customWidth="1" min="6" max="6" width="14.63"/>
    <col customWidth="1" min="7" max="7" width="18.38"/>
    <col customWidth="1" min="8" max="8" width="20.38"/>
    <col customWidth="1" min="9" max="9" width="17.88"/>
    <col customWidth="1" min="10" max="10" width="15.0"/>
    <col customWidth="1" min="11" max="11" width="17.0"/>
    <col customWidth="1" min="12" max="12" width="16.0"/>
    <col customWidth="1" min="13" max="13" width="15.25"/>
    <col customWidth="1" min="14" max="14" width="20.5"/>
    <col customWidth="1" min="15" max="15" width="16.88"/>
    <col customWidth="1" min="16" max="16" width="17.5"/>
    <col customWidth="1" min="17" max="17" width="19.38"/>
    <col customWidth="1" min="18" max="18" width="23.0"/>
    <col customWidth="1" min="19" max="19" width="16.13"/>
    <col customWidth="1" min="20" max="21" width="17.38"/>
    <col customWidth="1" min="22" max="22" width="17.75"/>
    <col customWidth="1" min="23" max="23" width="22.13"/>
  </cols>
  <sheetData>
    <row r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141"/>
      <c r="T1" s="50"/>
      <c r="U1" s="53"/>
      <c r="V1" s="142"/>
      <c r="W1" s="143"/>
    </row>
    <row r="2" ht="22.5" customHeight="1">
      <c r="A2" s="1" t="s">
        <v>185</v>
      </c>
      <c r="B2" s="1" t="s">
        <v>186</v>
      </c>
      <c r="C2" s="1" t="s">
        <v>187</v>
      </c>
      <c r="D2" s="81" t="s">
        <v>188</v>
      </c>
      <c r="E2" s="53"/>
      <c r="F2" s="144" t="s">
        <v>22</v>
      </c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145"/>
      <c r="W2" s="53"/>
    </row>
    <row r="3" ht="22.5" customHeight="1">
      <c r="A3" s="146" t="s">
        <v>189</v>
      </c>
      <c r="B3" s="147">
        <f>SUM(Ações_Nacionais[Financeiro])</f>
        <v>6264.32</v>
      </c>
      <c r="C3" s="148">
        <f t="shared" ref="C3:C8" si="1">IFERROR((B3/$B$9), 0)</f>
        <v>0.381650487</v>
      </c>
      <c r="D3" s="149">
        <v>0.45</v>
      </c>
      <c r="E3" s="53"/>
      <c r="F3" s="150">
        <f>Indicadores!J3</f>
        <v>0.139</v>
      </c>
      <c r="G3" s="53"/>
      <c r="H3" s="53"/>
      <c r="I3" s="53"/>
      <c r="J3" s="1" t="s">
        <v>190</v>
      </c>
      <c r="K3" s="1" t="s">
        <v>191</v>
      </c>
      <c r="L3" s="1" t="s">
        <v>192</v>
      </c>
      <c r="M3" s="11" t="s">
        <v>193</v>
      </c>
      <c r="N3" s="151"/>
      <c r="O3" s="53"/>
      <c r="P3" s="53"/>
      <c r="Q3" s="152"/>
      <c r="R3" s="153"/>
      <c r="S3" s="53"/>
      <c r="T3" s="53"/>
      <c r="U3" s="53"/>
      <c r="V3" s="53"/>
    </row>
    <row r="4" ht="22.5" customHeight="1">
      <c r="A4" s="146" t="s">
        <v>194</v>
      </c>
      <c r="B4" s="154">
        <f>SUM(Fiis[Financeiro])</f>
        <v>5656.11</v>
      </c>
      <c r="C4" s="148">
        <f t="shared" si="1"/>
        <v>0.3445956043</v>
      </c>
      <c r="D4" s="149">
        <v>0.25</v>
      </c>
      <c r="E4" s="53"/>
      <c r="F4" s="144" t="s">
        <v>25</v>
      </c>
      <c r="G4" s="155"/>
      <c r="H4" s="156"/>
      <c r="I4" s="153"/>
      <c r="J4" s="157" t="s">
        <v>51</v>
      </c>
      <c r="K4" s="158">
        <f>IFERROR(__xludf.DUMMYFUNCTION("IFERROR(QUERY(IMPORTRANGE(""https://docs.google.com/spreadsheets/d/13BtipUqnMqTLuIjTLHxotLh69yonOifaQ-H3QjUvBGk/edit?usp=sharing"", ""Indicadores_Ações!A30:C""), ""SELECT Col2 WHERE Col1 = '""&amp;J4  &amp;""'"", 0), 0)"),24.582325592518224)</f>
        <v>24.58232559</v>
      </c>
      <c r="L4" s="158">
        <f>IFERROR(__xludf.DUMMYFUNCTION("IFERROR(QUERY(IMPORTRANGE(""https://docs.google.com/spreadsheets/d/13BtipUqnMqTLuIjTLHxotLh69yonOifaQ-H3QjUvBGk/edit?usp=sharing"", ""Indicadores_Ações!A30:D""), ""SELECT Col3 WHERE Col1 = '""&amp;J4  &amp;""'"", 0), 0)"),22.05252712910461)</f>
        <v>22.05252713</v>
      </c>
      <c r="M4" s="159">
        <f>IFERROR(__xludf.DUMMYFUNCTION("IFERROR(QUERY(IMPORTRANGE(""https://docs.google.com/spreadsheets/d/13BtipUqnMqTLuIjTLHxotLh69yonOifaQ-H3QjUvBGk/edit?usp=sharing"", ""Indicadores_Ações!A30:W""), ""SELECT Col4 WHERE Col1 = '""&amp;J4  &amp;""'"", 0), 0)"),0.20153510282095904)</f>
        <v>0.2015351028</v>
      </c>
      <c r="N4" s="151"/>
      <c r="O4" s="53"/>
      <c r="P4" s="53"/>
      <c r="Q4" s="152"/>
      <c r="R4" s="53"/>
      <c r="S4" s="53"/>
      <c r="T4" s="53"/>
      <c r="U4" s="53"/>
      <c r="V4" s="53"/>
    </row>
    <row r="5" ht="22.5" customHeight="1">
      <c r="A5" s="146" t="s">
        <v>169</v>
      </c>
      <c r="B5" s="154">
        <f>SUM(Renda_Fixa[Financeiro])</f>
        <v>1428.885878</v>
      </c>
      <c r="C5" s="148">
        <f t="shared" si="1"/>
        <v>0.08705414017</v>
      </c>
      <c r="D5" s="149">
        <v>0.12</v>
      </c>
      <c r="E5" s="53"/>
      <c r="F5" s="160">
        <f>Indicadores!J4</f>
        <v>0.04443024618</v>
      </c>
      <c r="G5" s="153"/>
      <c r="H5" s="53"/>
      <c r="I5" s="53"/>
      <c r="J5" s="157" t="s">
        <v>55</v>
      </c>
      <c r="K5" s="158">
        <f>IFERROR(__xludf.DUMMYFUNCTION("IFERROR(QUERY(IMPORTRANGE(""https://docs.google.com/spreadsheets/d/13BtipUqnMqTLuIjTLHxotLh69yonOifaQ-H3QjUvBGk/edit?usp=sharing"", ""Indicadores_Ações!A30:C""), ""SELECT Col2 WHERE Col1 = '""&amp;J5  &amp;""'"", 0), 0)"),41.278339110948615)</f>
        <v>41.27833911</v>
      </c>
      <c r="L5" s="158">
        <f>IFERROR(__xludf.DUMMYFUNCTION("IFERROR(QUERY(IMPORTRANGE(""https://docs.google.com/spreadsheets/d/13BtipUqnMqTLuIjTLHxotLh69yonOifaQ-H3QjUvBGk/edit?usp=sharing"", ""Indicadores_Ações!A30:D""), ""SELECT Col3 WHERE Col1 = '""&amp;J5  &amp;""'"", 0), 0)"),35.54874689479061)</f>
        <v>35.54874689</v>
      </c>
      <c r="M5" s="159">
        <f>IFERROR(__xludf.DUMMYFUNCTION("IFERROR(QUERY(IMPORTRANGE(""https://docs.google.com/spreadsheets/d/13BtipUqnMqTLuIjTLHxotLh69yonOifaQ-H3QjUvBGk/edit?usp=sharing"", ""Indicadores_Ações!A30:W""), ""SELECT Col4 WHERE Col1 = '""&amp;J5  &amp;""'"", 0), 0)"),0.16419505043441035)</f>
        <v>0.1641950504</v>
      </c>
      <c r="N5" s="151"/>
      <c r="O5" s="53"/>
      <c r="P5" s="53"/>
      <c r="Q5" s="53"/>
      <c r="R5" s="53"/>
      <c r="S5" s="53"/>
      <c r="T5" s="53"/>
      <c r="U5" s="53"/>
      <c r="V5" s="53"/>
    </row>
    <row r="6" ht="22.5" customHeight="1">
      <c r="A6" s="146" t="s">
        <v>180</v>
      </c>
      <c r="B6" s="147">
        <f>SUM(Etfs[financeiro])</f>
        <v>2323.047397</v>
      </c>
      <c r="C6" s="148">
        <f t="shared" si="1"/>
        <v>0.1415304726</v>
      </c>
      <c r="D6" s="149">
        <v>0.14</v>
      </c>
      <c r="E6" s="53"/>
      <c r="F6" s="156"/>
      <c r="G6" s="153"/>
      <c r="H6" s="155"/>
      <c r="I6" s="155"/>
      <c r="J6" s="157" t="s">
        <v>63</v>
      </c>
      <c r="K6" s="158">
        <f>IFERROR(__xludf.DUMMYFUNCTION("IFERROR(QUERY(IMPORTRANGE(""https://docs.google.com/spreadsheets/d/13BtipUqnMqTLuIjTLHxotLh69yonOifaQ-H3QjUvBGk/edit?usp=sharing"", ""Indicadores_Ações!A30:C""), ""SELECT Col2 WHERE Col1 = '""&amp;J6  &amp;""'"", 0), 0)"),42.94063084013628)</f>
        <v>42.94063084</v>
      </c>
      <c r="L6" s="158">
        <f>IFERROR(__xludf.DUMMYFUNCTION("IFERROR(QUERY(IMPORTRANGE(""https://docs.google.com/spreadsheets/d/13BtipUqnMqTLuIjTLHxotLh69yonOifaQ-H3QjUvBGk/edit?usp=sharing"", ""Indicadores_Ações!A30:D""), ""SELECT Col3 WHERE Col1 = '""&amp;J6  &amp;""'"", 0), 0)"),36.14885822843896)</f>
        <v>36.14885823</v>
      </c>
      <c r="M6" s="159">
        <f>IFERROR(__xludf.DUMMYFUNCTION("IFERROR(QUERY(IMPORTRANGE(""https://docs.google.com/spreadsheets/d/13BtipUqnMqTLuIjTLHxotLh69yonOifaQ-H3QjUvBGk/edit?usp=sharing"", ""Indicadores_Ações!A30:W""), ""SELECT Col4 WHERE Col1 = '""&amp;J6  &amp;""'"", 0), 0)"),0.15140007110151935)</f>
        <v>0.1514000711</v>
      </c>
      <c r="N6" s="151"/>
      <c r="O6" s="53"/>
      <c r="P6" s="53"/>
      <c r="Q6" s="53"/>
      <c r="R6" s="53"/>
      <c r="S6" s="53"/>
      <c r="T6" s="53"/>
      <c r="U6" s="53"/>
      <c r="V6" s="53"/>
    </row>
    <row r="7" ht="22.5" customHeight="1">
      <c r="A7" s="146" t="s">
        <v>173</v>
      </c>
      <c r="B7" s="154">
        <f>SUM(Tesouro[Financeiro])</f>
        <v>307.7726</v>
      </c>
      <c r="C7" s="148">
        <f t="shared" si="1"/>
        <v>0.01875088799</v>
      </c>
      <c r="D7" s="149">
        <v>0.02</v>
      </c>
      <c r="E7" s="53"/>
      <c r="F7" s="156"/>
      <c r="G7" s="153"/>
      <c r="H7" s="155"/>
      <c r="I7" s="155"/>
      <c r="J7" s="157" t="s">
        <v>158</v>
      </c>
      <c r="K7" s="158">
        <f>IFERROR(__xludf.DUMMYFUNCTION("IFERROR(QUERY(IMPORTRANGE(""https://docs.google.com/spreadsheets/d/13BtipUqnMqTLuIjTLHxotLh69yonOifaQ-H3QjUvBGk/edit?usp=sharing"", ""Indicadores_Ações!A30:C""), ""SELECT Col2 WHERE Col1 = '""&amp;J7  &amp;""'"", 0), 0)"),14.820468978710906)</f>
        <v>14.82046898</v>
      </c>
      <c r="L7" s="158">
        <f>IFERROR(__xludf.DUMMYFUNCTION("IFERROR(QUERY(IMPORTRANGE(""https://docs.google.com/spreadsheets/d/13BtipUqnMqTLuIjTLHxotLh69yonOifaQ-H3QjUvBGk/edit?usp=sharing"", ""Indicadores_Ações!A30:D""), ""SELECT Col3 WHERE Col1 = '""&amp;J7  &amp;""'"", 0), 0)"),12.519149674593985)</f>
        <v>12.51914967</v>
      </c>
      <c r="M7" s="159">
        <f>IFERROR(__xludf.DUMMYFUNCTION("IFERROR(QUERY(IMPORTRANGE(""https://docs.google.com/spreadsheets/d/13BtipUqnMqTLuIjTLHxotLh69yonOifaQ-H3QjUvBGk/edit?usp=sharing"", ""Indicadores_Ações!A30:W""), ""SELECT Col4 WHERE Col1 = '""&amp;J7  &amp;""'"", 0), 0)"),0.254539876482554)</f>
        <v>0.2545398765</v>
      </c>
      <c r="N7" s="151"/>
      <c r="O7" s="53"/>
      <c r="P7" s="53"/>
      <c r="Q7" s="53"/>
      <c r="R7" s="53"/>
      <c r="S7" s="53"/>
      <c r="T7" s="53"/>
      <c r="U7" s="53"/>
      <c r="V7" s="53"/>
    </row>
    <row r="8" ht="22.5" customHeight="1">
      <c r="A8" s="161" t="s">
        <v>171</v>
      </c>
      <c r="B8" s="162">
        <f>SUM(Cripto[financeiro])</f>
        <v>433.6254412</v>
      </c>
      <c r="C8" s="163">
        <f t="shared" si="1"/>
        <v>0.02641840788</v>
      </c>
      <c r="D8" s="164">
        <v>0.02</v>
      </c>
      <c r="E8" s="53"/>
      <c r="F8" s="156"/>
      <c r="G8" s="153"/>
      <c r="H8" s="155"/>
      <c r="I8" s="155"/>
      <c r="J8" s="157" t="s">
        <v>95</v>
      </c>
      <c r="K8" s="158">
        <f>IFERROR(__xludf.DUMMYFUNCTION("IFERROR(QUERY(IMPORTRANGE(""https://docs.google.com/spreadsheets/d/13BtipUqnMqTLuIjTLHxotLh69yonOifaQ-H3QjUvBGk/edit?usp=sharing"", ""Indicadores_Ações!A30:C""), ""SELECT Col2 WHERE Col1 = '""&amp;J8  &amp;""'"", 0), 0)"),11.72733300564568)</f>
        <v>11.72733301</v>
      </c>
      <c r="L8" s="158" t="str">
        <f>IFERROR(__xludf.DUMMYFUNCTION("IFERROR(QUERY(IMPORTRANGE(""https://docs.google.com/spreadsheets/d/13BtipUqnMqTLuIjTLHxotLh69yonOifaQ-H3QjUvBGk/edit?usp=sharing"", ""Indicadores_Ações!A30:D""), ""SELECT Col3 WHERE Col1 = '""&amp;J8  &amp;""'"", 0), 0)"),"")</f>
        <v/>
      </c>
      <c r="M8" s="159">
        <f>IFERROR(__xludf.DUMMYFUNCTION("IFERROR(QUERY(IMPORTRANGE(""https://docs.google.com/spreadsheets/d/13BtipUqnMqTLuIjTLHxotLh69yonOifaQ-H3QjUvBGk/edit?usp=sharing"", ""Indicadores_Ações!A30:W""), ""SELECT Col4 WHERE Col1 = '""&amp;J8  &amp;""'"", 0), 0)"),0.07521528348136512)</f>
        <v>0.07521528348</v>
      </c>
      <c r="N8" s="151"/>
      <c r="O8" s="53"/>
      <c r="P8" s="53"/>
      <c r="Q8" s="53"/>
      <c r="R8" s="53"/>
      <c r="S8" s="53"/>
      <c r="T8" s="53"/>
      <c r="U8" s="53"/>
      <c r="V8" s="53"/>
    </row>
    <row r="9" ht="22.5" customHeight="1">
      <c r="A9" s="146" t="s">
        <v>186</v>
      </c>
      <c r="B9" s="154">
        <f t="shared" ref="B9:D9" si="2">SUM(B3:B8)</f>
        <v>16413.76132</v>
      </c>
      <c r="C9" s="165">
        <f t="shared" si="2"/>
        <v>1</v>
      </c>
      <c r="D9" s="166">
        <f t="shared" si="2"/>
        <v>1</v>
      </c>
      <c r="E9" s="53"/>
      <c r="F9" s="53"/>
      <c r="G9" s="53"/>
      <c r="H9" s="53"/>
      <c r="I9" s="53"/>
      <c r="J9" s="157" t="s">
        <v>58</v>
      </c>
      <c r="K9" s="158">
        <f>IFERROR(__xludf.DUMMYFUNCTION("IFERROR(QUERY(IMPORTRANGE(""https://docs.google.com/spreadsheets/d/13BtipUqnMqTLuIjTLHxotLh69yonOifaQ-H3QjUvBGk/edit?usp=sharing"", ""Indicadores_Ações!A30:C""), ""SELECT Col2 WHERE Col1 = '""&amp;J9  &amp;""'"", 0), 0)"),32.73144074168751)</f>
        <v>32.73144074</v>
      </c>
      <c r="L9" s="167" t="str">
        <f>IFERROR(__xludf.DUMMYFUNCTION("IFERROR(QUERY(IMPORTRANGE(""https://docs.google.com/spreadsheets/d/13BtipUqnMqTLuIjTLHxotLh69yonOifaQ-H3QjUvBGk/edit?usp=sharing"", ""Indicadores_Ações!A30:D""), ""SELECT Col3 WHERE Col1 = '""&amp;J9  &amp;""'"", 0), 0)"),"")</f>
        <v/>
      </c>
      <c r="M9" s="159">
        <f>IFERROR(__xludf.DUMMYFUNCTION("IFERROR(QUERY(IMPORTRANGE(""https://docs.google.com/spreadsheets/d/13BtipUqnMqTLuIjTLHxotLh69yonOifaQ-H3QjUvBGk/edit?usp=sharing"", ""Indicadores_Ações!A30:W""), ""SELECT Col4 WHERE Col1 = '""&amp;J9  &amp;""'"", 0), 0)"),-0.0017091351308990512)</f>
        <v>-0.001709135131</v>
      </c>
      <c r="N9" s="168"/>
      <c r="O9" s="53"/>
      <c r="P9" s="53"/>
      <c r="Q9" s="53"/>
      <c r="R9" s="53"/>
      <c r="S9" s="53"/>
      <c r="T9" s="53"/>
      <c r="U9" s="53"/>
      <c r="V9" s="53"/>
    </row>
    <row r="10" ht="22.5" customHeight="1">
      <c r="A10" s="53"/>
      <c r="B10" s="53"/>
      <c r="C10" s="53"/>
      <c r="D10" s="53"/>
      <c r="E10" s="53"/>
      <c r="F10" s="53"/>
      <c r="G10" s="53"/>
      <c r="H10" s="53"/>
      <c r="I10" s="53"/>
      <c r="J10" s="157" t="s">
        <v>100</v>
      </c>
      <c r="K10" s="158">
        <f>IFERROR(__xludf.DUMMYFUNCTION("IFERROR(QUERY(IMPORTRANGE(""https://docs.google.com/spreadsheets/d/13BtipUqnMqTLuIjTLHxotLh69yonOifaQ-H3QjUvBGk/edit?usp=sharing"", ""Indicadores_Ações!A30:C""), ""SELECT Col2 WHERE Col1 = '""&amp;J10  &amp;""'"", 0), 0)"),24.700599016406418)</f>
        <v>24.70059902</v>
      </c>
      <c r="L10" s="169" t="str">
        <f>IFERROR(__xludf.DUMMYFUNCTION("IFERROR(QUERY(IMPORTRANGE(""https://docs.google.com/spreadsheets/d/13BtipUqnMqTLuIjTLHxotLh69yonOifaQ-H3QjUvBGk/edit?usp=sharing"", ""Indicadores_Ações!A30:D""), ""SELECT Col3 WHERE Col1 = '""&amp;J10  &amp;""'"", 0), 0)"),"")</f>
        <v/>
      </c>
      <c r="M10" s="170">
        <f>IFERROR(__xludf.DUMMYFUNCTION("IFERROR(QUERY(IMPORTRANGE(""https://docs.google.com/spreadsheets/d/13BtipUqnMqTLuIjTLHxotLh69yonOifaQ-H3QjUvBGk/edit?usp=sharing"", ""Indicadores_Ações!A30:W""), ""SELECT Col4 WHERE Col1 = '""&amp;J10  &amp;""'"", 0), 0)"),0.017886036232895787)</f>
        <v>0.01788603623</v>
      </c>
      <c r="N10" s="168"/>
      <c r="O10" s="155"/>
      <c r="P10" s="53"/>
      <c r="Q10" s="53"/>
      <c r="R10" s="53"/>
      <c r="S10" s="53"/>
      <c r="T10" s="53"/>
      <c r="U10" s="53"/>
      <c r="V10" s="53"/>
    </row>
    <row r="11" ht="22.5" customHeight="1">
      <c r="A11" s="53"/>
      <c r="B11" s="53"/>
      <c r="C11" s="53"/>
      <c r="D11" s="53"/>
      <c r="E11" s="53"/>
      <c r="F11" s="53"/>
      <c r="G11" s="53"/>
      <c r="H11" s="53"/>
      <c r="I11" s="53"/>
      <c r="J11" s="157" t="s">
        <v>91</v>
      </c>
      <c r="K11" s="158">
        <f>IFERROR(__xludf.DUMMYFUNCTION("IFERROR(QUERY(IMPORTRANGE(""https://docs.google.com/spreadsheets/d/13BtipUqnMqTLuIjTLHxotLh69yonOifaQ-H3QjUvBGk/edit?usp=sharing"", ""Indicadores_Ações!A30:C""), ""SELECT Col2 WHERE Col1 = '""&amp;J11  &amp;""'"", 0), 0)"),42.56865445908471)</f>
        <v>42.56865446</v>
      </c>
      <c r="L11" s="169" t="str">
        <f>IFERROR(__xludf.DUMMYFUNCTION("IFERROR(QUERY(IMPORTRANGE(""https://docs.google.com/spreadsheets/d/13BtipUqnMqTLuIjTLHxotLh69yonOifaQ-H3QjUvBGk/edit?usp=sharing"", ""Indicadores_Ações!A30:D""), ""SELECT Col3 WHERE Col1 = '""&amp;J11  &amp;""'"", 0), 0)"),"")</f>
        <v/>
      </c>
      <c r="M11" s="170">
        <f>IFERROR(__xludf.DUMMYFUNCTION("IFERROR(QUERY(IMPORTRANGE(""https://docs.google.com/spreadsheets/d/13BtipUqnMqTLuIjTLHxotLh69yonOifaQ-H3QjUvBGk/edit?usp=sharing"", ""Indicadores_Ações!A30:W""), ""SELECT Col4 WHERE Col1 = '""&amp;J11  &amp;""'"", 0), 0)"),0.12833071325893916)</f>
        <v>0.1283307133</v>
      </c>
      <c r="N11" s="168"/>
      <c r="O11" s="155"/>
      <c r="P11" s="53"/>
      <c r="Q11" s="53"/>
      <c r="R11" s="53"/>
      <c r="S11" s="53"/>
      <c r="T11" s="53"/>
      <c r="U11" s="53"/>
      <c r="V11" s="53"/>
    </row>
    <row r="12" ht="22.5" customHeight="1">
      <c r="A12" s="53"/>
      <c r="B12" s="53"/>
      <c r="C12" s="53"/>
      <c r="D12" s="53"/>
      <c r="E12" s="53"/>
      <c r="F12" s="53"/>
      <c r="G12" s="53"/>
      <c r="H12" s="53"/>
      <c r="I12" s="53"/>
      <c r="J12" s="157" t="s">
        <v>57</v>
      </c>
      <c r="K12" s="158">
        <f>IFERROR(__xludf.DUMMYFUNCTION("IFERROR(QUERY(IMPORTRANGE(""https://docs.google.com/spreadsheets/d/13BtipUqnMqTLuIjTLHxotLh69yonOifaQ-H3QjUvBGk/edit?usp=sharing"", ""Indicadores_Ações!A30:C""), ""SELECT Col2 WHERE Col1 = '""&amp;J12  &amp;""'"", 0), 0)"),67.54718003647454)</f>
        <v>67.54718004</v>
      </c>
      <c r="L12" s="169" t="str">
        <f>IFERROR(__xludf.DUMMYFUNCTION("IFERROR(QUERY(IMPORTRANGE(""https://docs.google.com/spreadsheets/d/13BtipUqnMqTLuIjTLHxotLh69yonOifaQ-H3QjUvBGk/edit?usp=sharing"", ""Indicadores_Ações!A30:D""), ""SELECT Col3 WHERE Col1 = '""&amp;J12  &amp;""'"", 0), 0)"),"")</f>
        <v/>
      </c>
      <c r="M12" s="170">
        <f>IFERROR(__xludf.DUMMYFUNCTION("IFERROR(QUERY(IMPORTRANGE(""https://docs.google.com/spreadsheets/d/13BtipUqnMqTLuIjTLHxotLh69yonOifaQ-H3QjUvBGk/edit?usp=sharing"", ""Indicadores_Ações!A30:W""), ""SELECT Col4 WHERE Col1 = '""&amp;J12  &amp;""'"", 0), 0)"),0.09310251941736486)</f>
        <v>0.09310251942</v>
      </c>
      <c r="N12" s="168"/>
      <c r="O12" s="155"/>
      <c r="P12" s="53"/>
      <c r="Q12" s="53"/>
      <c r="R12" s="53"/>
      <c r="S12" s="53"/>
      <c r="T12" s="53"/>
      <c r="U12" s="53"/>
      <c r="V12" s="53"/>
    </row>
    <row r="13" ht="22.5" customHeight="1">
      <c r="A13" s="53"/>
      <c r="B13" s="53"/>
      <c r="C13" s="53"/>
      <c r="D13" s="53"/>
      <c r="E13" s="53"/>
      <c r="F13" s="53"/>
      <c r="G13" s="53"/>
      <c r="H13" s="53"/>
      <c r="I13" s="53"/>
      <c r="J13" s="157" t="s">
        <v>73</v>
      </c>
      <c r="K13" s="158">
        <f>IFERROR(__xludf.DUMMYFUNCTION("IFERROR(QUERY(IMPORTRANGE(""https://docs.google.com/spreadsheets/d/13BtipUqnMqTLuIjTLHxotLh69yonOifaQ-H3QjUvBGk/edit?usp=sharing"", ""Indicadores_Ações!A30:C""), ""SELECT Col2 WHERE Col1 = '""&amp;J13  &amp;""'"", 0), 0)"),45.58782647565251)</f>
        <v>45.58782648</v>
      </c>
      <c r="L13" s="169" t="str">
        <f>IFERROR(__xludf.DUMMYFUNCTION("IFERROR(QUERY(IMPORTRANGE(""https://docs.google.com/spreadsheets/d/13BtipUqnMqTLuIjTLHxotLh69yonOifaQ-H3QjUvBGk/edit?usp=sharing"", ""Indicadores_Ações!A30:D""), ""SELECT Col3 WHERE Col1 = '""&amp;J13  &amp;""'"", 0), 0)"),"")</f>
        <v/>
      </c>
      <c r="M13" s="170">
        <f>IFERROR(__xludf.DUMMYFUNCTION("IFERROR(QUERY(IMPORTRANGE(""https://docs.google.com/spreadsheets/d/13BtipUqnMqTLuIjTLHxotLh69yonOifaQ-H3QjUvBGk/edit?usp=sharing"", ""Indicadores_Ações!A30:W""), ""SELECT Col4 WHERE Col1 = '""&amp;J13  &amp;""'"", 0), 0)"),0.12034904732443337)</f>
        <v>0.1203490473</v>
      </c>
      <c r="N13" s="168"/>
      <c r="O13" s="155"/>
      <c r="P13" s="53"/>
      <c r="Q13" s="53"/>
      <c r="R13" s="53"/>
      <c r="S13" s="53"/>
      <c r="T13" s="53"/>
      <c r="U13" s="53"/>
      <c r="V13" s="53"/>
    </row>
    <row r="14" ht="22.5" customHeight="1">
      <c r="A14" s="53"/>
      <c r="B14" s="53"/>
      <c r="C14" s="53"/>
      <c r="D14" s="53"/>
      <c r="E14" s="53"/>
      <c r="F14" s="53"/>
      <c r="G14" s="53"/>
      <c r="H14" s="53"/>
      <c r="I14" s="53"/>
      <c r="J14" s="157" t="s">
        <v>101</v>
      </c>
      <c r="K14" s="158">
        <f>IFERROR(__xludf.DUMMYFUNCTION("IFERROR(QUERY(IMPORTRANGE(""https://docs.google.com/spreadsheets/d/13BtipUqnMqTLuIjTLHxotLh69yonOifaQ-H3QjUvBGk/edit?usp=sharing"", ""Indicadores_Ações!A30:C""), ""SELECT Col2 WHERE Col1 = '""&amp;J14  &amp;""'"", 0), 0)"),7.255943037069481)</f>
        <v>7.255943037</v>
      </c>
      <c r="L14" s="169" t="str">
        <f>IFERROR(__xludf.DUMMYFUNCTION("IFERROR(QUERY(IMPORTRANGE(""https://docs.google.com/spreadsheets/d/13BtipUqnMqTLuIjTLHxotLh69yonOifaQ-H3QjUvBGk/edit?usp=sharing"", ""Indicadores_Ações!A30:D""), ""SELECT Col3 WHERE Col1 = '""&amp;J14  &amp;""'"", 0), 0)"),"")</f>
        <v/>
      </c>
      <c r="M14" s="170">
        <f>IFERROR(__xludf.DUMMYFUNCTION("IFERROR(QUERY(IMPORTRANGE(""https://docs.google.com/spreadsheets/d/13BtipUqnMqTLuIjTLHxotLh69yonOifaQ-H3QjUvBGk/edit?usp=sharing"", ""Indicadores_Ações!A30:W""), ""SELECT Col4 WHERE Col1 = '""&amp;J14  &amp;""'"", 0), 0)"),0.13281138489251504)</f>
        <v>0.1328113849</v>
      </c>
      <c r="N14" s="168"/>
      <c r="O14" s="155"/>
      <c r="P14" s="53"/>
      <c r="Q14" s="53"/>
      <c r="R14" s="53"/>
      <c r="S14" s="53"/>
      <c r="T14" s="53"/>
      <c r="U14" s="53"/>
      <c r="V14" s="53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151"/>
      <c r="K15" s="151"/>
      <c r="L15" s="151"/>
      <c r="M15" s="171"/>
      <c r="N15" s="172"/>
      <c r="O15" s="168"/>
      <c r="P15" s="155"/>
      <c r="Q15" s="53"/>
      <c r="R15" s="53"/>
      <c r="S15" s="53"/>
      <c r="T15" s="53"/>
      <c r="U15" s="53"/>
      <c r="V15" s="53"/>
      <c r="W15" s="53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151"/>
      <c r="K16" s="151"/>
      <c r="L16" s="151"/>
      <c r="M16" s="171"/>
      <c r="N16" s="173"/>
      <c r="O16" s="168"/>
      <c r="P16" s="155"/>
      <c r="Q16" s="155"/>
      <c r="R16" s="53"/>
      <c r="S16" s="53"/>
      <c r="T16" s="53"/>
      <c r="U16" s="53"/>
      <c r="V16" s="53"/>
      <c r="W16" s="53"/>
    </row>
    <row r="17">
      <c r="A17" s="54"/>
      <c r="B17" s="50"/>
      <c r="C17" s="174"/>
      <c r="D17" s="174"/>
      <c r="E17" s="174"/>
      <c r="F17" s="174"/>
      <c r="G17" s="53"/>
      <c r="H17" s="53"/>
      <c r="I17" s="53"/>
      <c r="J17" s="151"/>
      <c r="K17" s="151"/>
      <c r="L17" s="151"/>
      <c r="M17" s="171"/>
      <c r="N17" s="173"/>
      <c r="O17" s="168"/>
      <c r="P17" s="53"/>
      <c r="Q17" s="155"/>
      <c r="R17" s="53"/>
      <c r="S17" s="53"/>
      <c r="T17" s="53"/>
      <c r="U17" s="53"/>
      <c r="V17" s="53"/>
      <c r="W17" s="53"/>
    </row>
    <row r="18">
      <c r="A18" s="54"/>
      <c r="B18" s="50"/>
      <c r="C18" s="174"/>
      <c r="D18" s="175"/>
      <c r="E18" s="176"/>
      <c r="F18" s="174"/>
      <c r="G18" s="53"/>
      <c r="H18" s="53"/>
      <c r="I18" s="53"/>
      <c r="J18" s="151"/>
      <c r="K18" s="151"/>
      <c r="L18" s="151"/>
      <c r="M18" s="171"/>
      <c r="N18" s="173"/>
      <c r="O18" s="168"/>
      <c r="P18" s="155"/>
      <c r="Q18" s="155"/>
      <c r="R18" s="53"/>
      <c r="S18" s="53"/>
      <c r="T18" s="53"/>
      <c r="U18" s="53"/>
      <c r="V18" s="53"/>
      <c r="W18" s="53"/>
    </row>
    <row r="19">
      <c r="A19" s="177"/>
      <c r="C19" s="174"/>
      <c r="D19" s="175"/>
      <c r="E19" s="176"/>
      <c r="F19" s="174"/>
      <c r="G19" s="53"/>
      <c r="H19" s="53"/>
      <c r="I19" s="53"/>
      <c r="J19" s="151"/>
      <c r="K19" s="151"/>
      <c r="L19" s="151"/>
      <c r="M19" s="178"/>
      <c r="N19" s="173"/>
      <c r="O19" s="168"/>
      <c r="P19" s="155"/>
      <c r="Q19" s="155"/>
      <c r="R19" s="53"/>
      <c r="S19" s="53"/>
      <c r="T19" s="53"/>
      <c r="U19" s="53"/>
      <c r="V19" s="53"/>
      <c r="W19" s="53"/>
    </row>
    <row r="20">
      <c r="A20" s="54"/>
      <c r="B20" s="54"/>
      <c r="C20" s="174"/>
      <c r="D20" s="175"/>
      <c r="E20" s="179"/>
      <c r="F20" s="174"/>
      <c r="G20" s="180"/>
      <c r="H20" s="180"/>
      <c r="I20" s="180"/>
      <c r="J20" s="151"/>
      <c r="K20" s="151"/>
      <c r="L20" s="181"/>
      <c r="M20" s="182"/>
      <c r="N20" s="183"/>
      <c r="O20" s="181"/>
      <c r="P20" s="180"/>
      <c r="Q20" s="180"/>
      <c r="R20" s="180"/>
      <c r="S20" s="180"/>
      <c r="T20" s="180"/>
      <c r="U20" s="180"/>
      <c r="V20" s="180"/>
      <c r="W20" s="180"/>
    </row>
    <row r="21" ht="22.5" customHeight="1">
      <c r="A21" s="1" t="s">
        <v>195</v>
      </c>
      <c r="B21" s="1" t="s">
        <v>196</v>
      </c>
      <c r="C21" s="1" t="s">
        <v>197</v>
      </c>
      <c r="D21" s="2" t="s">
        <v>198</v>
      </c>
      <c r="E21" s="2" t="s">
        <v>188</v>
      </c>
      <c r="F21" s="1" t="s">
        <v>115</v>
      </c>
      <c r="G21" s="2" t="s">
        <v>191</v>
      </c>
      <c r="H21" s="2" t="s">
        <v>199</v>
      </c>
      <c r="I21" s="2" t="s">
        <v>200</v>
      </c>
      <c r="J21" s="2" t="s">
        <v>201</v>
      </c>
      <c r="K21" s="1" t="s">
        <v>202</v>
      </c>
      <c r="L21" s="11" t="s">
        <v>193</v>
      </c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</row>
    <row r="22" ht="22.5" customHeight="1">
      <c r="A22" s="184">
        <v>28.0</v>
      </c>
      <c r="B22" s="31" t="s">
        <v>51</v>
      </c>
      <c r="C22" s="185">
        <f t="shared" ref="C22:C34" si="3">IFERROR((F22/$B$9), 0)</f>
        <v>0.03841654499</v>
      </c>
      <c r="D22" s="186">
        <v>10.0</v>
      </c>
      <c r="E22" s="187">
        <f>(D22/SUM(Ações_Nacionais[Nota]))*$D$3</f>
        <v>0.04090909091</v>
      </c>
      <c r="F22" s="188">
        <f t="shared" ref="F22:F34" si="4">A22*K22</f>
        <v>630.56</v>
      </c>
      <c r="G22" s="189">
        <f t="array" ref="G22">IFERROR(INDEX(FCD[], MATCH(B22, FCD[TICKER], 0), MATCH(FCD[[#HEADERS],[FCFE_KE]], FCD[#HEADERS], 0)),"")</f>
        <v>24.58232559</v>
      </c>
      <c r="H22" s="190">
        <v>0.2</v>
      </c>
      <c r="I22" s="189">
        <f t="shared" ref="I22:I34" si="5">G22*(1-H22)</f>
        <v>19.66586047</v>
      </c>
      <c r="J22" s="191">
        <f t="shared" ref="J22:J32" si="6">IFERROR(1-(K22/G22),"")</f>
        <v>0.08389464962</v>
      </c>
      <c r="K22" s="192">
        <f>IFERROR(__xludf.DUMMYFUNCTION("(GOOGLEFINANCE(""BVMF:"" &amp; B22))"),22.52)</f>
        <v>22.52</v>
      </c>
      <c r="L22" s="193">
        <f t="array" ref="L22">IFERROR(INDEX(FCD[], MATCH(B22, FCD[TICKER], 0), MATCH(FCD[[#HEADERS],[TIR]], FCD[#HEADERS], 0)),"")</f>
        <v>0.2015351028</v>
      </c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</row>
    <row r="23" ht="22.5" customHeight="1">
      <c r="A23" s="194">
        <v>20.0</v>
      </c>
      <c r="B23" s="195" t="s">
        <v>158</v>
      </c>
      <c r="C23" s="196">
        <f t="shared" si="3"/>
        <v>0.01709541126</v>
      </c>
      <c r="D23" s="197">
        <v>10.0</v>
      </c>
      <c r="E23" s="187">
        <f>(D23/SUM(Ações_Nacionais[Nota]))*$D$3</f>
        <v>0.04090909091</v>
      </c>
      <c r="F23" s="198">
        <f t="shared" si="4"/>
        <v>280.6</v>
      </c>
      <c r="G23" s="189">
        <f t="array" ref="G23">IFERROR(INDEX(FCD[], MATCH(B23, FCD[TICKER], 0), MATCH(FCD[[#HEADERS],[FCFE_KE]], FCD[#HEADERS], 0)),"")</f>
        <v>14.82046898</v>
      </c>
      <c r="H23" s="190">
        <v>0.16</v>
      </c>
      <c r="I23" s="199">
        <f t="shared" si="5"/>
        <v>12.44919394</v>
      </c>
      <c r="J23" s="191">
        <f t="shared" si="6"/>
        <v>0.05333629994</v>
      </c>
      <c r="K23" s="200">
        <f>IFERROR(__xludf.DUMMYFUNCTION("(GOOGLEFINANCE(""BVMF:"" &amp; B23))"),14.03)</f>
        <v>14.03</v>
      </c>
      <c r="L23" s="193">
        <f t="array" ref="L23">IFERROR(INDEX(FCD[], MATCH(B23, FCD[TICKER], 0), MATCH(FCD[[#HEADERS],[TIR]], FCD[#HEADERS], 0)),"")</f>
        <v>0.2545398765</v>
      </c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</row>
    <row r="24" ht="22.5" customHeight="1">
      <c r="A24" s="184">
        <v>59.0</v>
      </c>
      <c r="B24" s="48" t="s">
        <v>101</v>
      </c>
      <c r="C24" s="201">
        <f t="shared" si="3"/>
        <v>0.02458668627</v>
      </c>
      <c r="D24" s="186">
        <v>10.0</v>
      </c>
      <c r="E24" s="187">
        <f>(D24/SUM(Ações_Nacionais[Nota]))*$D$3</f>
        <v>0.04090909091</v>
      </c>
      <c r="F24" s="188">
        <f t="shared" si="4"/>
        <v>403.56</v>
      </c>
      <c r="G24" s="189">
        <f t="array" ref="G24">IFERROR(INDEX(FCD[], MATCH(B24, FCD[TICKER], 0), MATCH(FCD[[#HEADERS],[FCFE_KE]], FCD[#HEADERS], 0)),"")</f>
        <v>7.255943037</v>
      </c>
      <c r="H24" s="190">
        <v>0.1</v>
      </c>
      <c r="I24" s="189">
        <f t="shared" si="5"/>
        <v>6.530348733</v>
      </c>
      <c r="J24" s="191">
        <f t="shared" si="6"/>
        <v>0.05732446285</v>
      </c>
      <c r="K24" s="192">
        <f>IFERROR(__xludf.DUMMYFUNCTION("(GOOGLEFINANCE(""BVMF:"" &amp; B24))"),6.84)</f>
        <v>6.84</v>
      </c>
      <c r="L24" s="193">
        <f t="array" ref="L24">IFERROR(INDEX(FCD[], MATCH(B24, FCD[TICKER], 0), MATCH(FCD[[#HEADERS],[TIR]], FCD[#HEADERS], 0)),"")</f>
        <v>0.1328113849</v>
      </c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ht="22.5" customHeight="1">
      <c r="A25" s="184">
        <v>46.0</v>
      </c>
      <c r="B25" s="202" t="s">
        <v>95</v>
      </c>
      <c r="C25" s="201">
        <f t="shared" si="3"/>
        <v>0.03166854873</v>
      </c>
      <c r="D25" s="186">
        <v>10.0</v>
      </c>
      <c r="E25" s="187">
        <f>(D25/SUM(Ações_Nacionais[Nota]))*$D$3</f>
        <v>0.04090909091</v>
      </c>
      <c r="F25" s="188">
        <f t="shared" si="4"/>
        <v>519.8</v>
      </c>
      <c r="G25" s="189">
        <f t="array" ref="G25">IFERROR(INDEX(FCD[], MATCH(B25, FCD[TICKER], 0), MATCH(FCD[[#HEADERS],[FCFE_KE]], FCD[#HEADERS], 0)),"")</f>
        <v>11.72733301</v>
      </c>
      <c r="H25" s="190">
        <v>0.13</v>
      </c>
      <c r="I25" s="189">
        <f t="shared" si="5"/>
        <v>10.20277971</v>
      </c>
      <c r="J25" s="191">
        <f t="shared" si="6"/>
        <v>0.03643906125</v>
      </c>
      <c r="K25" s="188">
        <f>IFERROR(__xludf.DUMMYFUNCTION("(GOOGLEFINANCE(""BVMF:"" &amp; B25))"),11.3)</f>
        <v>11.3</v>
      </c>
      <c r="L25" s="193">
        <f t="array" ref="L25">IFERROR(INDEX(FCD[], MATCH(B25, FCD[TICKER], 0), MATCH(FCD[[#HEADERS],[TIR]], FCD[#HEADERS], 0)),"")</f>
        <v>0.07521528348</v>
      </c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</row>
    <row r="26" ht="22.5" customHeight="1">
      <c r="A26" s="203">
        <v>17.0</v>
      </c>
      <c r="B26" s="204" t="s">
        <v>203</v>
      </c>
      <c r="C26" s="205">
        <f t="shared" si="3"/>
        <v>0.04327222666</v>
      </c>
      <c r="D26" s="206">
        <v>10.0</v>
      </c>
      <c r="E26" s="187">
        <f>(D26/SUM(Ações_Nacionais[Nota]))*$D$3</f>
        <v>0.04090909091</v>
      </c>
      <c r="F26" s="200">
        <f t="shared" si="4"/>
        <v>710.26</v>
      </c>
      <c r="G26" s="189">
        <f t="array" ref="G26">IFERROR(INDEX(FCD[], MATCH("ITUB3", FCD[TICKER], 0), MATCH(FCD[[#HEADERS],[FCFE_KE]], FCD[#HEADERS], 0)),"")</f>
        <v>42.94063084</v>
      </c>
      <c r="H26" s="190">
        <v>0.15</v>
      </c>
      <c r="I26" s="207">
        <f t="shared" si="5"/>
        <v>36.49953621</v>
      </c>
      <c r="J26" s="208">
        <f t="shared" si="6"/>
        <v>0.02702873287</v>
      </c>
      <c r="K26" s="200">
        <f>IFERROR(__xludf.DUMMYFUNCTION("(GOOGLEFINANCE(""BVMF:"" &amp; B26))"),41.78)</f>
        <v>41.78</v>
      </c>
      <c r="L26" s="193">
        <f t="array" ref="L26">IFERROR(INDEX(FCD[], MATCH("ITUB3", FCD[TICKER], 0), MATCH(FCD[[#HEADERS],[TIR]], FCD[#HEADERS], 0)),"")</f>
        <v>0.1514000711</v>
      </c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</row>
    <row r="27" ht="22.5" customHeight="1">
      <c r="A27" s="184">
        <v>35.0</v>
      </c>
      <c r="B27" s="31" t="s">
        <v>55</v>
      </c>
      <c r="C27" s="201">
        <f t="shared" si="3"/>
        <v>0.08727737491</v>
      </c>
      <c r="D27" s="186">
        <v>10.0</v>
      </c>
      <c r="E27" s="187">
        <f>(D27/SUM(Ações_Nacionais[Nota]))*$D$3</f>
        <v>0.04090909091</v>
      </c>
      <c r="F27" s="188">
        <f t="shared" si="4"/>
        <v>1432.55</v>
      </c>
      <c r="G27" s="189">
        <f t="array" ref="G27">IFERROR(INDEX(FCD[], MATCH(B27, FCD[TICKER], 0), MATCH(FCD[[#HEADERS],[FCFE_KE]], FCD[#HEADERS], 0)),"")</f>
        <v>41.27833911</v>
      </c>
      <c r="H27" s="190">
        <v>0.15</v>
      </c>
      <c r="I27" s="189">
        <f t="shared" si="5"/>
        <v>35.08658824</v>
      </c>
      <c r="J27" s="191">
        <f t="shared" si="6"/>
        <v>0.008438786987</v>
      </c>
      <c r="K27" s="188">
        <f>IFERROR(__xludf.DUMMYFUNCTION("(GOOGLEFINANCE(""BVMF:"" &amp; B27))"),40.93)</f>
        <v>40.93</v>
      </c>
      <c r="L27" s="193">
        <f t="array" ref="L27">IFERROR(INDEX(FCD[], MATCH(B27, FCD[TICKER], 0), MATCH(FCD[[#HEADERS],[TIR]], FCD[#HEADERS], 0)),"")</f>
        <v>0.1641950504</v>
      </c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</row>
    <row r="28" ht="22.5" customHeight="1">
      <c r="A28" s="184">
        <v>13.0</v>
      </c>
      <c r="B28" s="48" t="s">
        <v>73</v>
      </c>
      <c r="C28" s="201">
        <f t="shared" si="3"/>
        <v>0.0387059363</v>
      </c>
      <c r="D28" s="186">
        <v>10.0</v>
      </c>
      <c r="E28" s="187">
        <f>(D28/SUM(Ações_Nacionais[Nota]))*$D$3</f>
        <v>0.04090909091</v>
      </c>
      <c r="F28" s="188">
        <f t="shared" si="4"/>
        <v>635.31</v>
      </c>
      <c r="G28" s="189">
        <f t="array" ref="G28">IFERROR(INDEX(FCD[], MATCH(B28, FCD[TICKER], 0), MATCH(FCD[[#HEADERS],[FCFE_KE]], FCD[#HEADERS], 0)),"")</f>
        <v>45.58782648</v>
      </c>
      <c r="H28" s="190">
        <v>0.2</v>
      </c>
      <c r="I28" s="189">
        <f t="shared" si="5"/>
        <v>36.47026118</v>
      </c>
      <c r="J28" s="191">
        <f t="shared" si="6"/>
        <v>-0.07199671004</v>
      </c>
      <c r="K28" s="188">
        <f>IFERROR(__xludf.DUMMYFUNCTION("(GOOGLEFINANCE(""BVMF:"" &amp; B28))"),48.87)</f>
        <v>48.87</v>
      </c>
      <c r="L28" s="193">
        <f t="array" ref="L28">IFERROR(INDEX(FCD[], MATCH(B28, FCD[TICKER], 0), MATCH(FCD[[#HEADERS],[TIR]], FCD[#HEADERS], 0)),"")</f>
        <v>0.1203490473</v>
      </c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</row>
    <row r="29" ht="22.5" customHeight="1">
      <c r="A29" s="184">
        <v>1.0</v>
      </c>
      <c r="B29" s="48" t="s">
        <v>63</v>
      </c>
      <c r="C29" s="201">
        <f t="shared" si="3"/>
        <v>0.002800698701</v>
      </c>
      <c r="D29" s="186">
        <v>10.0</v>
      </c>
      <c r="E29" s="187">
        <f>(D29/SUM(Ações_Nacionais[Nota]))*$D$3</f>
        <v>0.04090909091</v>
      </c>
      <c r="F29" s="188">
        <f t="shared" si="4"/>
        <v>45.97</v>
      </c>
      <c r="G29" s="189">
        <f t="array" ref="G29">IFERROR(INDEX(FCD[], MATCH(B29, FCD[TICKER], 0), MATCH(FCD[[#HEADERS],[FCFE_KE]], FCD[#HEADERS], 0)),"")</f>
        <v>42.94063084</v>
      </c>
      <c r="H29" s="190">
        <v>0.15</v>
      </c>
      <c r="I29" s="189">
        <f t="shared" si="5"/>
        <v>36.49953621</v>
      </c>
      <c r="J29" s="191">
        <f t="shared" si="6"/>
        <v>-0.07054784945</v>
      </c>
      <c r="K29" s="188">
        <f>IFERROR(__xludf.DUMMYFUNCTION("(GOOGLEFINANCE(""BVMF:"" &amp; B29))"),45.97)</f>
        <v>45.97</v>
      </c>
      <c r="L29" s="193">
        <f t="array" ref="L29">IFERROR(INDEX(FCD[], MATCH(B29, FCD[TICKER], 0), MATCH(FCD[[#HEADERS],[TIR]], FCD[#HEADERS], 0)),"")</f>
        <v>0.1514000711</v>
      </c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</row>
    <row r="30" ht="22.5" customHeight="1">
      <c r="A30" s="184">
        <v>1.0</v>
      </c>
      <c r="B30" s="48" t="s">
        <v>100</v>
      </c>
      <c r="C30" s="201">
        <f t="shared" si="3"/>
        <v>0.0016888268</v>
      </c>
      <c r="D30" s="186">
        <v>0.0</v>
      </c>
      <c r="E30" s="187">
        <f>(D30/SUM(Ações_Nacionais[Nota]))*$D$3</f>
        <v>0</v>
      </c>
      <c r="F30" s="188">
        <f t="shared" si="4"/>
        <v>27.72</v>
      </c>
      <c r="G30" s="189">
        <f t="array" ref="G30">IFERROR(INDEX(FCD[], MATCH(B30, FCD[TICKER], 0), MATCH(FCD[[#HEADERS],[FCFE_KE]], FCD[#HEADERS], 0)),"")</f>
        <v>24.70059902</v>
      </c>
      <c r="H30" s="190">
        <v>0.1</v>
      </c>
      <c r="I30" s="189">
        <f t="shared" si="5"/>
        <v>22.23053911</v>
      </c>
      <c r="J30" s="191">
        <f t="shared" si="6"/>
        <v>-0.1222399903</v>
      </c>
      <c r="K30" s="188">
        <f>IFERROR(__xludf.DUMMYFUNCTION("(GOOGLEFINANCE(""BVMF:"" &amp; B30))"),27.72)</f>
        <v>27.72</v>
      </c>
      <c r="L30" s="193">
        <f t="array" ref="L30">IFERROR(INDEX(FCD[], MATCH(B30, FCD[TICKER], 0), MATCH(FCD[[#HEADERS],[TIR]], FCD[#HEADERS], 0)),"")</f>
        <v>0.01788603623</v>
      </c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</row>
    <row r="31" ht="22.5" customHeight="1">
      <c r="A31" s="184">
        <v>1.0</v>
      </c>
      <c r="B31" s="48" t="s">
        <v>91</v>
      </c>
      <c r="C31" s="201">
        <f t="shared" si="3"/>
        <v>0.003157716199</v>
      </c>
      <c r="D31" s="186">
        <v>10.0</v>
      </c>
      <c r="E31" s="187">
        <f>(D31/SUM(Ações_Nacionais[Nota]))*$D$3</f>
        <v>0.04090909091</v>
      </c>
      <c r="F31" s="188">
        <f t="shared" si="4"/>
        <v>51.83</v>
      </c>
      <c r="G31" s="189">
        <f t="array" ref="G31">IFERROR(INDEX(FCD[], MATCH(B31, FCD[TICKER], 0), MATCH(FCD[[#HEADERS],[FCFE_KE]], FCD[#HEADERS], 0)),"")</f>
        <v>42.56865446</v>
      </c>
      <c r="H31" s="190">
        <v>0.15</v>
      </c>
      <c r="I31" s="189">
        <f t="shared" si="5"/>
        <v>36.18335629</v>
      </c>
      <c r="J31" s="191">
        <f t="shared" si="6"/>
        <v>-0.2175625624</v>
      </c>
      <c r="K31" s="192">
        <f>IFERROR(__xludf.DUMMYFUNCTION("(GOOGLEFINANCE(""BVMF:"" &amp; B31))"),51.83)</f>
        <v>51.83</v>
      </c>
      <c r="L31" s="193">
        <f t="array" ref="L31">IFERROR(INDEX(FCD[], MATCH(B31, FCD[TICKER], 0), MATCH(FCD[[#HEADERS],[TIR]], FCD[#HEADERS], 0)),"")</f>
        <v>0.1283307133</v>
      </c>
      <c r="M31" s="209"/>
      <c r="N31" s="209"/>
      <c r="O31" s="209"/>
      <c r="P31" s="209"/>
      <c r="Q31" s="53"/>
      <c r="R31" s="53"/>
      <c r="S31" s="53"/>
      <c r="T31" s="53"/>
      <c r="U31" s="53"/>
      <c r="V31" s="53"/>
      <c r="W31" s="53"/>
    </row>
    <row r="32" ht="22.5" customHeight="1">
      <c r="A32" s="210">
        <v>18.0</v>
      </c>
      <c r="B32" s="211" t="s">
        <v>58</v>
      </c>
      <c r="C32" s="205">
        <f t="shared" si="3"/>
        <v>0.04499517117</v>
      </c>
      <c r="D32" s="206">
        <v>10.0</v>
      </c>
      <c r="E32" s="187">
        <f>(D32/SUM(Ações_Nacionais[Nota]))*$D$3</f>
        <v>0.04090909091</v>
      </c>
      <c r="F32" s="200">
        <f t="shared" si="4"/>
        <v>738.54</v>
      </c>
      <c r="G32" s="189">
        <f t="array" ref="G32">IFERROR(INDEX(FCD[], MATCH(B32, FCD[TICKER], 0), MATCH(FCD[[#HEADERS],[FCFE_KE]], FCD[#HEADERS], 0)),"")</f>
        <v>32.73144074</v>
      </c>
      <c r="H32" s="212">
        <v>0.1</v>
      </c>
      <c r="I32" s="207">
        <f t="shared" si="5"/>
        <v>29.45829667</v>
      </c>
      <c r="J32" s="208">
        <f t="shared" si="6"/>
        <v>-0.2535347993</v>
      </c>
      <c r="K32" s="200">
        <f>IFERROR(__xludf.DUMMYFUNCTION("(GOOGLEFINANCE(""BVMF:"" &amp; B32))"),41.03)</f>
        <v>41.03</v>
      </c>
      <c r="L32" s="193">
        <f t="array" ref="L32">IFERROR(INDEX(FCD[], MATCH(B32, FCD[TICKER], 0), MATCH(FCD[[#HEADERS],[TIR]], FCD[#HEADERS], 0)),"")</f>
        <v>-0.001709135131</v>
      </c>
      <c r="M32" s="209"/>
      <c r="N32" s="209"/>
      <c r="O32" s="209"/>
      <c r="P32" s="209"/>
      <c r="Q32" s="209"/>
      <c r="R32" s="209"/>
      <c r="S32" s="53"/>
      <c r="T32" s="53"/>
      <c r="U32" s="53"/>
      <c r="V32" s="53"/>
      <c r="W32" s="53"/>
    </row>
    <row r="33" ht="22.5" customHeight="1">
      <c r="A33" s="184">
        <v>17.0</v>
      </c>
      <c r="B33" s="48" t="s">
        <v>94</v>
      </c>
      <c r="C33" s="201">
        <f t="shared" si="3"/>
        <v>0.01475895715</v>
      </c>
      <c r="D33" s="186">
        <v>0.0</v>
      </c>
      <c r="E33" s="187">
        <f>(D33/SUM(Ações_Nacionais[Nota]))*$D$3</f>
        <v>0</v>
      </c>
      <c r="F33" s="188">
        <f t="shared" si="4"/>
        <v>242.25</v>
      </c>
      <c r="G33" s="189" t="str">
        <f t="array" ref="G33">IFERROR(INDEX(FCD[], MATCH(B33, FCD[TICKER], 0), MATCH(FCD[[#HEADERS],[FCFE_KE]], FCD[#HEADERS], 0)),"")</f>
        <v/>
      </c>
      <c r="H33" s="190">
        <v>0.2</v>
      </c>
      <c r="I33" s="189">
        <f t="shared" si="5"/>
        <v>0</v>
      </c>
      <c r="J33" s="191"/>
      <c r="K33" s="188">
        <f>IFERROR(__xludf.DUMMYFUNCTION("(GOOGLEFINANCE(""BVMF:"" &amp; B33))"),14.25)</f>
        <v>14.25</v>
      </c>
      <c r="L33" s="193" t="str">
        <f t="array" ref="L33">IFERROR(INDEX(FCD[], MATCH(B33, FCD[TICKER], 0), MATCH(FCD[[#HEADERS],[TIR]], FCD[#HEADERS], 0)),"")</f>
        <v/>
      </c>
      <c r="M33" s="213"/>
      <c r="N33" s="209"/>
      <c r="O33" s="214"/>
      <c r="P33" s="209"/>
      <c r="Q33" s="209"/>
      <c r="R33" s="209"/>
      <c r="S33" s="53"/>
      <c r="T33" s="53"/>
      <c r="U33" s="53"/>
      <c r="V33" s="53"/>
      <c r="W33" s="53"/>
    </row>
    <row r="34" ht="22.5" customHeight="1">
      <c r="A34" s="184">
        <v>7.0</v>
      </c>
      <c r="B34" s="31" t="s">
        <v>57</v>
      </c>
      <c r="C34" s="201">
        <f t="shared" si="3"/>
        <v>0.03322638788</v>
      </c>
      <c r="D34" s="186">
        <v>10.0</v>
      </c>
      <c r="E34" s="187">
        <f>(D34/SUM(Ações_Nacionais[Nota]))*$D$3</f>
        <v>0.04090909091</v>
      </c>
      <c r="F34" s="188">
        <f t="shared" si="4"/>
        <v>545.37</v>
      </c>
      <c r="G34" s="189">
        <f t="array" ref="G34">IFERROR(INDEX(FCD[], MATCH(B34, FCD[TICKER], 0), MATCH(FCD[[#HEADERS],[FCFE_KE]], FCD[#HEADERS], 0)),"")</f>
        <v>67.54718004</v>
      </c>
      <c r="H34" s="190">
        <v>0.15</v>
      </c>
      <c r="I34" s="189">
        <f t="shared" si="5"/>
        <v>57.41510303</v>
      </c>
      <c r="J34" s="191"/>
      <c r="K34" s="192">
        <f>IFERROR(__xludf.DUMMYFUNCTION("(GOOGLEFINANCE(""BVMF:"" &amp; B34))"),77.91)</f>
        <v>77.91</v>
      </c>
      <c r="L34" s="193">
        <f t="array" ref="L34">IFERROR(INDEX(FCD[], MATCH(B34, FCD[TICKER], 0), MATCH(FCD[[#HEADERS],[TIR]], FCD[#HEADERS], 0)),"")</f>
        <v>0.09310251942</v>
      </c>
      <c r="M34" s="213"/>
      <c r="N34" s="209"/>
      <c r="O34" s="53"/>
      <c r="P34" s="209"/>
      <c r="Q34" s="209"/>
      <c r="R34" s="209"/>
      <c r="S34" s="53"/>
      <c r="T34" s="53"/>
      <c r="U34" s="53"/>
      <c r="V34" s="53"/>
      <c r="W34" s="53"/>
    </row>
    <row r="35" ht="18.75" customHeight="1">
      <c r="A35" s="215"/>
      <c r="B35" s="156"/>
      <c r="C35" s="216"/>
      <c r="D35" s="217"/>
      <c r="E35" s="218"/>
      <c r="F35" s="218"/>
      <c r="G35" s="219"/>
      <c r="H35" s="53"/>
      <c r="I35" s="220"/>
      <c r="J35" s="221"/>
      <c r="K35" s="221"/>
      <c r="L35" s="219"/>
      <c r="M35" s="217"/>
      <c r="N35" s="222"/>
      <c r="O35" s="223"/>
      <c r="P35" s="209"/>
      <c r="Q35" s="223"/>
      <c r="R35" s="224"/>
      <c r="S35" s="213"/>
      <c r="T35" s="209"/>
      <c r="U35" s="53"/>
      <c r="V35" s="209"/>
      <c r="W35" s="209"/>
    </row>
    <row r="36">
      <c r="A36" s="215"/>
      <c r="B36" s="156"/>
      <c r="C36" s="216"/>
      <c r="D36" s="217"/>
      <c r="E36" s="218"/>
      <c r="F36" s="218"/>
      <c r="G36" s="219"/>
      <c r="H36" s="53"/>
      <c r="I36" s="220"/>
      <c r="J36" s="221"/>
      <c r="K36" s="221"/>
      <c r="L36" s="219"/>
      <c r="M36" s="217"/>
      <c r="N36" s="222"/>
      <c r="O36" s="223"/>
      <c r="P36" s="209"/>
      <c r="Q36" s="223"/>
      <c r="R36" s="224"/>
      <c r="S36" s="213"/>
      <c r="T36" s="209"/>
      <c r="U36" s="53"/>
      <c r="V36" s="209"/>
      <c r="W36" s="209"/>
    </row>
    <row r="37">
      <c r="A37" s="215"/>
      <c r="B37" s="156"/>
      <c r="C37" s="216"/>
      <c r="D37" s="217"/>
      <c r="E37" s="218"/>
      <c r="F37" s="218"/>
      <c r="G37" s="219"/>
      <c r="H37" s="219"/>
      <c r="I37" s="220"/>
      <c r="J37" s="221"/>
      <c r="K37" s="221"/>
      <c r="L37" s="219"/>
      <c r="M37" s="217"/>
      <c r="N37" s="222"/>
      <c r="O37" s="223"/>
      <c r="P37" s="209"/>
      <c r="Q37" s="223"/>
      <c r="R37" s="224"/>
      <c r="S37" s="213"/>
      <c r="T37" s="209"/>
      <c r="U37" s="214"/>
      <c r="V37" s="209"/>
      <c r="W37" s="209"/>
    </row>
    <row r="38">
      <c r="A38" s="215"/>
      <c r="B38" s="156"/>
      <c r="C38" s="216"/>
      <c r="D38" s="217"/>
      <c r="E38" s="218"/>
      <c r="F38" s="218"/>
      <c r="G38" s="219"/>
      <c r="H38" s="219"/>
      <c r="I38" s="220"/>
      <c r="J38" s="221"/>
      <c r="K38" s="221"/>
      <c r="L38" s="219"/>
      <c r="M38" s="217"/>
      <c r="N38" s="222"/>
      <c r="O38" s="223"/>
      <c r="P38" s="209"/>
      <c r="Q38" s="223"/>
      <c r="R38" s="224"/>
      <c r="S38" s="213"/>
      <c r="T38" s="209"/>
      <c r="U38" s="214"/>
      <c r="V38" s="209"/>
      <c r="W38" s="209"/>
    </row>
    <row r="39">
      <c r="A39" s="215"/>
      <c r="B39" s="156"/>
      <c r="C39" s="216"/>
      <c r="D39" s="217"/>
      <c r="E39" s="218"/>
      <c r="F39" s="218"/>
      <c r="G39" s="219"/>
      <c r="H39" s="219"/>
      <c r="I39" s="220"/>
      <c r="J39" s="221"/>
      <c r="K39" s="221"/>
      <c r="L39" s="219"/>
      <c r="M39" s="217"/>
      <c r="N39" s="222"/>
      <c r="O39" s="223"/>
      <c r="P39" s="209"/>
      <c r="Q39" s="223"/>
      <c r="R39" s="224"/>
      <c r="S39" s="213"/>
      <c r="T39" s="209"/>
      <c r="U39" s="214"/>
      <c r="V39" s="209"/>
      <c r="W39" s="209"/>
    </row>
    <row r="40">
      <c r="A40" s="215"/>
      <c r="B40" s="156"/>
      <c r="C40" s="216"/>
      <c r="D40" s="217"/>
      <c r="E40" s="220"/>
      <c r="F40" s="221"/>
      <c r="G40" s="219"/>
      <c r="H40" s="219"/>
      <c r="I40" s="220"/>
      <c r="J40" s="221"/>
      <c r="K40" s="221"/>
      <c r="L40" s="219"/>
      <c r="M40" s="217"/>
      <c r="N40" s="222"/>
      <c r="O40" s="223"/>
      <c r="P40" s="209"/>
      <c r="Q40" s="223"/>
      <c r="R40" s="224"/>
      <c r="S40" s="213"/>
      <c r="T40" s="209"/>
      <c r="U40" s="225"/>
      <c r="V40" s="209"/>
      <c r="W40" s="209"/>
    </row>
    <row r="41">
      <c r="A41" s="215"/>
      <c r="B41" s="156"/>
      <c r="C41" s="216"/>
      <c r="D41" s="217"/>
      <c r="E41" s="54"/>
      <c r="F41" s="155"/>
      <c r="G41" s="219"/>
      <c r="H41" s="219"/>
      <c r="I41" s="220"/>
      <c r="J41" s="221"/>
      <c r="K41" s="221"/>
      <c r="L41" s="219"/>
      <c r="M41" s="217"/>
      <c r="N41" s="222"/>
      <c r="O41" s="223"/>
      <c r="P41" s="209"/>
      <c r="Q41" s="223"/>
      <c r="R41" s="224"/>
      <c r="S41" s="213"/>
      <c r="T41" s="209"/>
      <c r="U41" s="214"/>
      <c r="V41" s="209"/>
      <c r="W41" s="209"/>
    </row>
    <row r="42">
      <c r="A42" s="215"/>
      <c r="B42" s="156"/>
      <c r="C42" s="216"/>
      <c r="D42" s="217"/>
      <c r="E42" s="54"/>
      <c r="F42" s="54"/>
      <c r="G42" s="219"/>
      <c r="H42" s="219"/>
      <c r="I42" s="220"/>
      <c r="J42" s="221"/>
      <c r="K42" s="221"/>
      <c r="L42" s="219"/>
      <c r="M42" s="217"/>
      <c r="N42" s="222"/>
      <c r="O42" s="223"/>
      <c r="P42" s="209"/>
      <c r="Q42" s="223"/>
      <c r="R42" s="224"/>
      <c r="S42" s="213"/>
      <c r="T42" s="209"/>
      <c r="U42" s="214"/>
      <c r="V42" s="209"/>
      <c r="W42" s="209"/>
    </row>
    <row r="43">
      <c r="A43" s="215"/>
      <c r="B43" s="156"/>
      <c r="C43" s="216"/>
      <c r="D43" s="217"/>
      <c r="E43" s="54"/>
      <c r="F43" s="54"/>
      <c r="G43" s="219"/>
      <c r="H43" s="219"/>
      <c r="I43" s="220"/>
      <c r="J43" s="221"/>
      <c r="K43" s="221"/>
      <c r="L43" s="219"/>
      <c r="M43" s="217"/>
      <c r="N43" s="222"/>
      <c r="O43" s="223"/>
      <c r="P43" s="209"/>
      <c r="Q43" s="223"/>
      <c r="R43" s="224"/>
      <c r="S43" s="213"/>
      <c r="T43" s="209"/>
      <c r="U43" s="214"/>
      <c r="V43" s="209"/>
      <c r="W43" s="209"/>
    </row>
    <row r="44">
      <c r="A44" s="215"/>
      <c r="B44" s="156"/>
      <c r="C44" s="216"/>
      <c r="D44" s="217"/>
      <c r="E44" s="54"/>
      <c r="F44" s="54"/>
      <c r="G44" s="219"/>
      <c r="H44" s="219"/>
      <c r="I44" s="220"/>
      <c r="J44" s="221"/>
      <c r="K44" s="221"/>
      <c r="L44" s="219"/>
      <c r="M44" s="217"/>
      <c r="N44" s="222"/>
      <c r="O44" s="223"/>
      <c r="P44" s="209"/>
      <c r="Q44" s="223"/>
      <c r="R44" s="224"/>
      <c r="S44" s="213"/>
      <c r="T44" s="209"/>
      <c r="U44" s="214"/>
      <c r="V44" s="209"/>
      <c r="W44" s="209"/>
    </row>
    <row r="45">
      <c r="A45" s="215"/>
      <c r="B45" s="156"/>
      <c r="C45" s="216"/>
      <c r="D45" s="217"/>
      <c r="E45" s="54"/>
      <c r="F45" s="54"/>
      <c r="G45" s="219"/>
      <c r="H45" s="219"/>
      <c r="I45" s="220"/>
      <c r="J45" s="221"/>
      <c r="K45" s="221"/>
      <c r="L45" s="219"/>
      <c r="M45" s="217"/>
      <c r="N45" s="222"/>
      <c r="O45" s="223"/>
      <c r="P45" s="209"/>
      <c r="Q45" s="223"/>
      <c r="R45" s="224"/>
      <c r="S45" s="213"/>
      <c r="T45" s="209"/>
      <c r="U45" s="214"/>
      <c r="V45" s="209"/>
      <c r="W45" s="209"/>
    </row>
    <row r="46">
      <c r="A46" s="215"/>
      <c r="B46" s="156"/>
      <c r="C46" s="216"/>
      <c r="D46" s="217"/>
      <c r="E46" s="54"/>
      <c r="F46" s="54"/>
      <c r="G46" s="219"/>
      <c r="H46" s="219"/>
      <c r="I46" s="220"/>
      <c r="J46" s="221"/>
      <c r="K46" s="226"/>
      <c r="L46" s="219"/>
      <c r="M46" s="217"/>
      <c r="N46" s="222"/>
      <c r="O46" s="223"/>
      <c r="P46" s="209"/>
      <c r="Q46" s="223"/>
      <c r="R46" s="224"/>
      <c r="S46" s="213"/>
      <c r="T46" s="209"/>
      <c r="U46" s="214"/>
      <c r="V46" s="209"/>
      <c r="W46" s="209"/>
    </row>
    <row r="47">
      <c r="A47" s="215"/>
      <c r="B47" s="156"/>
      <c r="C47" s="216"/>
      <c r="D47" s="217"/>
      <c r="E47" s="220"/>
      <c r="F47" s="221"/>
      <c r="G47" s="219"/>
      <c r="H47" s="219"/>
      <c r="I47" s="220"/>
      <c r="J47" s="221"/>
      <c r="K47" s="221"/>
      <c r="L47" s="219"/>
      <c r="M47" s="217"/>
      <c r="N47" s="222"/>
      <c r="O47" s="223"/>
      <c r="P47" s="209"/>
      <c r="Q47" s="223"/>
      <c r="R47" s="224"/>
      <c r="S47" s="213"/>
      <c r="T47" s="209"/>
      <c r="U47" s="214"/>
      <c r="V47" s="209"/>
      <c r="W47" s="209"/>
    </row>
    <row r="48">
      <c r="A48" s="215"/>
      <c r="B48" s="227"/>
      <c r="C48" s="216"/>
      <c r="D48" s="217"/>
      <c r="E48" s="228"/>
      <c r="F48" s="221"/>
      <c r="G48" s="220"/>
      <c r="H48" s="220"/>
      <c r="I48" s="220"/>
      <c r="J48" s="221"/>
      <c r="K48" s="221"/>
      <c r="L48" s="219"/>
      <c r="M48" s="217"/>
      <c r="N48" s="222"/>
      <c r="O48" s="223"/>
      <c r="P48" s="209"/>
      <c r="Q48" s="223"/>
      <c r="R48" s="224"/>
      <c r="S48" s="213"/>
      <c r="T48" s="209"/>
      <c r="U48" s="214"/>
      <c r="V48" s="209"/>
      <c r="W48" s="209"/>
    </row>
    <row r="49">
      <c r="A49" s="215"/>
      <c r="B49" s="227"/>
      <c r="C49" s="216"/>
      <c r="D49" s="217"/>
      <c r="E49" s="228"/>
      <c r="F49" s="221"/>
      <c r="G49" s="220"/>
      <c r="H49" s="220"/>
      <c r="I49" s="220"/>
      <c r="J49" s="221"/>
      <c r="K49" s="221"/>
      <c r="L49" s="219"/>
      <c r="M49" s="217"/>
      <c r="N49" s="222"/>
      <c r="O49" s="223"/>
      <c r="P49" s="209"/>
      <c r="Q49" s="223"/>
      <c r="R49" s="224"/>
      <c r="S49" s="213"/>
      <c r="T49" s="209"/>
      <c r="U49" s="214"/>
      <c r="V49" s="209"/>
      <c r="W49" s="209"/>
    </row>
    <row r="50">
      <c r="A50" s="229"/>
      <c r="B50" s="53"/>
      <c r="C50" s="53"/>
      <c r="D50" s="54"/>
      <c r="E50" s="53"/>
      <c r="F50" s="53"/>
      <c r="G50" s="53"/>
      <c r="H50" s="53"/>
      <c r="I50" s="155"/>
      <c r="J50" s="155"/>
      <c r="K50" s="155"/>
      <c r="L50" s="155"/>
      <c r="M50" s="155"/>
      <c r="N50" s="53"/>
      <c r="O50" s="155"/>
      <c r="P50" s="155"/>
      <c r="Q50" s="53"/>
      <c r="R50" s="53"/>
      <c r="S50" s="53"/>
      <c r="T50" s="53"/>
      <c r="U50" s="53"/>
      <c r="V50" s="53"/>
      <c r="W50" s="53"/>
    </row>
    <row r="51" ht="22.5" customHeight="1">
      <c r="A51" s="1" t="s">
        <v>195</v>
      </c>
      <c r="B51" s="1" t="s">
        <v>17</v>
      </c>
      <c r="C51" s="1" t="s">
        <v>197</v>
      </c>
      <c r="D51" s="230" t="s">
        <v>198</v>
      </c>
      <c r="E51" s="230" t="s">
        <v>188</v>
      </c>
      <c r="F51" s="3" t="s">
        <v>115</v>
      </c>
      <c r="G51" s="3" t="s">
        <v>202</v>
      </c>
      <c r="H51" s="231" t="s">
        <v>131</v>
      </c>
      <c r="I51" s="11" t="s">
        <v>204</v>
      </c>
      <c r="J51" s="11" t="s">
        <v>205</v>
      </c>
      <c r="K51" s="2" t="s">
        <v>206</v>
      </c>
      <c r="L51" s="11" t="s">
        <v>207</v>
      </c>
      <c r="M51" s="11" t="s">
        <v>208</v>
      </c>
      <c r="N51" s="81" t="s">
        <v>209</v>
      </c>
      <c r="O51" s="81" t="s">
        <v>210</v>
      </c>
      <c r="P51" s="81" t="s">
        <v>25</v>
      </c>
      <c r="Q51" s="11" t="s">
        <v>211</v>
      </c>
      <c r="R51" s="11" t="s">
        <v>212</v>
      </c>
      <c r="S51" s="11" t="s">
        <v>213</v>
      </c>
    </row>
    <row r="52" ht="22.5" customHeight="1">
      <c r="A52" s="232">
        <v>11.0</v>
      </c>
      <c r="B52" s="233" t="s">
        <v>98</v>
      </c>
      <c r="C52" s="234">
        <f t="shared" ref="C52:C64" si="7">IFERROR((F52/$B$9), 0)</f>
        <v>0.06514716398</v>
      </c>
      <c r="D52" s="232">
        <v>10.0</v>
      </c>
      <c r="E52" s="235">
        <f>(D52/SUM(Fiis[Nota]))*$D$4</f>
        <v>0.02272727273</v>
      </c>
      <c r="F52" s="236">
        <f t="shared" ref="F52:F64" si="8">A52*G52</f>
        <v>1069.31</v>
      </c>
      <c r="G52" s="237">
        <f>IFERROR(__xludf.DUMMYFUNCTION("GOOGLEFINANCE(B52)"),97.21)</f>
        <v>97.21</v>
      </c>
      <c r="H52" s="238">
        <f t="shared" ref="H52:H64" si="9">IFERROR(G52/I52,"")</f>
        <v>0.8069898722</v>
      </c>
      <c r="I52" s="239">
        <f>IFERROR(__xludf.DUMMYFUNCTION("IFERROR(QUERY(IMPORTRANGE(""https://docs.google.com/spreadsheets/d/1YexoNxj_9I75NcLB5j4bqKMWUJQZyOsjhfYiXJYkJNI/edit?usp=sharing"", ""Indicadores!A2:E""), ""SELECT Col2 WHERE Col1 = '""&amp;B52  &amp;""'"", 0), 0)"),120.46)</f>
        <v>120.46</v>
      </c>
      <c r="J52" s="240">
        <f t="shared" ref="J52:J64" si="10">SUM(L52/Q52)</f>
        <v>93.36293284</v>
      </c>
      <c r="K52" s="241">
        <f t="shared" ref="K52:K64" si="11">L52/12</f>
        <v>0.75</v>
      </c>
      <c r="L52" s="242">
        <v>9.0</v>
      </c>
      <c r="M52" s="243">
        <f t="shared" ref="M52:M64" si="12">A52*K52</f>
        <v>8.25</v>
      </c>
      <c r="N52" s="244">
        <f t="shared" ref="N52:N64" si="13">IFERROR(M52*12,0)</f>
        <v>99</v>
      </c>
      <c r="O52" s="245">
        <v>0.02</v>
      </c>
      <c r="P52" s="246">
        <f>$F$91</f>
        <v>0.0749</v>
      </c>
      <c r="Q52" s="15">
        <f t="shared" ref="Q52:Q64" si="14">IFERROR((1+O52) * (1+P52)-1, 0)</f>
        <v>0.096398</v>
      </c>
      <c r="R52" s="9">
        <v>104.65</v>
      </c>
      <c r="S52" s="20">
        <f t="shared" ref="S52:S64" si="15">R52*A52</f>
        <v>1151.15</v>
      </c>
    </row>
    <row r="53" ht="22.5" customHeight="1">
      <c r="A53" s="232">
        <v>109.0</v>
      </c>
      <c r="B53" s="233" t="s">
        <v>44</v>
      </c>
      <c r="C53" s="234">
        <f t="shared" si="7"/>
        <v>0.05976692247</v>
      </c>
      <c r="D53" s="232">
        <v>10.0</v>
      </c>
      <c r="E53" s="235">
        <f>(D53/SUM(Fiis[Nota]))*$D$4</f>
        <v>0.02272727273</v>
      </c>
      <c r="F53" s="236">
        <f t="shared" si="8"/>
        <v>981</v>
      </c>
      <c r="G53" s="237">
        <f>IFERROR(__xludf.DUMMYFUNCTION("GOOGLEFINANCE(B53)"),9.0)</f>
        <v>9</v>
      </c>
      <c r="H53" s="238">
        <f t="shared" si="9"/>
        <v>0.8159564823</v>
      </c>
      <c r="I53" s="239">
        <f>IFERROR(__xludf.DUMMYFUNCTION("IFERROR(QUERY(IMPORTRANGE(""https://docs.google.com/spreadsheets/d/1YexoNxj_9I75NcLB5j4bqKMWUJQZyOsjhfYiXJYkJNI/edit?usp=sharing"", ""Indicadores!A2:E""), ""SELECT Col2 WHERE Col1 = '""&amp;B53  &amp;""'"", 0), 0)"),11.03)</f>
        <v>11.03</v>
      </c>
      <c r="J53" s="240">
        <f t="shared" si="10"/>
        <v>10.40610731</v>
      </c>
      <c r="K53" s="241">
        <f t="shared" si="11"/>
        <v>0.09666666667</v>
      </c>
      <c r="L53" s="242">
        <f t="array" ref="L53">IFERROR(INDEX(LCP_3Anos[], MATCH(B53, LCP_3Anos[Fii], 0), MATCH(LCP_3Anos[[#HEADERS],[Media_DPA_3Anos]], LCP_3Anos[#HEADERS], 0)),"")</f>
        <v>1.16</v>
      </c>
      <c r="M53" s="243">
        <f t="shared" si="12"/>
        <v>10.53666667</v>
      </c>
      <c r="N53" s="244">
        <f t="shared" si="13"/>
        <v>126.44</v>
      </c>
      <c r="O53" s="247">
        <v>0.03</v>
      </c>
      <c r="P53" s="248">
        <f>$F$90</f>
        <v>0.0791</v>
      </c>
      <c r="Q53" s="15">
        <f t="shared" si="14"/>
        <v>0.111473</v>
      </c>
      <c r="R53" s="9">
        <v>10.01</v>
      </c>
      <c r="S53" s="20">
        <f t="shared" si="15"/>
        <v>1091.09</v>
      </c>
    </row>
    <row r="54" ht="22.5" customHeight="1">
      <c r="A54" s="232">
        <v>8.0</v>
      </c>
      <c r="B54" s="233" t="s">
        <v>32</v>
      </c>
      <c r="C54" s="234">
        <f t="shared" si="7"/>
        <v>0.04464059065</v>
      </c>
      <c r="D54" s="232">
        <v>10.0</v>
      </c>
      <c r="E54" s="235">
        <f>(D54/SUM(Fiis[Nota]))*$D$4</f>
        <v>0.02272727273</v>
      </c>
      <c r="F54" s="236">
        <f t="shared" si="8"/>
        <v>732.72</v>
      </c>
      <c r="G54" s="237">
        <f>IFERROR(__xludf.DUMMYFUNCTION("GOOGLEFINANCE(B54)"),91.59)</f>
        <v>91.59</v>
      </c>
      <c r="H54" s="238">
        <f t="shared" si="9"/>
        <v>0.8702137767</v>
      </c>
      <c r="I54" s="239">
        <f>IFERROR(__xludf.DUMMYFUNCTION("IFERROR(QUERY(IMPORTRANGE(""https://docs.google.com/spreadsheets/d/1YexoNxj_9I75NcLB5j4bqKMWUJQZyOsjhfYiXJYkJNI/edit?usp=sharing"", ""Indicadores!A2:E""), ""SELECT Col2 WHERE Col1 = '""&amp;B54  &amp;""'"", 0), 0)"),105.25)</f>
        <v>105.25</v>
      </c>
      <c r="J54" s="240">
        <f t="shared" si="10"/>
        <v>98.13481608</v>
      </c>
      <c r="K54" s="241">
        <f t="shared" si="11"/>
        <v>0.7883333333</v>
      </c>
      <c r="L54" s="242">
        <f t="array" ref="L54">IFERROR(INDEX(LCP_3Anos[], MATCH(B54, LCP_3Anos[Fii], 0), MATCH(LCP_3Anos[[#HEADERS],[Media_DPA_3Anos]], LCP_3Anos[#HEADERS], 0)),"")</f>
        <v>9.46</v>
      </c>
      <c r="M54" s="249">
        <f t="shared" si="12"/>
        <v>6.306666667</v>
      </c>
      <c r="N54" s="244">
        <f t="shared" si="13"/>
        <v>75.68</v>
      </c>
      <c r="O54" s="245">
        <v>0.02</v>
      </c>
      <c r="P54" s="246">
        <f>$F$91</f>
        <v>0.0749</v>
      </c>
      <c r="Q54" s="15">
        <f t="shared" si="14"/>
        <v>0.096398</v>
      </c>
      <c r="R54" s="9">
        <v>93.43</v>
      </c>
      <c r="S54" s="20">
        <f t="shared" si="15"/>
        <v>747.44</v>
      </c>
    </row>
    <row r="55" ht="22.5" customHeight="1">
      <c r="A55" s="232">
        <v>87.0</v>
      </c>
      <c r="B55" s="233" t="s">
        <v>50</v>
      </c>
      <c r="C55" s="234">
        <f t="shared" si="7"/>
        <v>0.04452361564</v>
      </c>
      <c r="D55" s="232">
        <v>10.0</v>
      </c>
      <c r="E55" s="235">
        <f>(D55/SUM(Fiis[Nota]))*$D$4</f>
        <v>0.02272727273</v>
      </c>
      <c r="F55" s="236">
        <f t="shared" si="8"/>
        <v>730.8</v>
      </c>
      <c r="G55" s="237">
        <f>IFERROR(__xludf.DUMMYFUNCTION("GOOGLEFINANCE(B55)"),8.4)</f>
        <v>8.4</v>
      </c>
      <c r="H55" s="238">
        <f t="shared" si="9"/>
        <v>0.9061488673</v>
      </c>
      <c r="I55" s="239">
        <f>IFERROR(__xludf.DUMMYFUNCTION("IFERROR(QUERY(IMPORTRANGE(""https://docs.google.com/spreadsheets/d/1YexoNxj_9I75NcLB5j4bqKMWUJQZyOsjhfYiXJYkJNI/edit?usp=sharing"", ""Indicadores!A2:E""), ""SELECT Col2 WHERE Col1 = '""&amp;B55  &amp;""'"", 0), 0)"),9.27)</f>
        <v>9.27</v>
      </c>
      <c r="J55" s="240">
        <f t="shared" si="10"/>
        <v>8.611950876</v>
      </c>
      <c r="K55" s="241">
        <f t="shared" si="11"/>
        <v>0.08</v>
      </c>
      <c r="L55" s="242">
        <f t="array" ref="L55">IFERROR(INDEX(LCP_3Anos[], MATCH(B55, LCP_3Anos[Fii], 0), MATCH(LCP_3Anos[[#HEADERS],[Media_DPA_3Anos]], LCP_3Anos[#HEADERS], 0)),"")</f>
        <v>0.96</v>
      </c>
      <c r="M55" s="243">
        <f t="shared" si="12"/>
        <v>6.96</v>
      </c>
      <c r="N55" s="244">
        <f t="shared" si="13"/>
        <v>83.52</v>
      </c>
      <c r="O55" s="247">
        <v>0.03</v>
      </c>
      <c r="P55" s="248">
        <f>$F$90</f>
        <v>0.0791</v>
      </c>
      <c r="Q55" s="15">
        <f t="shared" si="14"/>
        <v>0.111473</v>
      </c>
      <c r="R55" s="9">
        <v>8.54</v>
      </c>
      <c r="S55" s="20">
        <f t="shared" si="15"/>
        <v>742.98</v>
      </c>
    </row>
    <row r="56" ht="22.5" customHeight="1">
      <c r="A56" s="232">
        <v>6.0</v>
      </c>
      <c r="B56" s="233" t="s">
        <v>29</v>
      </c>
      <c r="C56" s="234">
        <f t="shared" si="7"/>
        <v>0.0375343584</v>
      </c>
      <c r="D56" s="232">
        <v>10.0</v>
      </c>
      <c r="E56" s="235">
        <f>(D56/SUM(Fiis[Nota]))*$D$4</f>
        <v>0.02272727273</v>
      </c>
      <c r="F56" s="236">
        <f t="shared" si="8"/>
        <v>616.08</v>
      </c>
      <c r="G56" s="237">
        <f>IFERROR(__xludf.DUMMYFUNCTION("GOOGLEFINANCE(B56)"),102.68)</f>
        <v>102.68</v>
      </c>
      <c r="H56" s="238">
        <f t="shared" si="9"/>
        <v>0.8800891403</v>
      </c>
      <c r="I56" s="239">
        <f>IFERROR(__xludf.DUMMYFUNCTION("IFERROR(QUERY(IMPORTRANGE(""https://docs.google.com/spreadsheets/d/1YexoNxj_9I75NcLB5j4bqKMWUJQZyOsjhfYiXJYkJNI/edit?usp=sharing"", ""Indicadores!A2:E""), ""SELECT Col2 WHERE Col1 = '""&amp;B56  &amp;""'"", 0), 0)"),116.67)</f>
        <v>116.67</v>
      </c>
      <c r="J56" s="240">
        <f t="shared" si="10"/>
        <v>103.49454</v>
      </c>
      <c r="K56" s="241">
        <f t="shared" si="11"/>
        <v>0.8313888889</v>
      </c>
      <c r="L56" s="242">
        <f t="array" ref="L56">IFERROR(INDEX(LCP_3Anos[], MATCH(B56, LCP_3Anos[Fii], 0), MATCH(LCP_3Anos[[#HEADERS],[Media_DPA_3Anos]], LCP_3Anos[#HEADERS], 0)),"")</f>
        <v>9.976666667</v>
      </c>
      <c r="M56" s="243">
        <f t="shared" si="12"/>
        <v>4.988333333</v>
      </c>
      <c r="N56" s="244">
        <f t="shared" si="13"/>
        <v>59.86</v>
      </c>
      <c r="O56" s="250">
        <v>0.02</v>
      </c>
      <c r="P56" s="251">
        <f t="shared" ref="P56:P60" si="16">$F$91</f>
        <v>0.0749</v>
      </c>
      <c r="Q56" s="15">
        <f t="shared" si="14"/>
        <v>0.096398</v>
      </c>
      <c r="R56" s="9">
        <v>99.15</v>
      </c>
      <c r="S56" s="20">
        <f t="shared" si="15"/>
        <v>594.9</v>
      </c>
    </row>
    <row r="57" ht="22.5" customHeight="1">
      <c r="A57" s="232">
        <v>4.0</v>
      </c>
      <c r="B57" s="233" t="s">
        <v>40</v>
      </c>
      <c r="C57" s="234">
        <f t="shared" si="7"/>
        <v>0.02442584562</v>
      </c>
      <c r="D57" s="232">
        <v>10.0</v>
      </c>
      <c r="E57" s="235">
        <f>(D57/SUM(Fiis[Nota]))*$D$4</f>
        <v>0.02272727273</v>
      </c>
      <c r="F57" s="236">
        <f t="shared" si="8"/>
        <v>400.92</v>
      </c>
      <c r="G57" s="237">
        <f>IFERROR(__xludf.DUMMYFUNCTION("GOOGLEFINANCE(B57)"),100.23)</f>
        <v>100.23</v>
      </c>
      <c r="H57" s="238">
        <f t="shared" si="9"/>
        <v>0.9788085938</v>
      </c>
      <c r="I57" s="239">
        <f>IFERROR(__xludf.DUMMYFUNCTION("IFERROR(QUERY(IMPORTRANGE(""https://docs.google.com/spreadsheets/d/1YexoNxj_9I75NcLB5j4bqKMWUJQZyOsjhfYiXJYkJNI/edit?usp=sharing"", ""Indicadores!A2:E""), ""SELECT Col2 WHERE Col1 = '""&amp;B57  &amp;""'"", 0), 0)"),102.4)</f>
        <v>102.4</v>
      </c>
      <c r="J57" s="240">
        <f t="shared" si="10"/>
        <v>101.6587292</v>
      </c>
      <c r="K57" s="241">
        <f t="shared" si="11"/>
        <v>0.7711111111</v>
      </c>
      <c r="L57" s="242">
        <f t="array" ref="L57">IFERROR(INDEX(LCP_3Anos[], MATCH(B57, LCP_3Anos[Fii], 0), MATCH(LCP_3Anos[[#HEADERS],[Media_DPA_3Anos]], LCP_3Anos[#HEADERS], 0)),"")</f>
        <v>9.253333333</v>
      </c>
      <c r="M57" s="243">
        <f t="shared" si="12"/>
        <v>3.084444444</v>
      </c>
      <c r="N57" s="244">
        <f t="shared" si="13"/>
        <v>37.01333333</v>
      </c>
      <c r="O57" s="245">
        <v>0.015</v>
      </c>
      <c r="P57" s="246">
        <f t="shared" si="16"/>
        <v>0.0749</v>
      </c>
      <c r="Q57" s="15">
        <f t="shared" si="14"/>
        <v>0.0910235</v>
      </c>
      <c r="R57" s="9">
        <v>97.58</v>
      </c>
      <c r="S57" s="20">
        <f t="shared" si="15"/>
        <v>390.32</v>
      </c>
    </row>
    <row r="58" ht="22.5" customHeight="1">
      <c r="A58" s="232">
        <v>20.0</v>
      </c>
      <c r="B58" s="233" t="s">
        <v>42</v>
      </c>
      <c r="C58" s="234">
        <f t="shared" si="7"/>
        <v>0.02276138862</v>
      </c>
      <c r="D58" s="232">
        <v>10.0</v>
      </c>
      <c r="E58" s="235">
        <f>(D58/SUM(Fiis[Nota]))*$D$4</f>
        <v>0.02272727273</v>
      </c>
      <c r="F58" s="236">
        <f t="shared" si="8"/>
        <v>373.6</v>
      </c>
      <c r="G58" s="237">
        <f>IFERROR(__xludf.DUMMYFUNCTION("GOOGLEFINANCE(B58)"),18.68)</f>
        <v>18.68</v>
      </c>
      <c r="H58" s="238">
        <f t="shared" si="9"/>
        <v>0.9165848871</v>
      </c>
      <c r="I58" s="239">
        <f>IFERROR(__xludf.DUMMYFUNCTION("IFERROR(QUERY(IMPORTRANGE(""https://docs.google.com/spreadsheets/d/1YexoNxj_9I75NcLB5j4bqKMWUJQZyOsjhfYiXJYkJNI/edit?usp=sharing"", ""Indicadores!A2:E""), ""SELECT Col2 WHERE Col1 = '""&amp;B58  &amp;""'"", 0), 0)"),20.38)</f>
        <v>20.38</v>
      </c>
      <c r="J58" s="240">
        <f t="shared" si="10"/>
        <v>19.29500612</v>
      </c>
      <c r="K58" s="241">
        <f t="shared" si="11"/>
        <v>0.155</v>
      </c>
      <c r="L58" s="242">
        <f t="array" ref="L58">IFERROR(INDEX(LCP_3Anos[], MATCH(B58, LCP_3Anos[Fii], 0), MATCH(LCP_3Anos[[#HEADERS],[Media_DPA_3Anos]], LCP_3Anos[#HEADERS], 0)),"")</f>
        <v>1.86</v>
      </c>
      <c r="M58" s="243">
        <f t="shared" si="12"/>
        <v>3.1</v>
      </c>
      <c r="N58" s="244">
        <f t="shared" si="13"/>
        <v>37.2</v>
      </c>
      <c r="O58" s="250">
        <v>0.02</v>
      </c>
      <c r="P58" s="251">
        <f t="shared" si="16"/>
        <v>0.0749</v>
      </c>
      <c r="Q58" s="15">
        <f t="shared" si="14"/>
        <v>0.096398</v>
      </c>
      <c r="R58" s="9">
        <v>18.42</v>
      </c>
      <c r="S58" s="20">
        <f t="shared" si="15"/>
        <v>368.4</v>
      </c>
    </row>
    <row r="59" ht="22.5" customHeight="1">
      <c r="A59" s="232">
        <v>3.0</v>
      </c>
      <c r="B59" s="233" t="s">
        <v>47</v>
      </c>
      <c r="C59" s="234">
        <f t="shared" si="7"/>
        <v>0.02013249697</v>
      </c>
      <c r="D59" s="232">
        <v>10.0</v>
      </c>
      <c r="E59" s="235">
        <f>(D59/SUM(Fiis[Nota]))*$D$4</f>
        <v>0.02272727273</v>
      </c>
      <c r="F59" s="236">
        <f t="shared" si="8"/>
        <v>330.45</v>
      </c>
      <c r="G59" s="237">
        <f>IFERROR(__xludf.DUMMYFUNCTION("GOOGLEFINANCE(B59)"),110.15)</f>
        <v>110.15</v>
      </c>
      <c r="H59" s="238">
        <f t="shared" si="9"/>
        <v>0.9518665745</v>
      </c>
      <c r="I59" s="239">
        <f>IFERROR(__xludf.DUMMYFUNCTION("IFERROR(QUERY(IMPORTRANGE(""https://docs.google.com/spreadsheets/d/1YexoNxj_9I75NcLB5j4bqKMWUJQZyOsjhfYiXJYkJNI/edit?usp=sharing"", ""Indicadores!A2:E""), ""SELECT Col2 WHERE Col1 = '""&amp;B59  &amp;""'"", 0), 0)"),115.72)</f>
        <v>115.72</v>
      </c>
      <c r="J59" s="240">
        <f t="shared" si="10"/>
        <v>112.2054561</v>
      </c>
      <c r="K59" s="241">
        <f t="shared" si="11"/>
        <v>0.8511111111</v>
      </c>
      <c r="L59" s="242">
        <f t="array" ref="L59">IFERROR(INDEX(LCP_3Anos[], MATCH(B59, LCP_3Anos[Fii], 0), MATCH(LCP_3Anos[[#HEADERS],[Media_DPA_3Anos]], LCP_3Anos[#HEADERS], 0)),"")</f>
        <v>10.21333333</v>
      </c>
      <c r="M59" s="243">
        <f t="shared" si="12"/>
        <v>2.553333333</v>
      </c>
      <c r="N59" s="244">
        <f t="shared" si="13"/>
        <v>30.64</v>
      </c>
      <c r="O59" s="245">
        <v>0.015</v>
      </c>
      <c r="P59" s="246">
        <f t="shared" si="16"/>
        <v>0.0749</v>
      </c>
      <c r="Q59" s="15">
        <f t="shared" si="14"/>
        <v>0.0910235</v>
      </c>
      <c r="R59" s="9">
        <v>100.45</v>
      </c>
      <c r="S59" s="20">
        <f t="shared" si="15"/>
        <v>301.35</v>
      </c>
    </row>
    <row r="60" ht="22.5" customHeight="1">
      <c r="A60" s="232">
        <v>2.0</v>
      </c>
      <c r="B60" s="233" t="s">
        <v>54</v>
      </c>
      <c r="C60" s="234">
        <f t="shared" si="7"/>
        <v>0.01393099337</v>
      </c>
      <c r="D60" s="232">
        <v>10.0</v>
      </c>
      <c r="E60" s="252">
        <f>(D60/SUM(Fiis[Nota]))*$D$4</f>
        <v>0.02272727273</v>
      </c>
      <c r="F60" s="236">
        <f t="shared" si="8"/>
        <v>228.66</v>
      </c>
      <c r="G60" s="253">
        <f>IFERROR(__xludf.DUMMYFUNCTION("GOOGLEFINANCE(B60)"),114.33)</f>
        <v>114.33</v>
      </c>
      <c r="H60" s="238">
        <f t="shared" si="9"/>
        <v>0.8869666408</v>
      </c>
      <c r="I60" s="239">
        <f>IFERROR(__xludf.DUMMYFUNCTION("IFERROR(QUERY(IMPORTRANGE(""https://docs.google.com/spreadsheets/d/1YexoNxj_9I75NcLB5j4bqKMWUJQZyOsjhfYiXJYkJNI/edit?usp=sharing"", ""Indicadores!A2:E""), ""SELECT Col2 WHERE Col1 = '""&amp;B60  &amp;""'"", 0), 0)"),128.9)</f>
        <v>128.9</v>
      </c>
      <c r="J60" s="254">
        <f t="shared" si="10"/>
        <v>118.2597149</v>
      </c>
      <c r="K60" s="241">
        <f t="shared" si="11"/>
        <v>0.95</v>
      </c>
      <c r="L60" s="242">
        <f t="array" ref="L60">IFERROR(INDEX(LCP_3Anos[], MATCH(B60, LCP_3Anos[Fii], 0), MATCH(LCP_3Anos[[#HEADERS],[Media_DPA_3Anos]], LCP_3Anos[#HEADERS], 0)),"")</f>
        <v>11.4</v>
      </c>
      <c r="M60" s="255">
        <f t="shared" si="12"/>
        <v>1.9</v>
      </c>
      <c r="N60" s="256">
        <f t="shared" si="13"/>
        <v>22.8</v>
      </c>
      <c r="O60" s="245">
        <v>0.02</v>
      </c>
      <c r="P60" s="257">
        <f t="shared" si="16"/>
        <v>0.0749</v>
      </c>
      <c r="Q60" s="258">
        <f t="shared" si="14"/>
        <v>0.096398</v>
      </c>
      <c r="R60" s="9">
        <v>120.0</v>
      </c>
      <c r="S60" s="20">
        <f t="shared" si="15"/>
        <v>240</v>
      </c>
    </row>
    <row r="61" ht="22.5" customHeight="1">
      <c r="A61" s="232">
        <v>21.0</v>
      </c>
      <c r="B61" s="233" t="s">
        <v>52</v>
      </c>
      <c r="C61" s="234">
        <f t="shared" si="7"/>
        <v>0.0117322286</v>
      </c>
      <c r="D61" s="232">
        <v>10.0</v>
      </c>
      <c r="E61" s="235">
        <f>(D61/SUM(Fiis[Nota]))*$D$4</f>
        <v>0.02272727273</v>
      </c>
      <c r="F61" s="259">
        <f t="shared" si="8"/>
        <v>192.57</v>
      </c>
      <c r="G61" s="237">
        <f>IFERROR(__xludf.DUMMYFUNCTION("GOOGLEFINANCE(B61)"),9.17)</f>
        <v>9.17</v>
      </c>
      <c r="H61" s="238">
        <f t="shared" si="9"/>
        <v>0.9786552828</v>
      </c>
      <c r="I61" s="239">
        <f>IFERROR(__xludf.DUMMYFUNCTION("IFERROR(QUERY(IMPORTRANGE(""https://docs.google.com/spreadsheets/d/1YexoNxj_9I75NcLB5j4bqKMWUJQZyOsjhfYiXJYkJNI/edit?usp=sharing"", ""Indicadores!A2:E""), ""SELECT Col2 WHERE Col1 = '""&amp;B61  &amp;""'"", 0), 0)"),9.37)</f>
        <v>9.37</v>
      </c>
      <c r="J61" s="240">
        <f t="shared" si="10"/>
        <v>9.233027407</v>
      </c>
      <c r="K61" s="241">
        <f t="shared" si="11"/>
        <v>0.0975</v>
      </c>
      <c r="L61" s="260">
        <f t="array" ref="L61">IFERROR(INDEX(LCP_3Anos[], MATCH(B61, LCP_3Anos[Fii], 0), MATCH(LCP_3Anos[[#HEADERS],[Media_DPA_3Anos]], LCP_3Anos[#HEADERS], 0)),"")</f>
        <v>1.17</v>
      </c>
      <c r="M61" s="261">
        <f t="shared" si="12"/>
        <v>2.0475</v>
      </c>
      <c r="N61" s="244">
        <f t="shared" si="13"/>
        <v>24.57</v>
      </c>
      <c r="O61" s="262">
        <v>0.045</v>
      </c>
      <c r="P61" s="263">
        <f t="shared" ref="P61:P62" si="17">$F$89</f>
        <v>0.0782</v>
      </c>
      <c r="Q61" s="15">
        <f t="shared" si="14"/>
        <v>0.126719</v>
      </c>
      <c r="R61" s="9">
        <v>9.25</v>
      </c>
      <c r="S61" s="20">
        <f t="shared" si="15"/>
        <v>194.25</v>
      </c>
    </row>
    <row r="62" ht="22.5" customHeight="1">
      <c r="A62" s="232">
        <v>0.0</v>
      </c>
      <c r="B62" s="233" t="s">
        <v>56</v>
      </c>
      <c r="C62" s="234">
        <f t="shared" si="7"/>
        <v>0</v>
      </c>
      <c r="D62" s="232">
        <v>0.0</v>
      </c>
      <c r="E62" s="252">
        <f>(D62/SUM(Fiis[Nota]))*$D$4</f>
        <v>0</v>
      </c>
      <c r="F62" s="259">
        <f t="shared" si="8"/>
        <v>0</v>
      </c>
      <c r="G62" s="253">
        <f>IFERROR(__xludf.DUMMYFUNCTION("GOOGLEFINANCE(B62)"),73.79)</f>
        <v>73.79</v>
      </c>
      <c r="H62" s="238">
        <f t="shared" si="9"/>
        <v>0.7944659776</v>
      </c>
      <c r="I62" s="239">
        <f>IFERROR(__xludf.DUMMYFUNCTION("IFERROR(QUERY(IMPORTRANGE(""https://docs.google.com/spreadsheets/d/1YexoNxj_9I75NcLB5j4bqKMWUJQZyOsjhfYiXJYkJNI/edit?usp=sharing"", ""Indicadores!A2:E""), ""SELECT Col2 WHERE Col1 = '""&amp;B62  &amp;""'"", 0), 0)"),92.88)</f>
        <v>92.88</v>
      </c>
      <c r="J62" s="254">
        <f t="shared" si="10"/>
        <v>75.7581736</v>
      </c>
      <c r="K62" s="241">
        <f t="shared" si="11"/>
        <v>0.8</v>
      </c>
      <c r="L62" s="260">
        <f t="array" ref="L62">IFERROR(INDEX(LCP_3Anos[], MATCH(B62, LCP_3Anos[Fii], 0), MATCH(LCP_3Anos[[#HEADERS],[Media_DPA_3Anos]], LCP_3Anos[#HEADERS], 0)),"")</f>
        <v>9.6</v>
      </c>
      <c r="M62" s="264">
        <f t="shared" si="12"/>
        <v>0</v>
      </c>
      <c r="N62" s="265">
        <f t="shared" si="13"/>
        <v>0</v>
      </c>
      <c r="O62" s="262">
        <v>0.045</v>
      </c>
      <c r="P62" s="266">
        <f t="shared" si="17"/>
        <v>0.0782</v>
      </c>
      <c r="Q62" s="258">
        <f t="shared" si="14"/>
        <v>0.126719</v>
      </c>
      <c r="R62" s="267">
        <v>0.0</v>
      </c>
      <c r="S62" s="267">
        <f t="shared" si="15"/>
        <v>0</v>
      </c>
    </row>
    <row r="63" ht="22.5" customHeight="1">
      <c r="A63" s="232">
        <v>0.0</v>
      </c>
      <c r="B63" s="233" t="s">
        <v>53</v>
      </c>
      <c r="C63" s="234">
        <f t="shared" si="7"/>
        <v>0</v>
      </c>
      <c r="D63" s="232">
        <v>0.0</v>
      </c>
      <c r="E63" s="235">
        <f>(D63/SUM(Fiis[Nota]))*$D$4</f>
        <v>0</v>
      </c>
      <c r="F63" s="236">
        <f t="shared" si="8"/>
        <v>0</v>
      </c>
      <c r="G63" s="237">
        <f>IFERROR(__xludf.DUMMYFUNCTION("GOOGLEFINANCE(B63)"),146.45)</f>
        <v>146.45</v>
      </c>
      <c r="H63" s="238">
        <f t="shared" si="9"/>
        <v>0.8822289157</v>
      </c>
      <c r="I63" s="239">
        <f>IFERROR(__xludf.DUMMYFUNCTION("IFERROR(QUERY(IMPORTRANGE(""https://docs.google.com/spreadsheets/d/1YexoNxj_9I75NcLB5j4bqKMWUJQZyOsjhfYiXJYkJNI/edit?usp=sharing"", ""Indicadores!A2:E""), ""SELECT Col2 WHERE Col1 = '""&amp;B63  &amp;""'"", 0), 0)"),166.0)</f>
        <v>166</v>
      </c>
      <c r="J63" s="240">
        <f t="shared" si="10"/>
        <v>154.1173861</v>
      </c>
      <c r="K63" s="241">
        <f t="shared" si="11"/>
        <v>1.1</v>
      </c>
      <c r="L63" s="242">
        <f t="array" ref="L63">IFERROR(INDEX(LCP_3Anos[], MATCH(B63, LCP_3Anos[Fii], 0), MATCH(LCP_3Anos[[#HEADERS],[Media_DPA_3Anos]], LCP_3Anos[#HEADERS], 0)),"")</f>
        <v>13.2</v>
      </c>
      <c r="M63" s="243">
        <f t="shared" si="12"/>
        <v>0</v>
      </c>
      <c r="N63" s="244">
        <f t="shared" si="13"/>
        <v>0</v>
      </c>
      <c r="O63" s="245">
        <v>0.01</v>
      </c>
      <c r="P63" s="246">
        <f t="shared" ref="P63:P64" si="18">$F$91</f>
        <v>0.0749</v>
      </c>
      <c r="Q63" s="15">
        <f t="shared" si="14"/>
        <v>0.085649</v>
      </c>
      <c r="R63" s="9">
        <v>0.0</v>
      </c>
      <c r="S63" s="20">
        <f t="shared" si="15"/>
        <v>0</v>
      </c>
    </row>
    <row r="64" ht="22.5" customHeight="1">
      <c r="A64" s="232">
        <v>0.0</v>
      </c>
      <c r="B64" s="233" t="s">
        <v>24</v>
      </c>
      <c r="C64" s="234">
        <f t="shared" si="7"/>
        <v>0</v>
      </c>
      <c r="D64" s="232">
        <v>10.0</v>
      </c>
      <c r="E64" s="252">
        <f>(D64/SUM(Fiis[Nota]))*$D$4</f>
        <v>0.02272727273</v>
      </c>
      <c r="F64" s="236">
        <f t="shared" si="8"/>
        <v>0</v>
      </c>
      <c r="G64" s="253">
        <f>IFERROR(__xludf.DUMMYFUNCTION("GOOGLEFINANCE(B64)"),157.0)</f>
        <v>157</v>
      </c>
      <c r="H64" s="238">
        <f t="shared" si="9"/>
        <v>0.9623046276</v>
      </c>
      <c r="I64" s="239">
        <f>IFERROR(__xludf.DUMMYFUNCTION("IFERROR(QUERY(IMPORTRANGE(""https://docs.google.com/spreadsheets/d/1YexoNxj_9I75NcLB5j4bqKMWUJQZyOsjhfYiXJYkJNI/edit?usp=sharing"", ""Indicadores!A2:E""), ""SELECT Col2 WHERE Col1 = '""&amp;B64  &amp;""'"", 0), 0)"),163.15)</f>
        <v>163.15</v>
      </c>
      <c r="J64" s="254">
        <f t="shared" si="10"/>
        <v>152.0623098</v>
      </c>
      <c r="K64" s="241">
        <f t="shared" si="11"/>
        <v>1.010416667</v>
      </c>
      <c r="L64" s="242">
        <f t="array" ref="L64">IFERROR(INDEX(LCP_3Anos[], MATCH(B64, LCP_3Anos[Fii], 0), MATCH(LCP_3Anos[[#HEADERS],[Media_DPA_3Anos]], LCP_3Anos[#HEADERS], 0)),"")</f>
        <v>12.125</v>
      </c>
      <c r="M64" s="255">
        <f t="shared" si="12"/>
        <v>0</v>
      </c>
      <c r="N64" s="256">
        <f t="shared" si="13"/>
        <v>0</v>
      </c>
      <c r="O64" s="245">
        <v>0.0045</v>
      </c>
      <c r="P64" s="257">
        <f t="shared" si="18"/>
        <v>0.0749</v>
      </c>
      <c r="Q64" s="258">
        <f t="shared" si="14"/>
        <v>0.07973705</v>
      </c>
      <c r="R64" s="9">
        <v>0.0</v>
      </c>
      <c r="S64" s="20">
        <f t="shared" si="15"/>
        <v>0</v>
      </c>
      <c r="T64" s="268"/>
    </row>
    <row r="65">
      <c r="W65" s="268"/>
    </row>
    <row r="66">
      <c r="A66" s="269"/>
      <c r="B66" s="270"/>
      <c r="C66" s="271"/>
      <c r="D66" s="272"/>
      <c r="G66" s="268"/>
      <c r="H66" s="273"/>
      <c r="I66" s="274"/>
      <c r="J66" s="275"/>
      <c r="K66" s="276"/>
      <c r="L66" s="277"/>
      <c r="M66" s="278"/>
      <c r="N66" s="279"/>
      <c r="O66" s="280"/>
      <c r="P66" s="281"/>
      <c r="Q66" s="280"/>
      <c r="R66" s="282"/>
      <c r="S66" s="282"/>
      <c r="T66" s="279"/>
      <c r="U66" s="283"/>
      <c r="V66" s="268"/>
      <c r="W66" s="268"/>
    </row>
    <row r="67">
      <c r="A67" s="269"/>
      <c r="B67" s="270"/>
      <c r="C67" s="271"/>
      <c r="D67" s="272"/>
      <c r="E67" s="268"/>
      <c r="F67" s="273"/>
      <c r="G67" s="268"/>
      <c r="H67" s="273"/>
      <c r="J67" s="275"/>
      <c r="K67" s="276"/>
      <c r="L67" s="277"/>
      <c r="M67" s="278"/>
      <c r="N67" s="279"/>
      <c r="O67" s="280"/>
      <c r="P67" s="281"/>
      <c r="Q67" s="280"/>
      <c r="R67" s="282"/>
      <c r="S67" s="282"/>
      <c r="T67" s="279"/>
      <c r="U67" s="283"/>
      <c r="V67" s="268"/>
      <c r="W67" s="268"/>
    </row>
    <row r="68">
      <c r="A68" s="269"/>
      <c r="B68" s="270"/>
      <c r="C68" s="271"/>
      <c r="D68" s="272"/>
      <c r="G68" s="268"/>
      <c r="H68" s="273"/>
      <c r="I68" s="274"/>
      <c r="J68" s="275"/>
      <c r="K68" s="276"/>
      <c r="L68" s="277"/>
      <c r="N68" s="279"/>
      <c r="O68" s="280"/>
      <c r="P68" s="281"/>
      <c r="Q68" s="280"/>
      <c r="R68" s="282"/>
      <c r="S68" s="282"/>
      <c r="T68" s="279"/>
      <c r="U68" s="283"/>
      <c r="V68" s="268"/>
      <c r="W68" s="268"/>
    </row>
    <row r="69">
      <c r="A69" s="269"/>
      <c r="B69" s="270"/>
      <c r="C69" s="271"/>
      <c r="D69" s="272"/>
      <c r="G69" s="268"/>
      <c r="H69" s="273"/>
      <c r="J69" s="275"/>
      <c r="K69" s="276"/>
      <c r="L69" s="277"/>
      <c r="M69" s="278"/>
      <c r="N69" s="279"/>
      <c r="O69" s="280"/>
      <c r="P69" s="281"/>
      <c r="Q69" s="280"/>
      <c r="R69" s="282"/>
      <c r="S69" s="282"/>
      <c r="T69" s="279"/>
      <c r="U69" s="283"/>
      <c r="V69" s="268"/>
      <c r="W69" s="268"/>
    </row>
    <row r="70">
      <c r="A70" s="269"/>
      <c r="B70" s="270"/>
      <c r="C70" s="271"/>
      <c r="D70" s="272"/>
      <c r="G70" s="268"/>
      <c r="H70" s="273"/>
      <c r="I70" s="274"/>
      <c r="J70" s="275"/>
      <c r="K70" s="276"/>
      <c r="L70" s="277"/>
      <c r="M70" s="278"/>
      <c r="N70" s="279"/>
      <c r="O70" s="280"/>
      <c r="P70" s="281"/>
      <c r="Q70" s="280"/>
      <c r="R70" s="282"/>
      <c r="S70" s="282"/>
      <c r="T70" s="279"/>
      <c r="U70" s="283"/>
      <c r="V70" s="268"/>
      <c r="W70" s="268"/>
    </row>
    <row r="71">
      <c r="A71" s="269"/>
      <c r="B71" s="270"/>
      <c r="C71" s="271"/>
      <c r="D71" s="272"/>
      <c r="G71" s="268"/>
      <c r="H71" s="273"/>
      <c r="I71" s="274"/>
      <c r="J71" s="275"/>
      <c r="K71" s="276"/>
      <c r="L71" s="277"/>
      <c r="M71" s="278"/>
      <c r="N71" s="279"/>
      <c r="O71" s="280"/>
      <c r="P71" s="281"/>
      <c r="Q71" s="280"/>
      <c r="R71" s="282"/>
      <c r="S71" s="282"/>
      <c r="T71" s="279"/>
      <c r="U71" s="283"/>
      <c r="V71" s="268"/>
      <c r="W71" s="268"/>
    </row>
    <row r="72">
      <c r="A72" s="269"/>
      <c r="B72" s="270"/>
      <c r="C72" s="271"/>
      <c r="D72" s="272"/>
      <c r="G72" s="268"/>
      <c r="H72" s="273"/>
      <c r="I72" s="274"/>
      <c r="J72" s="275"/>
      <c r="K72" s="276"/>
      <c r="L72" s="277"/>
      <c r="M72" s="278"/>
      <c r="N72" s="279"/>
      <c r="O72" s="280"/>
      <c r="P72" s="281"/>
      <c r="Q72" s="280"/>
      <c r="R72" s="282"/>
      <c r="S72" s="282"/>
      <c r="T72" s="279"/>
      <c r="U72" s="283"/>
      <c r="V72" s="268"/>
      <c r="W72" s="268"/>
    </row>
    <row r="73">
      <c r="A73" s="269"/>
      <c r="B73" s="270"/>
      <c r="C73" s="271"/>
      <c r="D73" s="272"/>
      <c r="G73" s="268"/>
      <c r="H73" s="273"/>
      <c r="I73" s="274"/>
      <c r="J73" s="275"/>
      <c r="K73" s="276"/>
      <c r="L73" s="277"/>
      <c r="M73" s="278"/>
      <c r="N73" s="279"/>
      <c r="O73" s="280"/>
      <c r="P73" s="281"/>
      <c r="Q73" s="280"/>
      <c r="R73" s="282"/>
      <c r="S73" s="282"/>
      <c r="T73" s="279"/>
      <c r="U73" s="283"/>
      <c r="V73" s="268"/>
      <c r="W73" s="268"/>
    </row>
    <row r="74">
      <c r="A74" s="269"/>
      <c r="B74" s="270"/>
      <c r="C74" s="271"/>
      <c r="D74" s="272"/>
      <c r="E74" s="268"/>
      <c r="F74" s="273"/>
      <c r="G74" s="268"/>
      <c r="H74" s="273"/>
      <c r="I74" s="274"/>
      <c r="J74" s="275"/>
      <c r="K74" s="276"/>
      <c r="L74" s="277"/>
      <c r="M74" s="278"/>
      <c r="N74" s="279"/>
      <c r="O74" s="280"/>
      <c r="P74" s="281"/>
      <c r="Q74" s="280"/>
      <c r="R74" s="282"/>
      <c r="S74" s="282"/>
      <c r="T74" s="279"/>
      <c r="U74" s="283"/>
      <c r="V74" s="268"/>
      <c r="W74" s="268"/>
    </row>
    <row r="75">
      <c r="A75" s="269"/>
      <c r="B75" s="270"/>
      <c r="C75" s="271"/>
      <c r="D75" s="272"/>
      <c r="E75" s="268"/>
      <c r="F75" s="273"/>
      <c r="G75" s="268"/>
      <c r="H75" s="273"/>
      <c r="I75" s="274"/>
      <c r="K75" s="276"/>
      <c r="L75" s="277"/>
      <c r="M75" s="278"/>
      <c r="N75" s="279"/>
      <c r="O75" s="280"/>
      <c r="P75" s="281"/>
      <c r="Q75" s="280"/>
      <c r="R75" s="282"/>
      <c r="S75" s="282"/>
      <c r="T75" s="279"/>
      <c r="U75" s="283"/>
      <c r="V75" s="268"/>
      <c r="W75" s="268"/>
    </row>
    <row r="76">
      <c r="A76" s="269"/>
      <c r="B76" s="270"/>
      <c r="C76" s="271"/>
      <c r="D76" s="272"/>
      <c r="E76" s="268"/>
      <c r="F76" s="273"/>
      <c r="G76" s="268"/>
      <c r="H76" s="273"/>
      <c r="I76" s="274"/>
      <c r="J76" s="275"/>
      <c r="K76" s="276"/>
      <c r="L76" s="277"/>
      <c r="M76" s="278"/>
      <c r="N76" s="279"/>
      <c r="O76" s="280"/>
      <c r="P76" s="281"/>
      <c r="Q76" s="280"/>
      <c r="R76" s="282"/>
      <c r="S76" s="282"/>
      <c r="T76" s="279"/>
      <c r="U76" s="283"/>
      <c r="V76" s="268"/>
      <c r="W76" s="268"/>
    </row>
    <row r="77">
      <c r="V77" s="268"/>
      <c r="W77" s="268"/>
    </row>
    <row r="78">
      <c r="V78" s="268"/>
      <c r="W78" s="268"/>
    </row>
    <row r="79">
      <c r="V79" s="268"/>
      <c r="W79" s="268"/>
    </row>
    <row r="80">
      <c r="V80" s="268"/>
      <c r="W80" s="268"/>
    </row>
    <row r="81">
      <c r="V81" s="268"/>
      <c r="W81" s="268"/>
    </row>
    <row r="82" ht="22.5" customHeight="1">
      <c r="A82" s="1" t="s">
        <v>185</v>
      </c>
      <c r="B82" s="2" t="s">
        <v>214</v>
      </c>
      <c r="C82" s="1" t="s">
        <v>115</v>
      </c>
      <c r="D82" s="1" t="s">
        <v>215</v>
      </c>
      <c r="E82" s="1" t="s">
        <v>216</v>
      </c>
      <c r="F82" s="2" t="s">
        <v>217</v>
      </c>
      <c r="G82" s="1" t="s">
        <v>218</v>
      </c>
      <c r="H82" s="81" t="s">
        <v>219</v>
      </c>
      <c r="I82" s="81" t="s">
        <v>220</v>
      </c>
      <c r="J82" s="11" t="s">
        <v>221</v>
      </c>
      <c r="K82" s="11" t="s">
        <v>222</v>
      </c>
      <c r="L82" s="11" t="s">
        <v>223</v>
      </c>
    </row>
    <row r="83" ht="22.5" customHeight="1">
      <c r="A83" s="13" t="s">
        <v>224</v>
      </c>
      <c r="B83" s="284">
        <v>1032.02</v>
      </c>
      <c r="C83" s="285">
        <f t="shared" ref="C83:C84" si="19">SUM(B83,K83)</f>
        <v>1033.455878</v>
      </c>
      <c r="D83" s="286">
        <f t="shared" ref="D83:D85" si="20">IFERROR(SUM(C83/$B$9),0)</f>
        <v>0.06296276998</v>
      </c>
      <c r="E83" s="287">
        <v>1.15</v>
      </c>
      <c r="F83" s="286">
        <f t="shared" ref="F83:F84" si="21">E83 * (1 - 0.225)</f>
        <v>0.89125</v>
      </c>
      <c r="G83" s="286">
        <f>F83*Indicadores!$J$3</f>
        <v>0.12388375</v>
      </c>
      <c r="H83" s="288">
        <v>46273.0</v>
      </c>
      <c r="I83" s="289">
        <f t="shared" ref="I83:I84" si="22">TODAY()</f>
        <v>46275</v>
      </c>
      <c r="J83" s="290">
        <f>NETWORKDAYS(H83, I83, FERIADOS!A:A)</f>
        <v>3</v>
      </c>
      <c r="K83" s="291">
        <f t="shared" ref="K83:K84" si="23">(B83 * ((1 + L83) ^ J83))-B83</f>
        <v>1.435878284</v>
      </c>
      <c r="L83" s="292">
        <f t="shared" ref="L83:L84" si="24">((1 + G83) ^ (1/252)) - 1
</f>
        <v>0.0004635610654</v>
      </c>
    </row>
    <row r="84" ht="22.5" customHeight="1">
      <c r="A84" s="13" t="s">
        <v>225</v>
      </c>
      <c r="B84" s="293">
        <v>0.0</v>
      </c>
      <c r="C84" s="285">
        <f t="shared" si="19"/>
        <v>0</v>
      </c>
      <c r="D84" s="286">
        <f t="shared" si="20"/>
        <v>0</v>
      </c>
      <c r="E84" s="287">
        <v>1.09</v>
      </c>
      <c r="F84" s="286">
        <f t="shared" si="21"/>
        <v>0.84475</v>
      </c>
      <c r="G84" s="286">
        <f>F84*Indicadores!$J$3</f>
        <v>0.11742025</v>
      </c>
      <c r="H84" s="294">
        <v>46267.0</v>
      </c>
      <c r="I84" s="289">
        <f t="shared" si="22"/>
        <v>46275</v>
      </c>
      <c r="J84" s="290">
        <f>NETWORKDAYS(H84, I84, FERIADOS!A:A)</f>
        <v>6</v>
      </c>
      <c r="K84" s="291">
        <f t="shared" si="23"/>
        <v>0</v>
      </c>
      <c r="L84" s="292">
        <f t="shared" si="24"/>
        <v>0.0004406632552</v>
      </c>
    </row>
    <row r="85" ht="22.5" customHeight="1">
      <c r="A85" s="13" t="s">
        <v>226</v>
      </c>
      <c r="B85" s="13">
        <v>0.02</v>
      </c>
      <c r="C85" s="285">
        <f>B85*Indicadores!$E$7</f>
        <v>395.43</v>
      </c>
      <c r="D85" s="286">
        <f t="shared" si="20"/>
        <v>0.02409137019</v>
      </c>
      <c r="E85" s="295"/>
      <c r="F85" s="286"/>
      <c r="G85" s="286"/>
      <c r="H85" s="296"/>
      <c r="I85" s="296"/>
      <c r="J85" s="297">
        <f>NETWORKDAYS(H85, I85, FERIADOS!A:A)</f>
        <v>0</v>
      </c>
      <c r="K85" s="298"/>
      <c r="L85" s="297"/>
    </row>
    <row r="86">
      <c r="A86" s="7"/>
      <c r="B86" s="7"/>
      <c r="C86" s="7"/>
    </row>
    <row r="87">
      <c r="A87" s="7"/>
      <c r="B87" s="7"/>
      <c r="C87" s="7"/>
    </row>
    <row r="88" ht="22.5" customHeight="1">
      <c r="A88" s="1" t="s">
        <v>185</v>
      </c>
      <c r="B88" s="2" t="s">
        <v>214</v>
      </c>
      <c r="C88" s="2" t="s">
        <v>227</v>
      </c>
      <c r="D88" s="1" t="s">
        <v>115</v>
      </c>
      <c r="E88" s="1" t="s">
        <v>215</v>
      </c>
      <c r="F88" s="1" t="s">
        <v>228</v>
      </c>
      <c r="G88" s="2" t="s">
        <v>229</v>
      </c>
      <c r="H88" s="1" t="s">
        <v>218</v>
      </c>
    </row>
    <row r="89" ht="22.5" customHeight="1">
      <c r="A89" s="293" t="str">
        <f>Indicadores!A3</f>
        <v>Tesouro IPCA+ 2029</v>
      </c>
      <c r="B89" s="297"/>
      <c r="C89" s="285"/>
      <c r="D89" s="285"/>
      <c r="E89" s="286">
        <f t="shared" ref="E89:E92" si="25">IFERROR(SUM(D89/$B$9),0)</f>
        <v>0</v>
      </c>
      <c r="F89" s="287">
        <f>Indicadores!D3</f>
        <v>0.0782</v>
      </c>
      <c r="G89" s="286">
        <f t="shared" ref="G89:G92" si="26">F89 * (1 - 0.15)</f>
        <v>0.06647</v>
      </c>
      <c r="H89" s="286">
        <f>IFERROR((1+Indicadores!$J$4) * (1+G89)-1, 0)</f>
        <v>0.1138535246</v>
      </c>
    </row>
    <row r="90" ht="22.5" customHeight="1">
      <c r="A90" s="293" t="str">
        <f>Indicadores!A4</f>
        <v>Tesouro IPCA+ 2032</v>
      </c>
      <c r="B90" s="297"/>
      <c r="C90" s="285">
        <f>Indicadores!C4</f>
        <v>3041.71</v>
      </c>
      <c r="D90" s="285">
        <f t="shared" ref="D90:D91" si="27">B90*C90</f>
        <v>0</v>
      </c>
      <c r="E90" s="286">
        <f t="shared" si="25"/>
        <v>0</v>
      </c>
      <c r="F90" s="287">
        <f>Indicadores!D4</f>
        <v>0.0791</v>
      </c>
      <c r="G90" s="286">
        <f t="shared" si="26"/>
        <v>0.067235</v>
      </c>
      <c r="H90" s="286">
        <f>IFERROR((1+Indicadores!$J$4) * (1+G90)-1, 0)</f>
        <v>0.1146525138</v>
      </c>
    </row>
    <row r="91" ht="22.5" customHeight="1">
      <c r="A91" s="293" t="str">
        <f>Indicadores!A5</f>
        <v>Tesouro IPCA+ 2040</v>
      </c>
      <c r="B91" s="297"/>
      <c r="C91" s="285">
        <f>Indicadores!C5</f>
        <v>1767.6</v>
      </c>
      <c r="D91" s="285">
        <f t="shared" si="27"/>
        <v>0</v>
      </c>
      <c r="E91" s="286">
        <f t="shared" si="25"/>
        <v>0</v>
      </c>
      <c r="F91" s="287">
        <f>Indicadores!D5</f>
        <v>0.0749</v>
      </c>
      <c r="G91" s="286">
        <f t="shared" si="26"/>
        <v>0.063665</v>
      </c>
      <c r="H91" s="286">
        <f>IFERROR((1+Indicadores!$J$4) * (1+G91)-1, 0)</f>
        <v>0.1109238978</v>
      </c>
    </row>
    <row r="92" ht="22.5" customHeight="1">
      <c r="A92" s="293" t="str">
        <f>Indicadores!A6</f>
        <v>Tesouro Renda+ Aposentadoria Extra 2065</v>
      </c>
      <c r="B92" s="13">
        <v>1.79</v>
      </c>
      <c r="C92" s="285">
        <f>Indicadores!C6</f>
        <v>181</v>
      </c>
      <c r="D92" s="285">
        <f>B92*Indicadores!E6</f>
        <v>307.7726</v>
      </c>
      <c r="E92" s="286">
        <f t="shared" si="25"/>
        <v>0.01875088799</v>
      </c>
      <c r="F92" s="287">
        <f>Indicadores!D6</f>
        <v>0.0733</v>
      </c>
      <c r="G92" s="286">
        <f t="shared" si="26"/>
        <v>0.062305</v>
      </c>
      <c r="H92" s="286">
        <f>IFERROR((1+Indicadores!$J$4) * (1+G92)-1, 0)</f>
        <v>0.1095034727</v>
      </c>
    </row>
    <row r="94">
      <c r="A94" s="7"/>
      <c r="B94" s="7"/>
      <c r="C94" s="7"/>
    </row>
    <row r="95">
      <c r="A95" s="7"/>
      <c r="B95" s="7"/>
      <c r="C95" s="7"/>
    </row>
    <row r="96" ht="22.5" customHeight="1">
      <c r="A96" s="1" t="s">
        <v>230</v>
      </c>
      <c r="B96" s="1" t="s">
        <v>214</v>
      </c>
      <c r="C96" s="1" t="s">
        <v>197</v>
      </c>
      <c r="D96" s="1" t="s">
        <v>107</v>
      </c>
      <c r="E96" s="2" t="s">
        <v>231</v>
      </c>
      <c r="F96" s="1" t="s">
        <v>227</v>
      </c>
      <c r="G96" s="2" t="s">
        <v>232</v>
      </c>
    </row>
    <row r="97" ht="22.5" customHeight="1">
      <c r="A97" s="299" t="s">
        <v>233</v>
      </c>
      <c r="B97" s="299">
        <v>0.04420291</v>
      </c>
      <c r="C97" s="300">
        <f t="shared" ref="C97:C99" si="28">IFERROR(SUM(D97/$B$9),0)</f>
        <v>0.007192355737</v>
      </c>
      <c r="D97" s="301">
        <f t="shared" ref="D97:D98" si="29">(B97*F97)*G97</f>
        <v>118.0536104</v>
      </c>
      <c r="E97" s="302">
        <f t="shared" ref="E97:E98" si="30">B97*F97</f>
        <v>23.0690567</v>
      </c>
      <c r="F97" s="303">
        <f>IFERROR(__xludf.DUMMYFUNCTION("GOOGLEFINANCE(A97)"),521.89)</f>
        <v>521.89</v>
      </c>
      <c r="G97" s="304">
        <f>IFERROR(__xludf.DUMMYFUNCTION("GOOGLEFINANCE(""CURRENCY:USD/BRL"")"),5.11740085)</f>
        <v>5.11740085</v>
      </c>
      <c r="J97" s="305"/>
    </row>
    <row r="98" ht="22.5" customHeight="1">
      <c r="A98" s="299" t="s">
        <v>234</v>
      </c>
      <c r="B98" s="299">
        <v>3.90443446</v>
      </c>
      <c r="C98" s="300">
        <f t="shared" si="28"/>
        <v>0.1228139169</v>
      </c>
      <c r="D98" s="301">
        <f t="shared" si="29"/>
        <v>2015.838317</v>
      </c>
      <c r="E98" s="302">
        <f t="shared" si="30"/>
        <v>393.9183927</v>
      </c>
      <c r="F98" s="303">
        <f>IFERROR(__xludf.DUMMYFUNCTION("GOOGLEFINANCE(A98)"),100.89)</f>
        <v>100.89</v>
      </c>
      <c r="G98" s="304">
        <f>IFERROR(__xludf.DUMMYFUNCTION("GOOGLEFINANCE(""CURRENCY:USD/BRL"")"),5.11740085)</f>
        <v>5.11740085</v>
      </c>
      <c r="J98" s="305"/>
    </row>
    <row r="99" ht="22.5" customHeight="1">
      <c r="A99" s="299" t="s">
        <v>235</v>
      </c>
      <c r="B99" s="306">
        <v>11.0</v>
      </c>
      <c r="C99" s="300">
        <f t="shared" si="28"/>
        <v>0.01152420003</v>
      </c>
      <c r="D99" s="301">
        <f>B99*F99</f>
        <v>189.1554687</v>
      </c>
      <c r="E99" s="302"/>
      <c r="F99" s="303">
        <f>IFERROR(__xludf.DUMMYFUNCTION("GOOGLEFINANCE(""IVVB11"")* 0.039040892927697"),17.19595169893342)</f>
        <v>17.1959517</v>
      </c>
      <c r="G99" s="304">
        <f>IFERROR(__xludf.DUMMYFUNCTION("GOOGLEFINANCE(""CURRENCY:USD/BRL"")"),5.11740085)</f>
        <v>5.11740085</v>
      </c>
      <c r="J99" s="30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  <c r="L102" s="5"/>
      <c r="M102" s="5"/>
      <c r="N102" s="5"/>
      <c r="O102" s="5"/>
    </row>
    <row r="103" ht="22.5" customHeight="1">
      <c r="A103" s="307" t="s">
        <v>171</v>
      </c>
      <c r="B103" s="307" t="s">
        <v>214</v>
      </c>
      <c r="C103" s="307" t="s">
        <v>197</v>
      </c>
      <c r="D103" s="308" t="s">
        <v>107</v>
      </c>
      <c r="E103" s="308" t="s">
        <v>231</v>
      </c>
      <c r="F103" s="308" t="s">
        <v>227</v>
      </c>
      <c r="G103" s="308" t="s">
        <v>236</v>
      </c>
      <c r="H103" s="2" t="s">
        <v>237</v>
      </c>
      <c r="I103" s="1" t="s">
        <v>238</v>
      </c>
      <c r="J103" s="1" t="s">
        <v>239</v>
      </c>
      <c r="K103" s="1" t="s">
        <v>240</v>
      </c>
      <c r="L103" s="5"/>
      <c r="M103" s="5"/>
      <c r="N103" s="5"/>
      <c r="O103" s="5"/>
      <c r="P103" s="45"/>
    </row>
    <row r="104" ht="22.5" customHeight="1">
      <c r="A104" s="309" t="s">
        <v>241</v>
      </c>
      <c r="B104" s="310">
        <v>0.00108981</v>
      </c>
      <c r="C104" s="311">
        <f>IFERROR(SUM(D104/B9),0)</f>
        <v>0.02624895503</v>
      </c>
      <c r="D104" s="312">
        <f t="shared" ref="D104:D105" si="31">B104*F104</f>
        <v>430.8440827</v>
      </c>
      <c r="E104" s="313">
        <f>B104*G104</f>
        <v>84.19197468</v>
      </c>
      <c r="F104" s="312">
        <f>IFERROR(__xludf.DUMMYFUNCTION("GOOGLEFINANCE(""CURRENCY:BTCBRL"")
"),395338.71290000004)</f>
        <v>395338.7129</v>
      </c>
      <c r="G104" s="314">
        <f>IFERROR(__xludf.DUMMYFUNCTION("GOOGLEFINANCE(""CURRENCY:BTCUSD"")
"),77253.81)</f>
        <v>77253.81</v>
      </c>
      <c r="H104" s="298">
        <f>B104*J104</f>
        <v>572.0528101</v>
      </c>
      <c r="I104" s="286">
        <f>IFERROR(SUM((B104*J104/B9),0),"")</f>
        <v>0.03485202441</v>
      </c>
      <c r="J104" s="285">
        <v>524910.59</v>
      </c>
      <c r="K104" s="298">
        <f>H104-D104</f>
        <v>141.2087274</v>
      </c>
    </row>
    <row r="105" ht="22.5" customHeight="1">
      <c r="A105" s="315" t="s">
        <v>242</v>
      </c>
      <c r="B105" s="310">
        <v>0.54351</v>
      </c>
      <c r="C105" s="311">
        <f>IFERROR(SUM(D105/B9),0)</f>
        <v>0.000169452844</v>
      </c>
      <c r="D105" s="312">
        <f t="shared" si="31"/>
        <v>2.781358536</v>
      </c>
      <c r="E105" s="313"/>
      <c r="F105" s="312">
        <f>IFERROR(__xludf.DUMMYFUNCTION("GOOGLEFINANCE(""CURRENCY:USDTBRL"")
"),5.11740085)</f>
        <v>5.11740085</v>
      </c>
      <c r="G105" s="314"/>
      <c r="H105" s="298"/>
      <c r="I105" s="286"/>
      <c r="J105" s="298"/>
      <c r="K105" s="297"/>
    </row>
    <row r="106">
      <c r="A106" s="7"/>
      <c r="B106" s="7"/>
      <c r="C106" s="7"/>
    </row>
  </sheetData>
  <mergeCells count="1">
    <mergeCell ref="A19:B19"/>
  </mergeCells>
  <conditionalFormatting sqref="C82:C84">
    <cfRule type="expression" dxfId="6" priority="1">
      <formula>AND($A82="RECR11", ($E82) &gt; ($C82))</formula>
    </cfRule>
  </conditionalFormatting>
  <conditionalFormatting sqref="C82:C84">
    <cfRule type="expression" dxfId="6" priority="2">
      <formula>AND($A82="MXRF11", ($E82) &gt; ($C82))</formula>
    </cfRule>
  </conditionalFormatting>
  <conditionalFormatting sqref="C82:C84">
    <cfRule type="expression" dxfId="6" priority="3">
      <formula>AND($A82="BTCI11", ($E82) &gt; ($C82))</formula>
    </cfRule>
  </conditionalFormatting>
  <conditionalFormatting sqref="D82:D85">
    <cfRule type="expression" dxfId="6" priority="4">
      <formula>AND($A82="RECR11", ($D82) &gt; ($C82)) </formula>
    </cfRule>
  </conditionalFormatting>
  <conditionalFormatting sqref="D82:D85">
    <cfRule type="expression" dxfId="6" priority="5">
      <formula>AND($A82="MXRF11", ($D82) &gt; ($C82)) </formula>
    </cfRule>
  </conditionalFormatting>
  <conditionalFormatting sqref="D82:D85">
    <cfRule type="expression" dxfId="6" priority="6">
      <formula>AND($A82="BTCI11", ($D82) &gt; ($C82)) </formula>
    </cfRule>
  </conditionalFormatting>
  <conditionalFormatting sqref="D88">
    <cfRule type="expression" dxfId="6" priority="7">
      <formula>AND($A88="BTCI11", ($F88) &gt; ($D88))</formula>
    </cfRule>
  </conditionalFormatting>
  <conditionalFormatting sqref="D88">
    <cfRule type="expression" dxfId="6" priority="8">
      <formula>AND($A88="MXRF11", ($F88) &gt; ($D88))</formula>
    </cfRule>
  </conditionalFormatting>
  <conditionalFormatting sqref="D88">
    <cfRule type="expression" dxfId="6" priority="9">
      <formula>AND($A88="RECR11", ($F88) &gt; ($D88))</formula>
    </cfRule>
  </conditionalFormatting>
  <conditionalFormatting sqref="E88">
    <cfRule type="expression" dxfId="6" priority="10">
      <formula>AND($A88="BTCI11", ($E88) &gt; ($D88)) </formula>
    </cfRule>
  </conditionalFormatting>
  <conditionalFormatting sqref="E88">
    <cfRule type="expression" dxfId="6" priority="11">
      <formula>AND($A88="MXRF11", ($E88) &gt; ($D88)) </formula>
    </cfRule>
  </conditionalFormatting>
  <conditionalFormatting sqref="E88">
    <cfRule type="expression" dxfId="6" priority="12">
      <formula>AND($A88="RECR11", ($E88) &gt; ($D88)) </formula>
    </cfRule>
  </conditionalFormatting>
  <conditionalFormatting sqref="G52:G65">
    <cfRule type="expression" dxfId="6" priority="13">
      <formula>AND($B52="GGRC11", ($G52) &gt;= ($I52))</formula>
    </cfRule>
  </conditionalFormatting>
  <conditionalFormatting sqref="G52:G65">
    <cfRule type="expression" dxfId="6" priority="14">
      <formula>AND($B52="RZTR11", ($G52) &gt;= ($I52))</formula>
    </cfRule>
  </conditionalFormatting>
  <conditionalFormatting sqref="G52:G65">
    <cfRule type="expression" dxfId="6" priority="15">
      <formula>AND($B52="BRCO11", ($G52) &gt;= ($I52))</formula>
    </cfRule>
  </conditionalFormatting>
  <conditionalFormatting sqref="G52:G65">
    <cfRule type="expression" dxfId="6" priority="16">
      <formula>AND($B52="HGBS11", ($G52) &gt;= ($I52))</formula>
    </cfRule>
  </conditionalFormatting>
  <conditionalFormatting sqref="G52:G65">
    <cfRule type="expression" dxfId="6" priority="17">
      <formula>AND($B52="BTLG11", ($G52) &gt;= ($I52))</formula>
    </cfRule>
  </conditionalFormatting>
  <conditionalFormatting sqref="G52:G65">
    <cfRule type="expression" dxfId="6" priority="18">
      <formula>AND($B52="HGLG11", ($G52) &gt;= ($I52))</formula>
    </cfRule>
  </conditionalFormatting>
  <conditionalFormatting sqref="G52:G65">
    <cfRule type="expression" dxfId="6" priority="19">
      <formula>AND($B52="PMLL11", ($G52) &gt;= ($I52))</formula>
    </cfRule>
  </conditionalFormatting>
  <conditionalFormatting sqref="G52:G65">
    <cfRule type="expression" dxfId="6" priority="20">
      <formula>AND($B52="BTCI11", ($G52) &gt;= ($I52))</formula>
    </cfRule>
  </conditionalFormatting>
  <conditionalFormatting sqref="G52:G65">
    <cfRule type="expression" dxfId="6" priority="21">
      <formula>AND($B52="GARE11", ($G52) &gt;= ($I52))</formula>
    </cfRule>
  </conditionalFormatting>
  <conditionalFormatting sqref="G52:G65">
    <cfRule type="expression" dxfId="6" priority="22">
      <formula>AND($B52="LVBI11", ($G52) &gt;= ($I52))</formula>
    </cfRule>
  </conditionalFormatting>
  <conditionalFormatting sqref="G52:G65">
    <cfRule type="expression" dxfId="6" priority="23">
      <formula>AND($B52="MXRF11", ($G52) &gt;= ($I52))</formula>
    </cfRule>
  </conditionalFormatting>
  <conditionalFormatting sqref="G52:G65">
    <cfRule type="expression" dxfId="6" priority="24">
      <formula>AND($B52="XPLG11", ($G52) &gt;= ($I52))</formula>
    </cfRule>
  </conditionalFormatting>
  <conditionalFormatting sqref="G52:G65">
    <cfRule type="expression" dxfId="6" priority="25">
      <formula>AND($B52="RBRX11", ($G52) &gt;= ($I52))</formula>
    </cfRule>
  </conditionalFormatting>
  <conditionalFormatting sqref="G52:G65">
    <cfRule type="expression" dxfId="6" priority="26">
      <formula>AND($B52="RBRF11", ($G52) &gt;= ($I52))</formula>
    </cfRule>
  </conditionalFormatting>
  <conditionalFormatting sqref="G52:G65">
    <cfRule type="expression" dxfId="6" priority="27">
      <formula>AND($B52="RECR11", ($G52) &gt;= ($I52))</formula>
    </cfRule>
  </conditionalFormatting>
  <conditionalFormatting sqref="G52:G65">
    <cfRule type="expression" dxfId="11" priority="28">
      <formula>AND($B52="PMLL11", ($G52) &gt; ($J52))</formula>
    </cfRule>
  </conditionalFormatting>
  <conditionalFormatting sqref="G52:G65">
    <cfRule type="expression" dxfId="11" priority="29">
      <formula>AND($B52="GGRC11", ($G52) &gt; ($J52))</formula>
    </cfRule>
  </conditionalFormatting>
  <conditionalFormatting sqref="G52:G65">
    <cfRule type="expression" dxfId="11" priority="30">
      <formula>AND($B52="LVBI11", ($G52) &gt; ($J52))</formula>
    </cfRule>
  </conditionalFormatting>
  <conditionalFormatting sqref="G52:G65">
    <cfRule type="expression" dxfId="11" priority="31">
      <formula>AND($B52="BTLG11", ($G52) &gt; ($J52))</formula>
    </cfRule>
  </conditionalFormatting>
  <conditionalFormatting sqref="G52:G65">
    <cfRule type="expression" dxfId="11" priority="32">
      <formula>AND($B52="BTCI11", ($G52) &gt; ($J52))</formula>
    </cfRule>
  </conditionalFormatting>
  <conditionalFormatting sqref="G52:G65">
    <cfRule type="expression" dxfId="11" priority="33">
      <formula>AND($B52="GARE11", ($G52) &gt; ($J52))</formula>
    </cfRule>
  </conditionalFormatting>
  <conditionalFormatting sqref="G52:G65">
    <cfRule type="expression" dxfId="11" priority="34">
      <formula>AND($B52="HGLG11", ($G52) &gt; ($J52))</formula>
    </cfRule>
  </conditionalFormatting>
  <conditionalFormatting sqref="G52:G65">
    <cfRule type="expression" dxfId="11" priority="35">
      <formula>AND($B52="XPLG11", ($G52) &gt; ($J52))</formula>
    </cfRule>
  </conditionalFormatting>
  <conditionalFormatting sqref="G52:G65">
    <cfRule type="expression" dxfId="11" priority="36">
      <formula>AND($B52="MXRF11", ($G52) &gt; ($J52))</formula>
    </cfRule>
  </conditionalFormatting>
  <conditionalFormatting sqref="G52:G65">
    <cfRule type="expression" dxfId="11" priority="37">
      <formula>AND($B52="HGBS11", ($G52) &gt; ($J52))</formula>
    </cfRule>
  </conditionalFormatting>
  <conditionalFormatting sqref="G52:G65">
    <cfRule type="expression" dxfId="11" priority="38">
      <formula>AND($B52="RZTR11", ($G52) &gt; ($J52))</formula>
    </cfRule>
  </conditionalFormatting>
  <conditionalFormatting sqref="G52:G65">
    <cfRule type="expression" dxfId="11" priority="39">
      <formula>AND($B52="BRCO11", ($G52) &gt; ($J52))</formula>
    </cfRule>
  </conditionalFormatting>
  <conditionalFormatting sqref="G52:G65">
    <cfRule type="expression" dxfId="12" priority="40">
      <formula>AND($B52="XPLG11", ($G52) &lt; ($J52))</formula>
    </cfRule>
  </conditionalFormatting>
  <conditionalFormatting sqref="G52:G65">
    <cfRule type="expression" dxfId="12" priority="41">
      <formula>AND($B52="HGBS11", ($G52) &lt; ($J52))</formula>
    </cfRule>
  </conditionalFormatting>
  <conditionalFormatting sqref="G52:G65">
    <cfRule type="expression" dxfId="12" priority="42">
      <formula>AND($B52="RZTR11", ($G52) &lt; ($J52))</formula>
    </cfRule>
  </conditionalFormatting>
  <conditionalFormatting sqref="G52:G65">
    <cfRule type="expression" dxfId="12" priority="43">
      <formula>AND($B52="GGRC11", ($G52) &lt; ($J52))</formula>
    </cfRule>
  </conditionalFormatting>
  <conditionalFormatting sqref="G52:G65">
    <cfRule type="expression" dxfId="12" priority="44">
      <formula>AND($B52="BRCO11", ($G52) &lt; ($J52))</formula>
    </cfRule>
  </conditionalFormatting>
  <conditionalFormatting sqref="G52:G65">
    <cfRule type="expression" dxfId="12" priority="45">
      <formula>AND($B52="GARE11", ($G52) &lt; ($J52))</formula>
    </cfRule>
  </conditionalFormatting>
  <conditionalFormatting sqref="G52:G65">
    <cfRule type="expression" dxfId="12" priority="46">
      <formula>AND($B52="HGLG11", ($G52) &lt; ($J52))</formula>
    </cfRule>
  </conditionalFormatting>
  <conditionalFormatting sqref="G52:G65">
    <cfRule type="expression" dxfId="12" priority="47">
      <formula>AND($B52="BTLG11", ($G52) &lt; ($J52))</formula>
    </cfRule>
  </conditionalFormatting>
  <conditionalFormatting sqref="G52:G65">
    <cfRule type="expression" dxfId="12" priority="48">
      <formula>AND($B52="LVBI11", ($G52) &lt; ($J52))</formula>
    </cfRule>
  </conditionalFormatting>
  <conditionalFormatting sqref="G52:G65">
    <cfRule type="expression" dxfId="12" priority="49">
      <formula>AND($B52="PMLL11", ($G52) &lt; ($J52))</formula>
    </cfRule>
  </conditionalFormatting>
  <conditionalFormatting sqref="G52:G65">
    <cfRule type="expression" dxfId="12" priority="50">
      <formula>AND($B52="BTCI11", ($G52) &lt; ($J52))</formula>
    </cfRule>
  </conditionalFormatting>
  <conditionalFormatting sqref="G52:G65">
    <cfRule type="expression" dxfId="12" priority="51">
      <formula>AND($B52="RBRX11", ($G52) &lt;($J52))</formula>
    </cfRule>
  </conditionalFormatting>
  <conditionalFormatting sqref="G52:G65">
    <cfRule type="expression" dxfId="12" priority="52">
      <formula>AND($B52="RBRF11", ($G52) &lt;($J52))</formula>
    </cfRule>
  </conditionalFormatting>
  <conditionalFormatting sqref="G52:G65">
    <cfRule type="expression" dxfId="12" priority="53">
      <formula>AND($B52="MXRF11", ($G52) &lt;($J52))</formula>
    </cfRule>
  </conditionalFormatting>
  <conditionalFormatting sqref="G52:G65">
    <cfRule type="expression" dxfId="12" priority="54">
      <formula>AND($B52="RECR11", ($G52) &lt; ($J52))</formula>
    </cfRule>
  </conditionalFormatting>
  <conditionalFormatting sqref="B22:E34">
    <cfRule type="expression" dxfId="5" priority="55">
      <formula>AND($B22="BBAS3", VALUE(SUBSTITUTE($C22,"%","")) &gt; VALUE(SUBSTITUTE($E22,"%",""))*2)</formula>
    </cfRule>
  </conditionalFormatting>
  <conditionalFormatting sqref="B22:E34">
    <cfRule type="expression" dxfId="5" priority="56">
      <formula>AND($B22="CMIG3", VALUE(SUBSTITUTE($C22,"%","")) &gt; VALUE(SUBSTITUTE($E22,"%",""))*2)</formula>
    </cfRule>
  </conditionalFormatting>
  <conditionalFormatting sqref="B22:E34">
    <cfRule type="expression" dxfId="5" priority="57">
      <formula>AND($B22="BBSE3", VALUE(SUBSTITUTE($C22,"%","")) &gt; VALUE(SUBSTITUTE($E22,"%",""))*2)</formula>
    </cfRule>
  </conditionalFormatting>
  <conditionalFormatting sqref="B22:E34">
    <cfRule type="expression" dxfId="5" priority="58">
      <formula>AND($B22="BRBI11", VALUE(SUBSTITUTE($C22,"%","")) &gt; VALUE(SUBSTITUTE($E22,"%",""))*2)</formula>
    </cfRule>
  </conditionalFormatting>
  <conditionalFormatting sqref="B22:E34">
    <cfRule type="expression" dxfId="5" priority="59">
      <formula>AND($B22="PETR4", VALUE(SUBSTITUTE($C22,"%","")) &gt; VALUE(SUBSTITUTE($E22,"%",""))*2)</formula>
    </cfRule>
  </conditionalFormatting>
  <conditionalFormatting sqref="B22:E34">
    <cfRule type="expression" dxfId="5" priority="60">
      <formula>AND($B22="CMIG4", VALUE(SUBSTITUTE($C22,"%","")) &gt; VALUE(SUBSTITUTE($E22,"%",""))*2)</formula>
    </cfRule>
  </conditionalFormatting>
  <conditionalFormatting sqref="B22:E34">
    <cfRule type="expression" dxfId="5" priority="61">
      <formula>AND($B22="WEGE3", VALUE(SUBSTITUTE($C22,"%","")) &gt; VALUE(SUBSTITUTE($E22,"%",""))*2)</formula>
    </cfRule>
  </conditionalFormatting>
  <conditionalFormatting sqref="B22:E34">
    <cfRule type="expression" dxfId="5" priority="62">
      <formula>AND($B22="TAEE11", VALUE(SUBSTITUTE($C22,"%","")) &gt; VALUE(SUBSTITUTE($E22,"%",""))*2)</formula>
    </cfRule>
  </conditionalFormatting>
  <conditionalFormatting sqref="B22:E34">
    <cfRule type="expression" dxfId="5" priority="63">
      <formula>AND($B22="VALE3", VALUE(SUBSTITUTE($C22,"%","")) &gt; VALUE(SUBSTITUTE($E22,"%",""))*2)</formula>
    </cfRule>
  </conditionalFormatting>
  <conditionalFormatting sqref="B22:E34">
    <cfRule type="expression" dxfId="5" priority="64">
      <formula>AND($B22="ITUB3", VALUE(SUBSTITUTE($C22,"%","")) &gt; VALUE(SUBSTITUTE($E22,"%",""))*2)</formula>
    </cfRule>
  </conditionalFormatting>
  <conditionalFormatting sqref="B22:E34">
    <cfRule type="expression" dxfId="5" priority="65">
      <formula>AND($B22="ISAE4", VALUE(SUBSTITUTE($C22,"%","")) &gt; VALUE(SUBSTITUTE($E22,"%",""))*2)</formula>
    </cfRule>
  </conditionalFormatting>
  <conditionalFormatting sqref="B22:E34">
    <cfRule type="expression" dxfId="5" priority="66">
      <formula>AND($B22="SAPR4", VALUE(SUBSTITUTE($C22,"%","")) &gt; VALUE(SUBSTITUTE($E22,"%",""))*2)</formula>
    </cfRule>
  </conditionalFormatting>
  <conditionalFormatting sqref="B22:E34">
    <cfRule type="expression" dxfId="6" priority="67">
      <formula>AND($B22="BBAS3", VALUE(SUBSTITUTE($C22,"%","")) &gt; VALUE(SUBSTITUTE($E22,"%","")))</formula>
    </cfRule>
  </conditionalFormatting>
  <conditionalFormatting sqref="B22:E34">
    <cfRule type="expression" dxfId="6" priority="68">
      <formula>AND($B22="BBSE3", VALUE(SUBSTITUTE($C22,"%","")) &gt; VALUE(SUBSTITUTE($E22,"%","")))</formula>
    </cfRule>
  </conditionalFormatting>
  <conditionalFormatting sqref="B22:E34">
    <cfRule type="expression" dxfId="6" priority="69">
      <formula>AND($B22="PETR4", VALUE(SUBSTITUTE($C22,"%","")) &gt; VALUE(SUBSTITUTE($E22,"%","")))</formula>
    </cfRule>
  </conditionalFormatting>
  <conditionalFormatting sqref="B22:E34">
    <cfRule type="expression" dxfId="6" priority="70">
      <formula>AND($B22="ITUB3", VALUE(SUBSTITUTE($C22,"%","")) &gt; VALUE(SUBSTITUTE($E22,"%","")))</formula>
    </cfRule>
  </conditionalFormatting>
  <conditionalFormatting sqref="B22:E34">
    <cfRule type="expression" dxfId="6" priority="71">
      <formula>AND($B22="VALE3", VALUE(SUBSTITUTE($C22,"%","")) &gt; VALUE(SUBSTITUTE($E22,"%","")))</formula>
    </cfRule>
  </conditionalFormatting>
  <conditionalFormatting sqref="B22:E34">
    <cfRule type="expression" dxfId="6" priority="72">
      <formula>AND($B22="CMIG3", VALUE(SUBSTITUTE($C22,"%","")) &gt; VALUE(SUBSTITUTE($E22,"%","")))</formula>
    </cfRule>
  </conditionalFormatting>
  <conditionalFormatting sqref="B22:E34">
    <cfRule type="expression" dxfId="6" priority="73">
      <formula>AND($B22="BRBI11", VALUE(SUBSTITUTE($C22,"%","")) &gt; VALUE(SUBSTITUTE($E22,"%","")))</formula>
    </cfRule>
  </conditionalFormatting>
  <conditionalFormatting sqref="B22:E34">
    <cfRule type="expression" dxfId="6" priority="74">
      <formula>AND($B22="TAEE11", VALUE(SUBSTITUTE($C22,"%","")) &gt; VALUE(SUBSTITUTE($E22,"%","")))</formula>
    </cfRule>
  </conditionalFormatting>
  <conditionalFormatting sqref="B22:E34">
    <cfRule type="expression" dxfId="6" priority="75">
      <formula>AND($B22="WEGE3", VALUE(SUBSTITUTE($C22,"%","")) &gt; VALUE(SUBSTITUTE($E22,"%","")))</formula>
    </cfRule>
  </conditionalFormatting>
  <conditionalFormatting sqref="B22:E34">
    <cfRule type="expression" dxfId="6" priority="76">
      <formula>AND($B22="CMIG4", VALUE(SUBSTITUTE($C22,"%","")) &gt; VALUE(SUBSTITUTE($E22,"%","")))</formula>
    </cfRule>
  </conditionalFormatting>
  <conditionalFormatting sqref="B22:E34">
    <cfRule type="expression" dxfId="6" priority="77">
      <formula>AND($B22="ISAE4", VALUE(SUBSTITUTE($C22,"%","")) &gt; VALUE(SUBSTITUTE($E22,"%","")))</formula>
    </cfRule>
  </conditionalFormatting>
  <conditionalFormatting sqref="B22:E34">
    <cfRule type="expression" dxfId="6" priority="78">
      <formula>AND($B22="SAPR4", VALUE(SUBSTITUTE($C22,"%","")) &gt; VALUE(SUBSTITUTE($E22,"%","")))</formula>
    </cfRule>
  </conditionalFormatting>
  <conditionalFormatting sqref="B22:E34">
    <cfRule type="expression" dxfId="7" priority="79">
      <formula>AND($B22="BBAS3", VALUE(SUBSTITUTE($C22,"%","")) &lt; VALUE(SUBSTITUTE($E22,"%","")))</formula>
    </cfRule>
  </conditionalFormatting>
  <conditionalFormatting sqref="B22:E34">
    <cfRule type="expression" dxfId="7" priority="80">
      <formula>AND($B22="BBSE3", VALUE(SUBSTITUTE($C22,"%","")) &lt; VALUE(SUBSTITUTE($E22,"%","")))</formula>
    </cfRule>
  </conditionalFormatting>
  <conditionalFormatting sqref="B22:E34">
    <cfRule type="expression" dxfId="7" priority="81">
      <formula>AND($B22="VALE3", VALUE(SUBSTITUTE($C22,"%","")) &lt; VALUE(SUBSTITUTE($E22,"%","")))</formula>
    </cfRule>
  </conditionalFormatting>
  <conditionalFormatting sqref="B22:E34">
    <cfRule type="expression" dxfId="7" priority="82">
      <formula>AND($B22="TAEE11", VALUE(SUBSTITUTE($C22,"%","")) &lt; VALUE(SUBSTITUTE($E22,"%","")))</formula>
    </cfRule>
  </conditionalFormatting>
  <conditionalFormatting sqref="B22:E34">
    <cfRule type="expression" dxfId="7" priority="83">
      <formula>AND($B22="PETR4", VALUE(SUBSTITUTE($C22,"%","")) &lt; VALUE(SUBSTITUTE($E22,"%","")))</formula>
    </cfRule>
  </conditionalFormatting>
  <conditionalFormatting sqref="B22:E34">
    <cfRule type="expression" dxfId="7" priority="84">
      <formula>AND($B22="WEGE3", VALUE(SUBSTITUTE($C22,"%","")) &lt; VALUE(SUBSTITUTE($E22,"%","")))</formula>
    </cfRule>
  </conditionalFormatting>
  <conditionalFormatting sqref="B22:E34">
    <cfRule type="expression" dxfId="7" priority="85">
      <formula>AND($B22="CMIG3", VALUE(SUBSTITUTE($C22,"%","")) &lt; VALUE(SUBSTITUTE($E22,"%","")))</formula>
    </cfRule>
  </conditionalFormatting>
  <conditionalFormatting sqref="B22:E34">
    <cfRule type="expression" dxfId="7" priority="86">
      <formula>AND($B22="BRBI11", VALUE(SUBSTITUTE($C22,"%","")) &lt; VALUE(SUBSTITUTE($E22,"%","")))</formula>
    </cfRule>
  </conditionalFormatting>
  <conditionalFormatting sqref="B22:E34">
    <cfRule type="expression" dxfId="7" priority="87">
      <formula>AND($B22="ITUB3", VALUE(SUBSTITUTE($C22,"%","")) &lt; VALUE(SUBSTITUTE($E22,"%","")))</formula>
    </cfRule>
  </conditionalFormatting>
  <conditionalFormatting sqref="B22:E34">
    <cfRule type="expression" dxfId="7" priority="88">
      <formula>AND($B22="CMIG4", VALUE(SUBSTITUTE($C22,"%","")) &lt; VALUE(SUBSTITUTE($E22,"%","")))</formula>
    </cfRule>
  </conditionalFormatting>
  <conditionalFormatting sqref="B52:E65">
    <cfRule type="expression" dxfId="5" priority="89">
      <formula>AND($B52="RZTR11", VALUE(SUBSTITUTE($C52,"%","")) &gt; VALUE(SUBSTITUTE($E52,"%",""))*2)</formula>
    </cfRule>
  </conditionalFormatting>
  <conditionalFormatting sqref="B52:E65">
    <cfRule type="expression" dxfId="5" priority="90">
      <formula>AND($B52="BRCO11", VALUE(SUBSTITUTE($C52,"%","")) &gt; VALUE(SUBSTITUTE($E52,"%",""))*2)</formula>
    </cfRule>
  </conditionalFormatting>
  <conditionalFormatting sqref="B52:E65">
    <cfRule type="expression" dxfId="5" priority="91">
      <formula>AND($B52="BTLG11", VALUE(SUBSTITUTE($C52,"%","")) &gt; VALUE(SUBSTITUTE($E52,"%",""))*2)</formula>
    </cfRule>
  </conditionalFormatting>
  <conditionalFormatting sqref="B52:E65">
    <cfRule type="expression" dxfId="5" priority="92">
      <formula>AND($B52="XPLG11", VALUE(SUBSTITUTE($C52,"%","")) &gt; VALUE(SUBSTITUTE($E52,"%",""))*2)</formula>
    </cfRule>
  </conditionalFormatting>
  <conditionalFormatting sqref="B52:E65">
    <cfRule type="expression" dxfId="5" priority="93">
      <formula>AND($B52="GGRC11", VALUE(SUBSTITUTE($C52,"%","")) &gt; VALUE(SUBSTITUTE($E52,"%",""))*2)</formula>
    </cfRule>
  </conditionalFormatting>
  <conditionalFormatting sqref="B52:E65">
    <cfRule type="expression" dxfId="5" priority="94">
      <formula>AND($B52="GARE11", VALUE(SUBSTITUTE($C52,"%","")) &gt; VALUE(SUBSTITUTE($E52,"%",""))*2)</formula>
    </cfRule>
  </conditionalFormatting>
  <conditionalFormatting sqref="B52:E65">
    <cfRule type="expression" dxfId="5" priority="95">
      <formula>AND($B52="HGLG11", VALUE(SUBSTITUTE($C52,"%","")) &gt; VALUE(SUBSTITUTE($E52,"%",""))*2)</formula>
    </cfRule>
  </conditionalFormatting>
  <conditionalFormatting sqref="B52:E65">
    <cfRule type="expression" dxfId="5" priority="96">
      <formula>AND($B52="HGBS11", VALUE(SUBSTITUTE($C52,"%","")) &gt; VALUE(SUBSTITUTE($E52,"%",""))*2)</formula>
    </cfRule>
  </conditionalFormatting>
  <conditionalFormatting sqref="B52:E65">
    <cfRule type="expression" dxfId="5" priority="97">
      <formula>AND($B52="PMLL11", VALUE(SUBSTITUTE($C52,"%","")) &gt; VALUE(SUBSTITUTE($E52,"%",""))*2)</formula>
    </cfRule>
  </conditionalFormatting>
  <conditionalFormatting sqref="B52:E65">
    <cfRule type="expression" dxfId="5" priority="98">
      <formula>AND($B52="LVBI11", VALUE(SUBSTITUTE($C52,"%","")) &gt; VALUE(SUBSTITUTE($E52,"%",""))*2)</formula>
    </cfRule>
  </conditionalFormatting>
  <conditionalFormatting sqref="B52:E65">
    <cfRule type="expression" dxfId="5" priority="99">
      <formula>AND($B52="RBRF11", VALUE(SUBSTITUTE($C52,"%","")) &gt; VALUE(SUBSTITUTE($E52,"%",""))*2)</formula>
    </cfRule>
  </conditionalFormatting>
  <conditionalFormatting sqref="B52:E65">
    <cfRule type="expression" dxfId="5" priority="100">
      <formula>AND($B52="BTCI11", VALUE(SUBSTITUTE($C52,"%","")) &gt; VALUE(SUBSTITUTE($E52,"%",""))*2)</formula>
    </cfRule>
  </conditionalFormatting>
  <conditionalFormatting sqref="B52:E65">
    <cfRule type="expression" dxfId="5" priority="101">
      <formula>AND($B52="RBRX11", VALUE(SUBSTITUTE($C52,"%","")) &gt; VALUE(SUBSTITUTE($E52,"%",""))*2)</formula>
    </cfRule>
  </conditionalFormatting>
  <conditionalFormatting sqref="B52:E65">
    <cfRule type="expression" dxfId="5" priority="102">
      <formula>AND($B52="MXRF11", VALUE(SUBSTITUTE($C52,"%","")) &gt; VALUE(SUBSTITUTE($E52,"%",""))*2)</formula>
    </cfRule>
  </conditionalFormatting>
  <conditionalFormatting sqref="B52:E65">
    <cfRule type="expression" dxfId="5" priority="103">
      <formula>AND($B52="RECR11", VALUE(SUBSTITUTE($C52,"%","")) &gt; VALUE(SUBSTITUTE($E52,"%",""))*2)</formula>
    </cfRule>
  </conditionalFormatting>
  <conditionalFormatting sqref="B52:E65">
    <cfRule type="expression" dxfId="6" priority="104">
      <formula>AND($B52="RZTR11", VALUE(SUBSTITUTE($C52,"%","")) &gt; VALUE(SUBSTITUTE($E52,"%","")))</formula>
    </cfRule>
  </conditionalFormatting>
  <conditionalFormatting sqref="B52:E65">
    <cfRule type="expression" dxfId="6" priority="105">
      <formula>AND($B52="BRCO11", VALUE(SUBSTITUTE($C52,"%","")) &gt; VALUE(SUBSTITUTE($E52,"%","")))</formula>
    </cfRule>
  </conditionalFormatting>
  <conditionalFormatting sqref="B52:E65">
    <cfRule type="expression" dxfId="6" priority="106">
      <formula>AND($B52="BTLG11", VALUE(SUBSTITUTE($C52,"%","")) &gt; VALUE(SUBSTITUTE($E52,"%","")))</formula>
    </cfRule>
  </conditionalFormatting>
  <conditionalFormatting sqref="B52:E65">
    <cfRule type="expression" dxfId="6" priority="107">
      <formula>AND($B52="XPLG11", VALUE(SUBSTITUTE($C52,"%","")) &gt; VALUE(SUBSTITUTE($E52,"%","")))</formula>
    </cfRule>
  </conditionalFormatting>
  <conditionalFormatting sqref="B52:E65">
    <cfRule type="expression" dxfId="6" priority="108">
      <formula>AND($B52="GGRC11", VALUE(SUBSTITUTE($C52,"%","")) &gt; VALUE(SUBSTITUTE($E52,"%","")))</formula>
    </cfRule>
  </conditionalFormatting>
  <conditionalFormatting sqref="B52:E65">
    <cfRule type="expression" dxfId="6" priority="109">
      <formula>AND($B52="GARE11", VALUE(SUBSTITUTE($C52,"%","")) &gt; VALUE(SUBSTITUTE($E52,"%","")))</formula>
    </cfRule>
  </conditionalFormatting>
  <conditionalFormatting sqref="B52:E65">
    <cfRule type="expression" dxfId="6" priority="110">
      <formula>AND($B52="HGBS11", VALUE(SUBSTITUTE($C52,"%","")) &gt; VALUE(SUBSTITUTE($E52,"%","")))</formula>
    </cfRule>
  </conditionalFormatting>
  <conditionalFormatting sqref="B52:E65">
    <cfRule type="expression" dxfId="6" priority="111">
      <formula>AND($B52="PMLL11", VALUE(SUBSTITUTE($C52,"%","")) &gt; VALUE(SUBSTITUTE($E52,"%","")))</formula>
    </cfRule>
  </conditionalFormatting>
  <conditionalFormatting sqref="B52:E65">
    <cfRule type="expression" dxfId="6" priority="112">
      <formula>AND($B52="LVBI11", VALUE(SUBSTITUTE($C52,"%","")) &gt; VALUE(SUBSTITUTE($E52,"%","")))</formula>
    </cfRule>
  </conditionalFormatting>
  <conditionalFormatting sqref="B52:E65">
    <cfRule type="expression" dxfId="6" priority="113">
      <formula>AND($B52="RBRF11", VALUE(SUBSTITUTE($C52,"%","")) &gt; VALUE(SUBSTITUTE($E52,"%","")))</formula>
    </cfRule>
  </conditionalFormatting>
  <conditionalFormatting sqref="B52:E65">
    <cfRule type="expression" dxfId="6" priority="114">
      <formula>AND($B52="BTCI11", VALUE(SUBSTITUTE($C52,"%","")) &gt; VALUE(SUBSTITUTE($E52,"%","")))</formula>
    </cfRule>
  </conditionalFormatting>
  <conditionalFormatting sqref="B52:E65">
    <cfRule type="expression" dxfId="6" priority="115">
      <formula>AND($B52="RBRX11", VALUE(SUBSTITUTE($C52,"%","")) &gt; VALUE(SUBSTITUTE($E52,"%","")))</formula>
    </cfRule>
  </conditionalFormatting>
  <conditionalFormatting sqref="B52:E65">
    <cfRule type="expression" dxfId="6" priority="116">
      <formula>AND($B52="RECR11", VALUE(SUBSTITUTE($C52,"%","")) &gt; VALUE(SUBSTITUTE($E52,"%","")))</formula>
    </cfRule>
  </conditionalFormatting>
  <conditionalFormatting sqref="B52:E65">
    <cfRule type="expression" dxfId="6" priority="117">
      <formula>AND($B52="MXRF11", VALUE(SUBSTITUTE($C52,"%","")) &gt; VALUE(SUBSTITUTE($E52,"%","")))</formula>
    </cfRule>
  </conditionalFormatting>
  <conditionalFormatting sqref="B52:E65">
    <cfRule type="expression" dxfId="6" priority="118">
      <formula>AND($B52="HGLG11", VALUE(SUBSTITUTE($C52,"%","")) &gt; VALUE(SUBSTITUTE($E52,"%","")))</formula>
    </cfRule>
  </conditionalFormatting>
  <conditionalFormatting sqref="B52:E65">
    <cfRule type="expression" dxfId="7" priority="119">
      <formula>AND($B52="RZTR11", VALUE(SUBSTITUTE($C52,"%","")) &lt; VALUE(SUBSTITUTE($E52,"%","")))</formula>
    </cfRule>
  </conditionalFormatting>
  <conditionalFormatting sqref="B52:E65">
    <cfRule type="expression" dxfId="7" priority="120">
      <formula>AND($B52="BRCO11", VALUE(SUBSTITUTE($C52,"%","")) &lt; VALUE(SUBSTITUTE($E52,"%","")))</formula>
    </cfRule>
  </conditionalFormatting>
  <conditionalFormatting sqref="B52:E65">
    <cfRule type="expression" dxfId="7" priority="121">
      <formula>AND($B52="BTLG11", VALUE(SUBSTITUTE($C52,"%","")) &lt; VALUE(SUBSTITUTE($E52,"%","")))</formula>
    </cfRule>
  </conditionalFormatting>
  <conditionalFormatting sqref="B52:E65">
    <cfRule type="expression" dxfId="7" priority="122">
      <formula>AND($B52="XPLG11", VALUE(SUBSTITUTE($C52,"%","")) &lt; VALUE(SUBSTITUTE($E52,"%","")))</formula>
    </cfRule>
  </conditionalFormatting>
  <conditionalFormatting sqref="B52:E65">
    <cfRule type="expression" dxfId="7" priority="123">
      <formula>AND($B52="GGRC11", VALUE(SUBSTITUTE($C52,"%","")) &lt; VALUE(SUBSTITUTE($E52,"%","")))</formula>
    </cfRule>
  </conditionalFormatting>
  <conditionalFormatting sqref="B52:E65">
    <cfRule type="expression" dxfId="7" priority="124">
      <formula>AND($B52="GARE11", VALUE(SUBSTITUTE($C52,"%","")) &lt; VALUE(SUBSTITUTE($E52,"%","")))</formula>
    </cfRule>
  </conditionalFormatting>
  <conditionalFormatting sqref="B52:E65">
    <cfRule type="expression" dxfId="7" priority="125">
      <formula>AND($B52="HGLG11", VALUE(SUBSTITUTE($C52,"%","")) &lt; VALUE(SUBSTITUTE($E52,"%","")))</formula>
    </cfRule>
  </conditionalFormatting>
  <conditionalFormatting sqref="B52:E65">
    <cfRule type="expression" dxfId="7" priority="126">
      <formula>AND($B52="HGBS11", VALUE(SUBSTITUTE($C52,"%","")) &lt; VALUE(SUBSTITUTE($E52,"%","")))</formula>
    </cfRule>
  </conditionalFormatting>
  <conditionalFormatting sqref="B52:E65">
    <cfRule type="expression" dxfId="7" priority="127">
      <formula>AND($B52="PMLL11", VALUE(SUBSTITUTE($C52,"%","")) &lt; VALUE(SUBSTITUTE($E52,"%","")))</formula>
    </cfRule>
  </conditionalFormatting>
  <conditionalFormatting sqref="B52:E65">
    <cfRule type="expression" dxfId="7" priority="128">
      <formula>AND($B52="LVBI11", VALUE(SUBSTITUTE($C52,"%","")) &lt; VALUE(SUBSTITUTE($E52,"%","")))</formula>
    </cfRule>
  </conditionalFormatting>
  <conditionalFormatting sqref="B52:E65">
    <cfRule type="expression" dxfId="7" priority="129">
      <formula>AND($B52="RBRF11", VALUE(SUBSTITUTE($C52,"%","")) &lt; VALUE(SUBSTITUTE($E52,"%","")))</formula>
    </cfRule>
  </conditionalFormatting>
  <conditionalFormatting sqref="B52:E65">
    <cfRule type="expression" dxfId="7" priority="130">
      <formula>AND($B52="BTCI11", VALUE(SUBSTITUTE($C52,"%","")) &lt; VALUE(SUBSTITUTE($E52,"%","")))</formula>
    </cfRule>
  </conditionalFormatting>
  <conditionalFormatting sqref="B52:E65">
    <cfRule type="expression" dxfId="7" priority="131">
      <formula>AND($B52="RBRX11", VALUE(SUBSTITUTE($C52,"%","")) &lt; VALUE(SUBSTITUTE($E52,"%","")))</formula>
    </cfRule>
  </conditionalFormatting>
  <conditionalFormatting sqref="B52:E65">
    <cfRule type="expression" dxfId="7" priority="132">
      <formula>AND($B52="MXRF11", VALUE(SUBSTITUTE($C52,"%","")) &lt; VALUE(SUBSTITUTE($E52,"%","")))</formula>
    </cfRule>
  </conditionalFormatting>
  <conditionalFormatting sqref="L65">
    <cfRule type="expression" dxfId="5" priority="133">
      <formula>AND($B65="HGBS11", VALUE(SUBSTITUTE($L65,"%","")) &lt; VALUE(SUBSTITUTE($K65,"%","")))</formula>
    </cfRule>
  </conditionalFormatting>
  <conditionalFormatting sqref="L65">
    <cfRule type="expression" dxfId="5" priority="134">
      <formula>AND($B65="RZTR11", VALUE(SUBSTITUTE($L65,"%","")) &lt; VALUE(SUBSTITUTE($K65,"%","")))</formula>
    </cfRule>
  </conditionalFormatting>
  <conditionalFormatting sqref="L65">
    <cfRule type="expression" dxfId="5" priority="135">
      <formula>AND($B65="BRCO11", VALUE(SUBSTITUTE($L65,"%","")) &lt; VALUE(SUBSTITUTE($K65,"%","")))</formula>
    </cfRule>
  </conditionalFormatting>
  <conditionalFormatting sqref="L65">
    <cfRule type="expression" dxfId="5" priority="136">
      <formula>AND($B65="GARE11", VALUE(SUBSTITUTE($L65,"%","")) &lt; VALUE(SUBSTITUTE($K65,"%","")))</formula>
    </cfRule>
  </conditionalFormatting>
  <conditionalFormatting sqref="L65">
    <cfRule type="expression" dxfId="5" priority="137">
      <formula>AND($B65="GGRC11", VALUE(SUBSTITUTE($L65,"%","")) &lt; VALUE(SUBSTITUTE($K65,"%","")))</formula>
    </cfRule>
  </conditionalFormatting>
  <conditionalFormatting sqref="L65">
    <cfRule type="expression" dxfId="5" priority="138">
      <formula>AND($B65="HGLG11", VALUE(SUBSTITUTE($L65,"%","")) &lt; VALUE(SUBSTITUTE($K65,"%","")))</formula>
    </cfRule>
  </conditionalFormatting>
  <conditionalFormatting sqref="L65">
    <cfRule type="expression" dxfId="5" priority="139">
      <formula>AND($B65="PMLL11", VALUE(SUBSTITUTE($L65,"%","")) &lt; VALUE(SUBSTITUTE($K65,"%","")))</formula>
    </cfRule>
  </conditionalFormatting>
  <conditionalFormatting sqref="L65">
    <cfRule type="expression" dxfId="5" priority="140">
      <formula>AND($B65="BTCI11", VALUE(SUBSTITUTE($L65,"%","")) &lt; VALUE(SUBSTITUTE($K65,"%","")))</formula>
    </cfRule>
  </conditionalFormatting>
  <conditionalFormatting sqref="L65">
    <cfRule type="expression" dxfId="5" priority="141">
      <formula>AND($B65="RBRX11", VALUE(SUBSTITUTE($L65,"%","")) &lt; VALUE(SUBSTITUTE($K65,"%","")))</formula>
    </cfRule>
  </conditionalFormatting>
  <conditionalFormatting sqref="L65">
    <cfRule type="expression" dxfId="5" priority="142">
      <formula>AND($B65="RBRF11", VALUE(SUBSTITUTE($L65,"%","")) &lt; VALUE(SUBSTITUTE($K65,"%","")))</formula>
    </cfRule>
  </conditionalFormatting>
  <conditionalFormatting sqref="L65">
    <cfRule type="expression" dxfId="5" priority="143">
      <formula>AND($B65="LVBI11", VALUE(SUBSTITUTE($L65,"%","")) &lt; VALUE(SUBSTITUTE($K65,"%","")))</formula>
    </cfRule>
  </conditionalFormatting>
  <conditionalFormatting sqref="L65">
    <cfRule type="expression" dxfId="5" priority="144">
      <formula>AND($B65="MXRF11", VALUE(SUBSTITUTE($L65,"%","")) &lt; VALUE(SUBSTITUTE($K65,"%","")))</formula>
    </cfRule>
  </conditionalFormatting>
  <conditionalFormatting sqref="L65">
    <cfRule type="expression" dxfId="13" priority="145">
      <formula>AND($B65="XPLG11", VALUE(SUBSTITUTE($L65,"%","")) &gt; VALUE(SUBSTITUTE($K65,"%","")))</formula>
    </cfRule>
  </conditionalFormatting>
  <conditionalFormatting sqref="L65">
    <cfRule type="expression" dxfId="13" priority="146">
      <formula>AND($B65="HGBS11", VALUE(SUBSTITUTE($L65,"%","")) &gt; VALUE(SUBSTITUTE($K65,"%","")))</formula>
    </cfRule>
  </conditionalFormatting>
  <conditionalFormatting sqref="L65">
    <cfRule type="expression" dxfId="13" priority="147">
      <formula>AND($B65="RZTR11", VALUE(SUBSTITUTE($L65,"%","")) &gt; VALUE(SUBSTITUTE($K65,"%","")))</formula>
    </cfRule>
  </conditionalFormatting>
  <conditionalFormatting sqref="L65">
    <cfRule type="expression" dxfId="13" priority="148">
      <formula>AND($B65="BRCO11", VALUE(SUBSTITUTE($L65,"%","")) &gt; VALUE(SUBSTITUTE($K65,"%","")))</formula>
    </cfRule>
  </conditionalFormatting>
  <conditionalFormatting sqref="L65">
    <cfRule type="expression" dxfId="13" priority="149">
      <formula>AND($B65="GARE11", VALUE(SUBSTITUTE($L65,"%","")) &gt; VALUE(SUBSTITUTE($K65,"%","")))</formula>
    </cfRule>
  </conditionalFormatting>
  <conditionalFormatting sqref="L65">
    <cfRule type="expression" dxfId="13" priority="150">
      <formula>AND($B65="GGRC11", VALUE(SUBSTITUTE($L65,"%","")) &gt; VALUE(SUBSTITUTE($K65,"%","")))</formula>
    </cfRule>
  </conditionalFormatting>
  <conditionalFormatting sqref="L65">
    <cfRule type="expression" dxfId="13" priority="151">
      <formula>AND($B65="HGLG11", VALUE(SUBSTITUTE($L65,"%","")) &gt; VALUE(SUBSTITUTE($K65,"%","")))</formula>
    </cfRule>
  </conditionalFormatting>
  <conditionalFormatting sqref="L65">
    <cfRule type="expression" dxfId="13" priority="152">
      <formula>AND($B65="BTLG11", VALUE(SUBSTITUTE($L65,"%","")) &gt; VALUE(SUBSTITUTE($K65,"%","")))</formula>
    </cfRule>
  </conditionalFormatting>
  <conditionalFormatting sqref="L65">
    <cfRule type="expression" dxfId="13" priority="153">
      <formula>AND($B65="PMLL11", VALUE(SUBSTITUTE($L65,"%","")) &gt; VALUE(SUBSTITUTE($K65,"%","")))</formula>
    </cfRule>
  </conditionalFormatting>
  <conditionalFormatting sqref="L65">
    <cfRule type="expression" dxfId="13" priority="154">
      <formula>AND($B65="MALL11", VALUE(SUBSTITUTE($L65,"%","")) &gt; VALUE(SUBSTITUTE($K65,"%","")))</formula>
    </cfRule>
  </conditionalFormatting>
  <conditionalFormatting sqref="L65">
    <cfRule type="expression" dxfId="13" priority="155">
      <formula>AND($B65="BTCI11", VALUE(SUBSTITUTE($L65,"%","")) &gt; VALUE(SUBSTITUTE($K65,"%","")))</formula>
    </cfRule>
  </conditionalFormatting>
  <conditionalFormatting sqref="L65">
    <cfRule type="expression" dxfId="13" priority="156">
      <formula>AND($B65="RBRX11", VALUE(SUBSTITUTE($L65,"%","")) &gt; VALUE(SUBSTITUTE($K65,"%","")))</formula>
    </cfRule>
  </conditionalFormatting>
  <conditionalFormatting sqref="L65">
    <cfRule type="expression" dxfId="13" priority="157">
      <formula>AND($B65="RBRF11", VALUE(SUBSTITUTE($L65,"%","")) &gt; VALUE(SUBSTITUTE($K65,"%","")))</formula>
    </cfRule>
  </conditionalFormatting>
  <conditionalFormatting sqref="L65">
    <cfRule type="expression" dxfId="13" priority="158">
      <formula>AND($B65="MXRF11", VALUE(SUBSTITUTE($L65,"%","")) &gt; VALUE(SUBSTITUTE($K65,"%","")))</formula>
    </cfRule>
  </conditionalFormatting>
  <conditionalFormatting sqref="K22:K34">
    <cfRule type="expression" dxfId="6" priority="159">
      <formula>AND($B22="CMIG3", ($K22) &gt; ($L22))</formula>
    </cfRule>
  </conditionalFormatting>
  <conditionalFormatting sqref="K22:K34">
    <cfRule type="expression" dxfId="6" priority="160">
      <formula>AND($B22="ITUB3", ($K22) &gt; ($L22))</formula>
    </cfRule>
  </conditionalFormatting>
  <conditionalFormatting sqref="K22:K34">
    <cfRule type="expression" dxfId="6" priority="161">
      <formula>AND($B22="VALE3", ($K22) &gt; ($L22))</formula>
    </cfRule>
  </conditionalFormatting>
  <conditionalFormatting sqref="K22:K34">
    <cfRule type="expression" dxfId="6" priority="162">
      <formula>AND($B22="BBSE3", ($K22) &gt; ($L22))</formula>
    </cfRule>
  </conditionalFormatting>
  <conditionalFormatting sqref="K22:K34">
    <cfRule type="expression" dxfId="6" priority="163">
      <formula>AND($B22="PETR4", ($K22) &gt; ($L22))</formula>
    </cfRule>
  </conditionalFormatting>
  <conditionalFormatting sqref="K22:K34">
    <cfRule type="expression" dxfId="6" priority="164">
      <formula>AND($B22="BRBI11", ($K22) &gt; ($L22))</formula>
    </cfRule>
  </conditionalFormatting>
  <conditionalFormatting sqref="K22:K34">
    <cfRule type="expression" dxfId="6" priority="165">
      <formula>AND($B22="BBAS3", ($K22) &gt; ($L22))</formula>
    </cfRule>
  </conditionalFormatting>
  <conditionalFormatting sqref="K22:K34">
    <cfRule type="expression" dxfId="6" priority="166">
      <formula>AND($B22="TAEE11", ($K22) &gt; ($L22))</formula>
    </cfRule>
  </conditionalFormatting>
  <conditionalFormatting sqref="K22:K34">
    <cfRule type="expression" dxfId="6" priority="167">
      <formula>AND($B22="CMIG4", ($K22) &gt; ($L22))</formula>
    </cfRule>
  </conditionalFormatting>
  <conditionalFormatting sqref="K22:K34">
    <cfRule type="expression" dxfId="6" priority="168">
      <formula>AND($B22="WEGE3", ($K22) &gt; ($L22))</formula>
    </cfRule>
  </conditionalFormatting>
  <conditionalFormatting sqref="K22:K34">
    <cfRule type="expression" dxfId="6" priority="169">
      <formula>AND($B22="ISAE4", ($K22) &gt; ($L22))</formula>
    </cfRule>
  </conditionalFormatting>
  <conditionalFormatting sqref="K22:K34">
    <cfRule type="expression" dxfId="6" priority="170">
      <formula>AND($B22="SAPR4", ($K22) &gt; ($L22))</formula>
    </cfRule>
  </conditionalFormatting>
  <conditionalFormatting sqref="K22:K34">
    <cfRule type="expression" dxfId="12" priority="171">
      <formula>AND($B22="BBAS3", ($K22) &lt; ($L22))</formula>
    </cfRule>
  </conditionalFormatting>
  <conditionalFormatting sqref="K22:K34">
    <cfRule type="expression" dxfId="12" priority="172">
      <formula>AND($B22="BBSE3", ($K22) &lt; ($L22))</formula>
    </cfRule>
  </conditionalFormatting>
  <conditionalFormatting sqref="K22:K34">
    <cfRule type="expression" dxfId="12" priority="173">
      <formula>AND($B22="ITUB3", ($K22) &lt; ($L22))</formula>
    </cfRule>
  </conditionalFormatting>
  <conditionalFormatting sqref="K22:K34">
    <cfRule type="expression" dxfId="12" priority="174">
      <formula>AND($B22="VALE3", ($K22) &lt; ($L22))</formula>
    </cfRule>
  </conditionalFormatting>
  <conditionalFormatting sqref="K22:K34">
    <cfRule type="expression" dxfId="12" priority="175">
      <formula>AND($B22="TAEE11", ($K22) &lt; ($L22))</formula>
    </cfRule>
  </conditionalFormatting>
  <conditionalFormatting sqref="K22:K34">
    <cfRule type="expression" dxfId="12" priority="176">
      <formula>AND($B22="PETR4", ($K22) &lt; ($L22))</formula>
    </cfRule>
  </conditionalFormatting>
  <conditionalFormatting sqref="K22:K34">
    <cfRule type="expression" dxfId="12" priority="177">
      <formula>AND($B22="WEGE3", ($K22) &lt; ($L22))</formula>
    </cfRule>
  </conditionalFormatting>
  <conditionalFormatting sqref="K22:K34">
    <cfRule type="expression" dxfId="12" priority="178">
      <formula>AND($B22="BRBI11", ($K22) &lt; ($L22))</formula>
    </cfRule>
  </conditionalFormatting>
  <conditionalFormatting sqref="K22:K34">
    <cfRule type="expression" dxfId="12" priority="179">
      <formula>AND($B22="CMIG3", ($K22) &lt; ($L22))</formula>
    </cfRule>
  </conditionalFormatting>
  <conditionalFormatting sqref="K22:K34">
    <cfRule type="expression" dxfId="12" priority="180">
      <formula>AND($B22="ISAE4", ($K22) &lt; ($L22))</formula>
    </cfRule>
  </conditionalFormatting>
  <conditionalFormatting sqref="E77:E81">
    <cfRule type="expression" dxfId="6" priority="181">
      <formula>AND($A77="BTCI11", ($G77) &gt; ($E77))</formula>
    </cfRule>
  </conditionalFormatting>
  <conditionalFormatting sqref="E77:E81">
    <cfRule type="expression" dxfId="6" priority="182">
      <formula>AND($A77="MXRF11", ($G77) &gt; ($E77))</formula>
    </cfRule>
  </conditionalFormatting>
  <conditionalFormatting sqref="F77:F81">
    <cfRule type="expression" dxfId="6" priority="183">
      <formula>AND($A77="BTCI11", ($F77) &gt; ($E77)) </formula>
    </cfRule>
  </conditionalFormatting>
  <conditionalFormatting sqref="F77:F81">
    <cfRule type="expression" dxfId="6" priority="184">
      <formula>AND($A77="MXRF11", ($F77) &gt; ($E77)) </formula>
    </cfRule>
  </conditionalFormatting>
  <conditionalFormatting sqref="B52:E65">
    <cfRule type="expression" dxfId="7" priority="185">
      <formula>AND($B52="RECR11", VALUE(SUBSTITUTE($C52,"%","")) &lt; VALUE(SUBSTITUTE($E52,"%","")))</formula>
    </cfRule>
  </conditionalFormatting>
  <conditionalFormatting sqref="L65">
    <cfRule type="expression" dxfId="13" priority="186">
      <formula>AND($B65="LVBI11", VALUE(SUBSTITUTE($L65,"%","")) &gt; VALUE(SUBSTITUTE($K65,"%","")))</formula>
    </cfRule>
  </conditionalFormatting>
  <conditionalFormatting sqref="F77:F81">
    <cfRule type="expression" dxfId="6" priority="187">
      <formula>AND($A77="RECR11", ($F77) &gt; ($E77)) </formula>
    </cfRule>
  </conditionalFormatting>
  <conditionalFormatting sqref="E77:E81">
    <cfRule type="expression" dxfId="6" priority="188">
      <formula>AND($A77="RECR11", ($G77) &gt; ($E77))</formula>
    </cfRule>
  </conditionalFormatting>
  <conditionalFormatting sqref="B22:E34">
    <cfRule type="expression" dxfId="7" priority="189">
      <formula>AND($B22="ISAE4", VALUE(SUBSTITUTE($C22,"%","")) &lt; VALUE(SUBSTITUTE($E22,"%","")))</formula>
    </cfRule>
  </conditionalFormatting>
  <conditionalFormatting sqref="K22:K34">
    <cfRule type="expression" dxfId="12" priority="190">
      <formula>AND($B22="CMIG4", ($K22) &lt; ($L22))</formula>
    </cfRule>
  </conditionalFormatting>
  <conditionalFormatting sqref="B22:E34">
    <cfRule type="expression" dxfId="7" priority="191">
      <formula>AND($B22="SAPR4", VALUE(SUBSTITUTE($C22,"%","")) &lt; VALUE(SUBSTITUTE($E22,"%","")))</formula>
    </cfRule>
  </conditionalFormatting>
  <conditionalFormatting sqref="K22:K34">
    <cfRule type="expression" dxfId="12" priority="192">
      <formula>AND($B22="SAPR4", ($K22) &lt; ($L22))</formula>
    </cfRule>
  </conditionalFormatting>
  <conditionalFormatting sqref="I22:I34">
    <cfRule type="expression" dxfId="12" priority="193">
      <formula>AND($B22="BBAS3", ($K22) &lt; ($I22))</formula>
    </cfRule>
  </conditionalFormatting>
  <conditionalFormatting sqref="I22:I34">
    <cfRule type="expression" dxfId="12" priority="194">
      <formula>AND($B22="BBSE3", ($K22) &lt; ($I22))</formula>
    </cfRule>
  </conditionalFormatting>
  <conditionalFormatting sqref="I22:I34">
    <cfRule type="expression" dxfId="12" priority="195">
      <formula>AND($B22="ITUB3", ($K22) &lt; ($I22))</formula>
    </cfRule>
  </conditionalFormatting>
  <conditionalFormatting sqref="I22:I34">
    <cfRule type="expression" dxfId="12" priority="196">
      <formula>AND($B22="TAEE11", ($K22) &lt; ($I22))</formula>
    </cfRule>
  </conditionalFormatting>
  <conditionalFormatting sqref="I22:I34">
    <cfRule type="expression" dxfId="12" priority="197">
      <formula>AND($B22="PETR4", ($K22) &lt; ($I22))</formula>
    </cfRule>
  </conditionalFormatting>
  <conditionalFormatting sqref="I22:I34">
    <cfRule type="expression" dxfId="12" priority="198">
      <formula>AND($B22="CMIG4", ($K22) &lt; ($I22))</formula>
    </cfRule>
  </conditionalFormatting>
  <conditionalFormatting sqref="I22:I34">
    <cfRule type="expression" dxfId="12" priority="199">
      <formula>AND($B22="VALE3", ($K22) &lt; ($I22))</formula>
    </cfRule>
  </conditionalFormatting>
  <conditionalFormatting sqref="I22:I34">
    <cfRule type="expression" dxfId="12" priority="200">
      <formula>AND($B22="BRBI11", ($K22) &lt; ($I22))</formula>
    </cfRule>
  </conditionalFormatting>
  <conditionalFormatting sqref="I22:I34">
    <cfRule type="expression" dxfId="12" priority="201">
      <formula>AND($B22="SAPR4", ($K22) &lt; ($I22))</formula>
    </cfRule>
  </conditionalFormatting>
  <conditionalFormatting sqref="I22:I34">
    <cfRule type="expression" dxfId="12" priority="202">
      <formula>AND($B22="WEGE3", ($K22) &lt; ($I22))</formula>
    </cfRule>
  </conditionalFormatting>
  <conditionalFormatting sqref="I22:I34">
    <cfRule type="expression" dxfId="12" priority="203">
      <formula>AND($B22="ISAE4", ($K22) &lt; ($I22))</formula>
    </cfRule>
  </conditionalFormatting>
  <conditionalFormatting sqref="B22:E34">
    <cfRule type="expression" dxfId="5" priority="204">
      <formula>AND($B22="ITSA4", VALUE(SUBSTITUTE($C22,"%","")) &gt; VALUE(SUBSTITUTE($E22,"%",""))*2)</formula>
    </cfRule>
  </conditionalFormatting>
  <conditionalFormatting sqref="B22:E34">
    <cfRule type="expression" dxfId="6" priority="205">
      <formula>AND($B22="ITSA4", VALUE(SUBSTITUTE($C22,"%","")) &gt; VALUE(SUBSTITUTE($E22,"%","")))</formula>
    </cfRule>
  </conditionalFormatting>
  <conditionalFormatting sqref="B22:E34">
    <cfRule type="expression" dxfId="7" priority="206">
      <formula>AND($B22="ITSA4", VALUE(SUBSTITUTE($C22,"%","")) &lt; VALUE(SUBSTITUTE($E22,"%","")))</formula>
    </cfRule>
  </conditionalFormatting>
  <conditionalFormatting sqref="K22:K34">
    <cfRule type="expression" dxfId="6" priority="207">
      <formula>AND($B22="ITSA4", ($K22) &gt; ($L22))</formula>
    </cfRule>
  </conditionalFormatting>
  <conditionalFormatting sqref="K22:K34">
    <cfRule type="expression" dxfId="12" priority="208">
      <formula>AND($B22="ITSA4", ($K22) &lt; ($L22))</formula>
    </cfRule>
  </conditionalFormatting>
  <conditionalFormatting sqref="I22:I34">
    <cfRule type="expression" dxfId="12" priority="209">
      <formula>AND($B22="ITSA4", ($K22) &lt; ($I22))</formula>
    </cfRule>
  </conditionalFormatting>
  <conditionalFormatting sqref="B22:E34">
    <cfRule type="expression" dxfId="5" priority="210">
      <formula>AND($B22="ITUB4", VALUE(SUBSTITUTE($C22,"%","")) &gt; VALUE(SUBSTITUTE($E22,"%",""))*2)</formula>
    </cfRule>
  </conditionalFormatting>
  <conditionalFormatting sqref="B22:E34">
    <cfRule type="expression" dxfId="6" priority="211">
      <formula>AND($B22="ITUB4", VALUE(SUBSTITUTE($C22,"%","")) &gt; VALUE(SUBSTITUTE($E22,"%","")))</formula>
    </cfRule>
  </conditionalFormatting>
  <conditionalFormatting sqref="B22:E34">
    <cfRule type="expression" dxfId="7" priority="212">
      <formula>AND($B22="ITUB4", VALUE(SUBSTITUTE($C22,"%","")) &lt; VALUE(SUBSTITUTE($E22,"%","")))</formula>
    </cfRule>
  </conditionalFormatting>
  <conditionalFormatting sqref="K22:K34">
    <cfRule type="expression" dxfId="6" priority="213">
      <formula>AND($B22="ITUB4", ($K22) &gt; ($L22))</formula>
    </cfRule>
  </conditionalFormatting>
  <conditionalFormatting sqref="K22:K34">
    <cfRule type="expression" dxfId="12" priority="214">
      <formula>AND($B22="ITUB4", ($K22) &lt; ($L22))</formula>
    </cfRule>
  </conditionalFormatting>
  <conditionalFormatting sqref="I22:I34">
    <cfRule type="expression" dxfId="12" priority="215">
      <formula>AND($B22="ITUB4", ($K22) &lt; ($I22))</formula>
    </cfRule>
  </conditionalFormatting>
  <conditionalFormatting sqref="B52:E65">
    <cfRule type="expression" dxfId="5" priority="216">
      <formula>AND($B52="KNRI11", VALUE(SUBSTITUTE($C52,"%","")) &gt; VALUE(SUBSTITUTE($E52,"%",""))*2)</formula>
    </cfRule>
  </conditionalFormatting>
  <conditionalFormatting sqref="B52:E65">
    <cfRule type="expression" dxfId="5" priority="217">
      <formula>AND($B52="HGRU11", VALUE(SUBSTITUTE($C52,"%","")) &gt; VALUE(SUBSTITUTE($E52,"%",""))*2)</formula>
    </cfRule>
  </conditionalFormatting>
  <conditionalFormatting sqref="B52:E65">
    <cfRule type="expression" dxfId="6" priority="218">
      <formula>AND($B52="HGRU11", VALUE(SUBSTITUTE($C52,"%","")) &gt; VALUE(SUBSTITUTE($E52,"%","")))</formula>
    </cfRule>
  </conditionalFormatting>
  <conditionalFormatting sqref="B52:E65">
    <cfRule type="expression" dxfId="6" priority="219">
      <formula>AND($B52="KNRI11", VALUE(SUBSTITUTE($C52,"%","")) &gt; VALUE(SUBSTITUTE($E52,"%","")))</formula>
    </cfRule>
  </conditionalFormatting>
  <conditionalFormatting sqref="B52:E65">
    <cfRule type="expression" dxfId="7" priority="220">
      <formula>AND($B52="KNRI11", VALUE(SUBSTITUTE($C52,"%","")) &lt; VALUE(SUBSTITUTE($E52,"%","")))</formula>
    </cfRule>
  </conditionalFormatting>
  <conditionalFormatting sqref="B52:E65">
    <cfRule type="expression" dxfId="7" priority="221">
      <formula>AND($B52="HGRU11", VALUE(SUBSTITUTE($C52,"%","")) &lt; VALUE(SUBSTITUTE($E52,"%","")))</formula>
    </cfRule>
  </conditionalFormatting>
  <conditionalFormatting sqref="B52:E65">
    <cfRule type="expression" dxfId="5" priority="222">
      <formula>AND($B52="PORD11", VALUE(SUBSTITUTE($C52,"%","")) &gt; VALUE(SUBSTITUTE($E52,"%",""))*2)</formula>
    </cfRule>
  </conditionalFormatting>
  <conditionalFormatting sqref="B52:E65">
    <cfRule type="expression" dxfId="6" priority="223">
      <formula>AND($B52="PORD11", VALUE(SUBSTITUTE($C52,"%","")) &gt; VALUE(SUBSTITUTE($E52,"%","")))</formula>
    </cfRule>
  </conditionalFormatting>
  <conditionalFormatting sqref="B52:E65">
    <cfRule type="expression" dxfId="7" priority="224">
      <formula>AND($B52="PORD11", VALUE(SUBSTITUTE($C52,"%","")) &lt; VALUE(SUBSTITUTE($E52,"%","")))</formula>
    </cfRule>
  </conditionalFormatting>
  <conditionalFormatting sqref="G52:G65">
    <cfRule type="expression" dxfId="6" priority="225">
      <formula>AND($B52="KNRI11", ($G52) &gt;= ($I52))</formula>
    </cfRule>
  </conditionalFormatting>
  <conditionalFormatting sqref="G52:G65">
    <cfRule type="expression" dxfId="6" priority="226">
      <formula>AND($B52="HGRU11", ($G52) &gt;= ($I52))</formula>
    </cfRule>
  </conditionalFormatting>
  <conditionalFormatting sqref="G52:G65">
    <cfRule type="expression" dxfId="6" priority="227">
      <formula>AND($B52="PORD11", ($G52) &gt;= ($I52))</formula>
    </cfRule>
  </conditionalFormatting>
  <conditionalFormatting sqref="G52:G65">
    <cfRule type="expression" dxfId="11" priority="228">
      <formula>AND($B52="KNRI11", ($G52) &gt; ($J52))</formula>
    </cfRule>
  </conditionalFormatting>
  <conditionalFormatting sqref="G52:G65">
    <cfRule type="expression" dxfId="11" priority="229">
      <formula>AND($B52="HGRU11", ($G52) &gt; ($J52))</formula>
    </cfRule>
  </conditionalFormatting>
  <conditionalFormatting sqref="G52:G65">
    <cfRule type="expression" dxfId="11" priority="230">
      <formula>AND($B52="PORD11", ($G52) &gt; ($J52))</formula>
    </cfRule>
  </conditionalFormatting>
  <conditionalFormatting sqref="G52:G65">
    <cfRule type="expression" dxfId="12" priority="231">
      <formula>AND($B52="KNRI11", ($G52) &lt; ($J52))</formula>
    </cfRule>
  </conditionalFormatting>
  <conditionalFormatting sqref="G52:G65">
    <cfRule type="expression" dxfId="12" priority="232">
      <formula>AND($B52="HGRU11", ($G52) &lt; ($J52))</formula>
    </cfRule>
  </conditionalFormatting>
  <conditionalFormatting sqref="L65">
    <cfRule type="expression" dxfId="5" priority="233">
      <formula>AND($B65="KNRI11", VALUE(SUBSTITUTE($L65,"%","")) &lt; VALUE(SUBSTITUTE($K65,"%","")))</formula>
    </cfRule>
  </conditionalFormatting>
  <conditionalFormatting sqref="L65">
    <cfRule type="expression" dxfId="5" priority="234">
      <formula>AND($B65="HGRU11", VALUE(SUBSTITUTE($L65,"%","")) &lt; VALUE(SUBSTITUTE($K65,"%","")))</formula>
    </cfRule>
  </conditionalFormatting>
  <conditionalFormatting sqref="L65">
    <cfRule type="expression" dxfId="5" priority="235">
      <formula>AND($B65="PORD11", VALUE(SUBSTITUTE($L65,"%","")) &lt; VALUE(SUBSTITUTE($K65,"%","")))</formula>
    </cfRule>
  </conditionalFormatting>
  <conditionalFormatting sqref="L65">
    <cfRule type="expression" dxfId="13" priority="236">
      <formula>AND($B65="KNRI11", VALUE(SUBSTITUTE($L65,"%","")) &gt; VALUE(SUBSTITUTE($K65,"%","")))</formula>
    </cfRule>
  </conditionalFormatting>
  <conditionalFormatting sqref="L65">
    <cfRule type="expression" dxfId="13" priority="237">
      <formula>AND($B65="HGRU11", VALUE(SUBSTITUTE($L65,"%","")) &gt; VALUE(SUBSTITUTE($K65,"%","")))</formula>
    </cfRule>
  </conditionalFormatting>
  <conditionalFormatting sqref="L65">
    <cfRule type="expression" dxfId="13" priority="238">
      <formula>AND($B65="PORD11", VALUE(SUBSTITUTE($L65,"%","")) &gt; VALUE(SUBSTITUTE($K65,"%","")))</formula>
    </cfRule>
  </conditionalFormatting>
  <conditionalFormatting sqref="B52:E65">
    <cfRule type="expression" dxfId="5" priority="239">
      <formula>AND($B52="PCIP11", VALUE(SUBSTITUTE($C52,"%","")) &gt; VALUE(SUBSTITUTE($E52,"%",""))*2)</formula>
    </cfRule>
  </conditionalFormatting>
  <conditionalFormatting sqref="B52:E65">
    <cfRule type="expression" dxfId="6" priority="240">
      <formula>AND($B52="PCIP11", VALUE(SUBSTITUTE($C52,"%","")) &gt; VALUE(SUBSTITUTE($E52,"%","")))</formula>
    </cfRule>
  </conditionalFormatting>
  <conditionalFormatting sqref="B52:E65">
    <cfRule type="expression" dxfId="7" priority="241">
      <formula>AND($B52="PCIP11", VALUE(SUBSTITUTE($C52,"%","")) &lt; VALUE(SUBSTITUTE($E52,"%","")))</formula>
    </cfRule>
  </conditionalFormatting>
  <conditionalFormatting sqref="G52:G65">
    <cfRule type="expression" dxfId="6" priority="242">
      <formula>AND($B52="PCIP11", ($G52) &gt;= ($I52))</formula>
    </cfRule>
  </conditionalFormatting>
  <conditionalFormatting sqref="G52:G65">
    <cfRule type="expression" dxfId="11" priority="243">
      <formula>AND($B52="PCIP11", ($G52) &gt; ($J52))</formula>
    </cfRule>
  </conditionalFormatting>
  <conditionalFormatting sqref="G52:G65">
    <cfRule type="expression" dxfId="12" priority="244">
      <formula>AND($B52="PCIP11", ($G52) &lt; ($J52))</formula>
    </cfRule>
  </conditionalFormatting>
  <conditionalFormatting sqref="L65">
    <cfRule type="expression" dxfId="5" priority="245">
      <formula>AND($B65="PCIP11", VALUE(SUBSTITUTE($L65,"%","")) &lt; VALUE(SUBSTITUTE($K65,"%","")))</formula>
    </cfRule>
  </conditionalFormatting>
  <conditionalFormatting sqref="L65">
    <cfRule type="expression" dxfId="13" priority="246">
      <formula>AND($B65="PCIP11", VALUE(SUBSTITUTE($L65,"%","")) &gt; VALUE(SUBSTITUTE($K65,"%","")))</formula>
    </cfRule>
  </conditionalFormatting>
  <conditionalFormatting sqref="L65">
    <cfRule type="cellIs" dxfId="13" priority="247" operator="greaterThan">
      <formula>0</formula>
    </cfRule>
  </conditionalFormatting>
  <dataValidations>
    <dataValidation type="custom" allowBlank="1" showDropDown="1" sqref="H83:H85">
      <formula1>OR(NOT(ISERROR(DATEVALUE(H83))), AND(ISNUMBER(H83), LEFT(CELL("format", H83))="D"))</formula1>
    </dataValidation>
    <dataValidation type="custom" allowBlank="1" showDropDown="1" sqref="B3:D9 K4:M14 A22:A34 C22:C34 F22:G34 I22:L34 C52:C64 E52:S64 C83:G85 K83:K85 D89:H92 C97:G99 E104:E105 G104:J105">
      <formula1>AND(ISNUMBER(A3),(NOT(OR(NOT(ISERROR(DATEVALUE(A3))), AND(ISNUMBER(A3), LEFT(CELL("format", A3))="D")))))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88"/>
    <col customWidth="1" min="2" max="2" width="22.25"/>
    <col customWidth="1" min="3" max="3" width="18.75"/>
    <col customWidth="1" min="4" max="4" width="18.25"/>
    <col customWidth="1" min="5" max="5" width="14.63"/>
    <col customWidth="1" min="6" max="6" width="13.5"/>
    <col customWidth="1" min="7" max="7" width="17.13"/>
    <col customWidth="1" min="8" max="8" width="15.88"/>
    <col customWidth="1" min="9" max="9" width="14.38"/>
    <col customWidth="1" min="10" max="10" width="23.63"/>
    <col customWidth="1" min="11" max="11" width="22.88"/>
    <col customWidth="1" min="12" max="12" width="14.88"/>
    <col customWidth="1" min="13" max="13" width="20.0"/>
    <col customWidth="1" min="16" max="16" width="13.88"/>
  </cols>
  <sheetData>
    <row r="2" ht="22.5" customHeight="1">
      <c r="B2" s="1" t="s">
        <v>1</v>
      </c>
      <c r="C2" s="1" t="s">
        <v>3</v>
      </c>
      <c r="D2" s="2" t="s">
        <v>4</v>
      </c>
      <c r="E2" s="2" t="s">
        <v>7</v>
      </c>
      <c r="F2" s="1" t="s">
        <v>9</v>
      </c>
      <c r="G2" s="2" t="s">
        <v>10</v>
      </c>
      <c r="H2" s="1" t="s">
        <v>12</v>
      </c>
      <c r="J2" s="5"/>
      <c r="K2" s="5"/>
      <c r="L2" s="5"/>
      <c r="M2" s="5"/>
    </row>
    <row r="3" ht="22.5" customHeight="1">
      <c r="B3" s="15">
        <f>IFERROR(((financeiros[Valor Bruto]-(financeiros[Valor Aplicado]-financeiros[Total Proventos]))/financeiros[Valor Bruto]),0)</f>
        <v>0.1172407274</v>
      </c>
      <c r="C3" s="15">
        <f>IFERROR((J19/(HOME!B3+HOME!B4)),0)</f>
        <v>0.01162374176</v>
      </c>
      <c r="D3" s="18">
        <v>0.0045</v>
      </c>
      <c r="E3" s="15">
        <f>financeiros[FIIs_Provento]/HOME!B4</f>
        <v>0.1055006592</v>
      </c>
      <c r="F3" s="15">
        <f>IFERROR(SUMPRODUCT(Fiis[QTD],Fiis[Div/12])/SUMPRODUCT(Fiis[QTD],Fiis[P/M]),"")</f>
        <v>0.008541389456</v>
      </c>
      <c r="G3" s="18">
        <v>0.007</v>
      </c>
      <c r="H3" s="15">
        <f>IFERROR(( financeiros[Ganho Capital]/financeiros[Valor Aplicado]),0)</f>
        <v>0.03012997098</v>
      </c>
      <c r="J3" s="5"/>
      <c r="K3" s="5"/>
      <c r="L3" s="5"/>
      <c r="M3" s="5"/>
    </row>
    <row r="4">
      <c r="J4" s="5"/>
      <c r="K4" s="5"/>
      <c r="L4" s="5"/>
      <c r="M4" s="5"/>
    </row>
    <row r="5">
      <c r="J5" s="5"/>
      <c r="K5" s="5"/>
      <c r="L5" s="5"/>
      <c r="M5" s="5"/>
    </row>
    <row r="6" ht="22.5" customHeight="1">
      <c r="B6" s="1" t="s">
        <v>33</v>
      </c>
      <c r="C6" s="2" t="s">
        <v>34</v>
      </c>
      <c r="D6" s="1" t="s">
        <v>36</v>
      </c>
      <c r="E6" s="1" t="s">
        <v>37</v>
      </c>
      <c r="F6" s="1" t="s">
        <v>39</v>
      </c>
      <c r="J6" s="5"/>
      <c r="K6" s="5"/>
      <c r="L6" s="5"/>
      <c r="M6" s="5"/>
    </row>
    <row r="7" ht="22.5" customHeight="1">
      <c r="B7" s="20">
        <f>SUM(B13:M13)+ SUM(B16:M16) + SUM(B19:M19)</f>
        <v>1444.28</v>
      </c>
      <c r="C7" s="9">
        <f>IFERROR(SUM(Fiis[Rendimento_Total]),"")</f>
        <v>596.7233333</v>
      </c>
      <c r="D7" s="9">
        <v>15933.68</v>
      </c>
      <c r="E7" s="20">
        <f>HOME!B9</f>
        <v>16413.76132</v>
      </c>
      <c r="F7" s="20">
        <f>E7-D7</f>
        <v>480.0813161</v>
      </c>
      <c r="J7" s="5"/>
      <c r="K7" s="5"/>
      <c r="L7" s="5"/>
      <c r="M7" s="5"/>
    </row>
    <row r="11">
      <c r="B11" s="23" t="s">
        <v>43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>
      <c r="B12" s="24">
        <v>45315.0</v>
      </c>
      <c r="C12" s="24">
        <v>45346.0</v>
      </c>
      <c r="D12" s="24">
        <v>45375.0</v>
      </c>
      <c r="E12" s="24">
        <v>45406.0</v>
      </c>
      <c r="F12" s="24">
        <v>45436.0</v>
      </c>
      <c r="G12" s="24">
        <v>45467.0</v>
      </c>
      <c r="H12" s="24">
        <v>45497.0</v>
      </c>
      <c r="I12" s="24">
        <v>45528.0</v>
      </c>
      <c r="J12" s="24">
        <v>45559.0</v>
      </c>
      <c r="K12" s="24">
        <v>45589.0</v>
      </c>
      <c r="L12" s="24">
        <v>45620.0</v>
      </c>
      <c r="M12" s="24">
        <v>45650.0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>
      <c r="B13" s="25">
        <v>0.0</v>
      </c>
      <c r="C13" s="25">
        <v>12.57</v>
      </c>
      <c r="D13" s="25">
        <v>13.69</v>
      </c>
      <c r="E13" s="25">
        <v>0.0</v>
      </c>
      <c r="F13" s="25">
        <v>11.33</v>
      </c>
      <c r="G13" s="25">
        <v>3.58</v>
      </c>
      <c r="H13" s="25">
        <v>9.34</v>
      </c>
      <c r="I13" s="25">
        <v>15.3</v>
      </c>
      <c r="J13" s="25">
        <v>10.42</v>
      </c>
      <c r="K13" s="25">
        <v>32.53</v>
      </c>
      <c r="L13" s="26">
        <v>5.97</v>
      </c>
      <c r="M13" s="26">
        <v>5.9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</row>
    <row r="14">
      <c r="B14" s="29">
        <f t="shared" ref="B14:M14" si="1">IFERROR(SUM((B16/B13)-1),0)</f>
        <v>0</v>
      </c>
      <c r="C14" s="29">
        <f t="shared" si="1"/>
        <v>-0.04852824185</v>
      </c>
      <c r="D14" s="29">
        <f t="shared" si="1"/>
        <v>3.395909423</v>
      </c>
      <c r="E14" s="29">
        <f t="shared" si="1"/>
        <v>0</v>
      </c>
      <c r="F14" s="29">
        <f t="shared" si="1"/>
        <v>3.243601059</v>
      </c>
      <c r="G14" s="29">
        <f t="shared" si="1"/>
        <v>14.06145251</v>
      </c>
      <c r="H14" s="29">
        <f t="shared" si="1"/>
        <v>3.442184154</v>
      </c>
      <c r="I14" s="29">
        <f t="shared" si="1"/>
        <v>4.881045752</v>
      </c>
      <c r="J14" s="29">
        <f t="shared" si="1"/>
        <v>4.181381958</v>
      </c>
      <c r="K14" s="29">
        <f t="shared" si="1"/>
        <v>0.294497387</v>
      </c>
      <c r="L14" s="29">
        <f t="shared" si="1"/>
        <v>11.4438861</v>
      </c>
      <c r="M14" s="29">
        <f t="shared" si="1"/>
        <v>14.62542373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</row>
    <row r="15">
      <c r="B15" s="34">
        <v>45682.0</v>
      </c>
      <c r="C15" s="34">
        <v>45713.0</v>
      </c>
      <c r="D15" s="34">
        <v>45741.0</v>
      </c>
      <c r="E15" s="34">
        <v>45772.0</v>
      </c>
      <c r="F15" s="34">
        <v>45802.0</v>
      </c>
      <c r="G15" s="34">
        <v>45833.0</v>
      </c>
      <c r="H15" s="34">
        <v>45863.0</v>
      </c>
      <c r="I15" s="34">
        <v>45894.0</v>
      </c>
      <c r="J15" s="34">
        <v>45925.0</v>
      </c>
      <c r="K15" s="34">
        <v>45955.0</v>
      </c>
      <c r="L15" s="34">
        <v>45986.0</v>
      </c>
      <c r="M15" s="34">
        <v>46016.0</v>
      </c>
      <c r="P15" s="29"/>
      <c r="Q15" s="35"/>
      <c r="R15" s="35"/>
      <c r="S15" s="29"/>
      <c r="T15" s="35"/>
      <c r="U15" s="35"/>
      <c r="V15" s="35"/>
      <c r="W15" s="35"/>
      <c r="X15" s="35"/>
      <c r="Y15" s="35"/>
      <c r="Z15" s="35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>
      <c r="B16" s="32">
        <v>40.51</v>
      </c>
      <c r="C16" s="32">
        <v>11.96</v>
      </c>
      <c r="D16" s="32">
        <v>60.18</v>
      </c>
      <c r="E16" s="32">
        <v>28.25</v>
      </c>
      <c r="F16" s="32">
        <v>48.08</v>
      </c>
      <c r="G16" s="37">
        <v>53.92</v>
      </c>
      <c r="H16" s="38">
        <v>41.49</v>
      </c>
      <c r="I16" s="38">
        <v>89.98</v>
      </c>
      <c r="J16" s="38">
        <v>53.99</v>
      </c>
      <c r="K16" s="38">
        <v>42.11</v>
      </c>
      <c r="L16" s="39">
        <v>74.29</v>
      </c>
      <c r="M16" s="39">
        <v>92.19</v>
      </c>
    </row>
    <row r="17">
      <c r="B17" s="40">
        <f t="shared" ref="B17:M17" si="2">IFERROR(SUM((B19/B16)-1),0)</f>
        <v>0.6669958035</v>
      </c>
      <c r="C17" s="40">
        <f t="shared" si="2"/>
        <v>2.753344482</v>
      </c>
      <c r="D17" s="40">
        <f t="shared" si="2"/>
        <v>1.1889332</v>
      </c>
      <c r="E17" s="40">
        <f t="shared" si="2"/>
        <v>0.6300884956</v>
      </c>
      <c r="F17" s="40">
        <f t="shared" si="2"/>
        <v>0.3517054908</v>
      </c>
      <c r="G17" s="40">
        <f t="shared" si="2"/>
        <v>0.2887611276</v>
      </c>
      <c r="H17" s="40">
        <f t="shared" si="2"/>
        <v>0.1255724271</v>
      </c>
      <c r="I17" s="40">
        <f t="shared" si="2"/>
        <v>-0.1469215381</v>
      </c>
      <c r="J17" s="40">
        <f t="shared" si="2"/>
        <v>1.566401185</v>
      </c>
      <c r="K17" s="40">
        <f t="shared" si="2"/>
        <v>-1</v>
      </c>
      <c r="L17" s="40">
        <f t="shared" si="2"/>
        <v>-1</v>
      </c>
      <c r="M17" s="40">
        <f t="shared" si="2"/>
        <v>-1</v>
      </c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</row>
    <row r="18">
      <c r="B18" s="42">
        <v>46023.0</v>
      </c>
      <c r="C18" s="43">
        <v>46054.0</v>
      </c>
      <c r="D18" s="43">
        <v>46082.0</v>
      </c>
      <c r="E18" s="43">
        <v>46113.0</v>
      </c>
      <c r="F18" s="43">
        <v>46143.0</v>
      </c>
      <c r="G18" s="43">
        <v>46174.0</v>
      </c>
      <c r="H18" s="43">
        <v>46204.0</v>
      </c>
      <c r="I18" s="43">
        <v>46235.0</v>
      </c>
      <c r="J18" s="43">
        <v>46266.0</v>
      </c>
      <c r="K18" s="43">
        <v>46296.0</v>
      </c>
      <c r="L18" s="43">
        <v>46327.0</v>
      </c>
      <c r="M18" s="43">
        <v>46357.0</v>
      </c>
      <c r="P18" s="32"/>
      <c r="Q18" s="32"/>
      <c r="R18" s="32"/>
      <c r="S18" s="32"/>
      <c r="T18" s="32"/>
      <c r="U18" s="44"/>
      <c r="V18" s="44"/>
      <c r="W18" s="44"/>
      <c r="X18" s="44"/>
      <c r="Y18" s="44"/>
      <c r="Z18" s="44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</row>
    <row r="19">
      <c r="B19" s="37">
        <v>67.53</v>
      </c>
      <c r="C19" s="37">
        <v>44.89</v>
      </c>
      <c r="D19" s="37">
        <v>131.73</v>
      </c>
      <c r="E19" s="37">
        <v>46.05</v>
      </c>
      <c r="F19" s="37">
        <v>64.99</v>
      </c>
      <c r="G19" s="37">
        <v>69.49</v>
      </c>
      <c r="H19" s="38">
        <v>46.7</v>
      </c>
      <c r="I19" s="38">
        <v>76.76</v>
      </c>
      <c r="J19" s="38">
        <v>138.56</v>
      </c>
      <c r="K19" s="38">
        <v>0.0</v>
      </c>
      <c r="L19" s="39">
        <v>0.0</v>
      </c>
      <c r="M19" s="39">
        <v>0.0</v>
      </c>
      <c r="P19" s="35"/>
      <c r="Q19" s="35"/>
      <c r="R19" s="35"/>
      <c r="S19" s="35"/>
      <c r="T19" s="35"/>
      <c r="U19" s="35"/>
      <c r="V19" s="29"/>
      <c r="W19" s="29"/>
      <c r="X19" s="29"/>
      <c r="Y19" s="29"/>
      <c r="Z19" s="29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1"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</row>
    <row r="22">
      <c r="N22" s="23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</row>
    <row r="23">
      <c r="N23" s="23"/>
      <c r="O23" s="35"/>
      <c r="P23" s="35"/>
      <c r="Q23" s="35"/>
      <c r="R23" s="35"/>
      <c r="S23" s="35"/>
      <c r="T23" s="35"/>
      <c r="U23" s="35"/>
      <c r="V23" s="29"/>
      <c r="W23" s="29"/>
      <c r="X23" s="29"/>
      <c r="Y23" s="29"/>
      <c r="Z23" s="29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>
      <c r="N24" s="23"/>
      <c r="O24" s="35"/>
      <c r="P24" s="35"/>
      <c r="Q24" s="35"/>
      <c r="R24" s="35"/>
      <c r="S24" s="35"/>
      <c r="T24" s="35"/>
      <c r="U24" s="35"/>
      <c r="V24" s="29"/>
      <c r="W24" s="29"/>
      <c r="X24" s="29"/>
      <c r="Y24" s="29"/>
      <c r="Z24" s="29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</row>
    <row r="29">
      <c r="B29" s="39"/>
      <c r="N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</row>
    <row r="30"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</row>
    <row r="31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3">
      <c r="N33" s="23"/>
      <c r="O33" s="35"/>
      <c r="P33" s="35"/>
      <c r="Q33" s="35"/>
      <c r="R33" s="35"/>
      <c r="S33" s="35"/>
      <c r="T33" s="35"/>
      <c r="U33" s="35"/>
      <c r="V33" s="29"/>
      <c r="W33" s="29"/>
      <c r="X33" s="29"/>
      <c r="Y33" s="29"/>
      <c r="Z33" s="29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8">
      <c r="C38" s="47"/>
    </row>
    <row r="39">
      <c r="C39" s="49"/>
    </row>
    <row r="40">
      <c r="A40" s="50"/>
      <c r="B40" s="51" t="s">
        <v>59</v>
      </c>
      <c r="D40" s="52">
        <f>IFERROR(SUMPRODUCT(Fiis[QTD],Fiis[Div/12])/SUMPRODUCT(Fiis[QTD],Fiis[P/M]),"")</f>
        <v>0.008541389456</v>
      </c>
      <c r="E40" s="53"/>
      <c r="F40" s="53"/>
      <c r="G40" s="53"/>
      <c r="H40" s="53"/>
      <c r="I40" s="53"/>
      <c r="J40" s="54" t="s">
        <v>60</v>
      </c>
      <c r="M40" s="54" t="s">
        <v>60</v>
      </c>
      <c r="P40" s="54" t="s">
        <v>60</v>
      </c>
      <c r="S40" s="54" t="s">
        <v>60</v>
      </c>
      <c r="V40" s="54" t="s">
        <v>60</v>
      </c>
      <c r="Y40" s="54" t="s">
        <v>60</v>
      </c>
      <c r="AB40" s="54" t="s">
        <v>60</v>
      </c>
      <c r="AE40" s="54" t="s">
        <v>60</v>
      </c>
      <c r="AH40" s="54" t="s">
        <v>61</v>
      </c>
      <c r="AK40" s="54" t="s">
        <v>62</v>
      </c>
      <c r="AN40" s="54" t="s">
        <v>62</v>
      </c>
      <c r="AQ40" s="54" t="s">
        <v>62</v>
      </c>
    </row>
    <row r="41">
      <c r="A41" s="53"/>
      <c r="B41" s="51" t="s">
        <v>64</v>
      </c>
      <c r="D41" s="52">
        <f>IF(D40="","",D40*12)</f>
        <v>0.1024966735</v>
      </c>
      <c r="E41" s="53"/>
      <c r="F41" s="53"/>
      <c r="G41" s="51" t="s">
        <v>65</v>
      </c>
      <c r="I41" s="55">
        <f>IFERROR((SUM(K58:AS58)+SUMPRODUCT(D43:D52,F43:F52))/SUMPRODUCT(D43:D52,E43:E52)-1,"")</f>
        <v>0.03542354906</v>
      </c>
      <c r="J41" s="56" t="s">
        <v>66</v>
      </c>
      <c r="K41" s="57"/>
      <c r="L41" s="58"/>
      <c r="M41" s="56" t="s">
        <v>67</v>
      </c>
      <c r="N41" s="57"/>
      <c r="O41" s="58"/>
      <c r="P41" s="56" t="s">
        <v>68</v>
      </c>
      <c r="Q41" s="57"/>
      <c r="R41" s="58"/>
      <c r="S41" s="56" t="s">
        <v>69</v>
      </c>
      <c r="T41" s="57"/>
      <c r="U41" s="58"/>
      <c r="V41" s="56" t="s">
        <v>70</v>
      </c>
      <c r="W41" s="57"/>
      <c r="X41" s="58"/>
      <c r="Y41" s="56" t="s">
        <v>71</v>
      </c>
      <c r="Z41" s="57"/>
      <c r="AA41" s="58"/>
      <c r="AB41" s="56" t="s">
        <v>72</v>
      </c>
      <c r="AC41" s="57"/>
      <c r="AD41" s="58"/>
      <c r="AE41" s="56" t="s">
        <v>74</v>
      </c>
      <c r="AF41" s="57"/>
      <c r="AG41" s="58"/>
      <c r="AH41" s="56" t="s">
        <v>75</v>
      </c>
      <c r="AI41" s="57"/>
      <c r="AJ41" s="58"/>
      <c r="AK41" s="56" t="s">
        <v>76</v>
      </c>
      <c r="AL41" s="57"/>
      <c r="AM41" s="58"/>
      <c r="AN41" s="56" t="s">
        <v>77</v>
      </c>
      <c r="AO41" s="57"/>
      <c r="AP41" s="58"/>
      <c r="AQ41" s="56" t="s">
        <v>78</v>
      </c>
      <c r="AR41" s="57"/>
      <c r="AS41" s="58"/>
    </row>
    <row r="42">
      <c r="A42" s="59" t="s">
        <v>79</v>
      </c>
      <c r="B42" s="60" t="s">
        <v>80</v>
      </c>
      <c r="C42" s="61" t="s">
        <v>81</v>
      </c>
      <c r="D42" s="62" t="s">
        <v>82</v>
      </c>
      <c r="E42" s="60" t="s">
        <v>83</v>
      </c>
      <c r="F42" s="63" t="s">
        <v>84</v>
      </c>
      <c r="G42" s="63" t="s">
        <v>85</v>
      </c>
      <c r="H42" s="63" t="s">
        <v>86</v>
      </c>
      <c r="I42" s="63" t="s">
        <v>87</v>
      </c>
      <c r="J42" s="64" t="s">
        <v>88</v>
      </c>
      <c r="K42" s="64" t="s">
        <v>89</v>
      </c>
      <c r="L42" s="65" t="s">
        <v>90</v>
      </c>
      <c r="M42" s="64" t="s">
        <v>88</v>
      </c>
      <c r="N42" s="64" t="s">
        <v>89</v>
      </c>
      <c r="O42" s="65" t="s">
        <v>90</v>
      </c>
      <c r="P42" s="64" t="s">
        <v>88</v>
      </c>
      <c r="Q42" s="64" t="s">
        <v>89</v>
      </c>
      <c r="R42" s="65" t="s">
        <v>90</v>
      </c>
      <c r="S42" s="64" t="s">
        <v>88</v>
      </c>
      <c r="T42" s="64" t="s">
        <v>89</v>
      </c>
      <c r="U42" s="65" t="s">
        <v>90</v>
      </c>
      <c r="V42" s="64" t="s">
        <v>88</v>
      </c>
      <c r="W42" s="64" t="s">
        <v>89</v>
      </c>
      <c r="X42" s="65" t="s">
        <v>90</v>
      </c>
      <c r="Y42" s="64" t="s">
        <v>88</v>
      </c>
      <c r="Z42" s="64" t="s">
        <v>89</v>
      </c>
      <c r="AA42" s="65" t="s">
        <v>90</v>
      </c>
      <c r="AB42" s="64" t="s">
        <v>88</v>
      </c>
      <c r="AC42" s="64" t="s">
        <v>89</v>
      </c>
      <c r="AD42" s="66" t="s">
        <v>90</v>
      </c>
      <c r="AE42" s="64" t="s">
        <v>88</v>
      </c>
      <c r="AF42" s="64" t="s">
        <v>89</v>
      </c>
      <c r="AG42" s="66" t="s">
        <v>90</v>
      </c>
      <c r="AH42" s="67" t="s">
        <v>88</v>
      </c>
      <c r="AI42" s="67" t="s">
        <v>89</v>
      </c>
      <c r="AJ42" s="68" t="s">
        <v>90</v>
      </c>
      <c r="AK42" s="67" t="s">
        <v>88</v>
      </c>
      <c r="AL42" s="67" t="s">
        <v>89</v>
      </c>
      <c r="AM42" s="68" t="s">
        <v>90</v>
      </c>
      <c r="AN42" s="67" t="s">
        <v>88</v>
      </c>
      <c r="AO42" s="67" t="s">
        <v>89</v>
      </c>
      <c r="AP42" s="68" t="s">
        <v>90</v>
      </c>
      <c r="AQ42" s="67" t="s">
        <v>88</v>
      </c>
      <c r="AR42" s="67" t="s">
        <v>89</v>
      </c>
      <c r="AS42" s="68" t="s">
        <v>90</v>
      </c>
    </row>
    <row r="43">
      <c r="A43" s="69" t="s">
        <v>44</v>
      </c>
      <c r="B43" s="70" t="s">
        <v>92</v>
      </c>
      <c r="C43" s="70" t="s">
        <v>93</v>
      </c>
      <c r="D43" s="71">
        <f t="array" ref="D43">IFERROR(INDEX(Fiis[], MATCH(A43, Fiis[Fii], 0), MATCH(Fiis[[#HEADERS],[QTD]], Fiis[#HEADERS], 0)), "")
</f>
        <v>109</v>
      </c>
      <c r="E43" s="72">
        <f t="array" ref="E43">IFERROR(INDEX(Fiis[], MATCH(A43, Fiis[Fii], 0), MATCH(Fiis[[#HEADERS],[P/M]], Fiis[#HEADERS], 0)), "")
</f>
        <v>10.01</v>
      </c>
      <c r="F43" s="73">
        <f>IFERROR(__xludf.DUMMYFUNCTION("IFERROR(GOOGLEFINANCE(A43),"""")"),9.0)</f>
        <v>9</v>
      </c>
      <c r="G43" s="74">
        <f t="shared" ref="G43:G56" si="3">IFERROR(SUMPRODUCT((MOD(COLUMN(K43:AS43)-COLUMN(K43), 3) = 0) * (K43:AS43))/SUMPRODUCT((MOD(COLUMN(K43:AS43)-COLUMN(K43), 3) = 0) * (NOT(ISBLANK(K43:AS43))))/E43*12,"")</f>
        <v>0.1198801199</v>
      </c>
      <c r="H43" s="74">
        <f t="shared" ref="H43:H56" si="4">IFERROR(F43/E43-1,"")</f>
        <v>-0.1008991009</v>
      </c>
      <c r="I43" s="74">
        <f t="shared" ref="I43:I56" si="5">IFERROR((SUMPRODUCT((MOD(COLUMN(L43:AS43)-COLUMN(L43), 3) = 0) * (L43:AS43))+D43*F43)/(D43*E43)-1,"")</f>
        <v>-0.04077573802</v>
      </c>
      <c r="J43" s="75">
        <v>39.0</v>
      </c>
      <c r="K43" s="72">
        <f t="shared" ref="K43:K52" si="6">IF(J43=0,"",L43/J43)</f>
        <v>0.1</v>
      </c>
      <c r="L43" s="76">
        <v>3.9</v>
      </c>
      <c r="M43" s="75">
        <v>39.0</v>
      </c>
      <c r="N43" s="72">
        <f t="shared" ref="N43:N52" si="7">IF(M43=0,"",O43/M43)</f>
        <v>0.1</v>
      </c>
      <c r="O43" s="76">
        <v>3.9</v>
      </c>
      <c r="P43" s="75">
        <v>39.0</v>
      </c>
      <c r="Q43" s="72">
        <f t="shared" ref="Q43:Q52" si="8">IF(P43=0,"",R43/P43)</f>
        <v>0.1</v>
      </c>
      <c r="R43" s="76">
        <v>3.9</v>
      </c>
      <c r="S43" s="75">
        <v>64.0</v>
      </c>
      <c r="T43" s="77">
        <f t="shared" ref="T43:T52" si="9">IF(S43=0,"",U43/S43)</f>
        <v>0.1</v>
      </c>
      <c r="U43" s="76">
        <v>6.4</v>
      </c>
      <c r="V43" s="78" t="s">
        <v>96</v>
      </c>
      <c r="W43" s="77">
        <f t="shared" ref="W43:W52" si="10">IF(V43=0,"",X43/V43)</f>
        <v>0.1</v>
      </c>
      <c r="X43" s="76">
        <v>6.9</v>
      </c>
      <c r="Y43" s="78" t="s">
        <v>97</v>
      </c>
      <c r="Z43" s="77">
        <f t="shared" ref="Z43:Z52" si="11">IF(Y43=0,"",AA43/Y43)</f>
        <v>0.1</v>
      </c>
      <c r="AA43" s="76">
        <v>7.9</v>
      </c>
      <c r="AB43" s="75">
        <v>109.0</v>
      </c>
      <c r="AC43" s="77">
        <f t="shared" ref="AC43:AC52" si="12">IF(AB43=0,"",AD43/AB43)</f>
        <v>0.1</v>
      </c>
      <c r="AD43" s="76">
        <v>10.9</v>
      </c>
      <c r="AE43" s="75">
        <v>109.0</v>
      </c>
      <c r="AF43" s="77">
        <f t="shared" ref="AF43:AF52" si="13">IF(AE43=0,"",AG43/AE43)</f>
        <v>0.1</v>
      </c>
      <c r="AG43" s="76">
        <v>10.9</v>
      </c>
      <c r="AH43" s="75">
        <v>109.0</v>
      </c>
      <c r="AI43" s="79">
        <v>0.1</v>
      </c>
      <c r="AJ43" s="76">
        <f t="shared" ref="AJ43:AJ55" si="14">IF(AH43=0,"",AI43*AH43)</f>
        <v>10.9</v>
      </c>
      <c r="AK43" s="75">
        <v>0.0</v>
      </c>
      <c r="AL43" s="79"/>
      <c r="AM43" s="76" t="str">
        <f t="shared" ref="AM43:AM55" si="15">IF(AK43=0,"",AL43*AK43)</f>
        <v/>
      </c>
      <c r="AN43" s="75">
        <v>0.0</v>
      </c>
      <c r="AO43" s="79"/>
      <c r="AP43" s="76" t="str">
        <f t="shared" ref="AP43:AP55" si="16">IF(AN43=0,"",AO43*AN43)</f>
        <v/>
      </c>
      <c r="AQ43" s="75">
        <v>0.0</v>
      </c>
      <c r="AR43" s="79"/>
      <c r="AS43" s="76" t="str">
        <f t="shared" ref="AS43:AS55" si="17">IF(AQ43=0,"",AR43*AQ43)</f>
        <v/>
      </c>
    </row>
    <row r="44">
      <c r="A44" s="69" t="s">
        <v>98</v>
      </c>
      <c r="B44" s="70" t="s">
        <v>92</v>
      </c>
      <c r="C44" s="70" t="s">
        <v>99</v>
      </c>
      <c r="D44" s="71">
        <f t="array" ref="D44">IFERROR(INDEX(Fiis[], MATCH(A44, Fiis[Fii], 0), MATCH(Fiis[[#HEADERS],[QTD]], Fiis[#HEADERS], 0)), "")
</f>
        <v>11</v>
      </c>
      <c r="E44" s="72">
        <f t="array" ref="E44">IFERROR(INDEX(Fiis[], MATCH(A44, Fiis[Fii], 0), MATCH(Fiis[[#HEADERS],[P/M]], Fiis[#HEADERS], 0)), "")
</f>
        <v>104.65</v>
      </c>
      <c r="F44" s="73">
        <f>IFERROR(__xludf.DUMMYFUNCTION("IFERROR(GOOGLEFINANCE(A44),"""")"),97.21)</f>
        <v>97.21</v>
      </c>
      <c r="G44" s="74">
        <f t="shared" si="3"/>
        <v>0.08663799968</v>
      </c>
      <c r="H44" s="74">
        <f t="shared" si="4"/>
        <v>-0.07109412327</v>
      </c>
      <c r="I44" s="74">
        <f t="shared" si="5"/>
        <v>-0.02435825045</v>
      </c>
      <c r="J44" s="75">
        <v>4.0</v>
      </c>
      <c r="K44" s="72">
        <f t="shared" si="6"/>
        <v>0.75</v>
      </c>
      <c r="L44" s="76">
        <v>3.0</v>
      </c>
      <c r="M44" s="75">
        <v>7.0</v>
      </c>
      <c r="N44" s="72">
        <f t="shared" si="7"/>
        <v>0.75</v>
      </c>
      <c r="O44" s="76">
        <v>5.25</v>
      </c>
      <c r="P44" s="75">
        <v>7.0</v>
      </c>
      <c r="Q44" s="77">
        <f t="shared" si="8"/>
        <v>0.75</v>
      </c>
      <c r="R44" s="76">
        <v>5.25</v>
      </c>
      <c r="S44" s="75">
        <v>7.0</v>
      </c>
      <c r="T44" s="77">
        <f t="shared" si="9"/>
        <v>0.75</v>
      </c>
      <c r="U44" s="76">
        <v>5.25</v>
      </c>
      <c r="V44" s="75">
        <v>7.0</v>
      </c>
      <c r="W44" s="77">
        <f t="shared" si="10"/>
        <v>0.75</v>
      </c>
      <c r="X44" s="76">
        <v>5.25</v>
      </c>
      <c r="Y44" s="75">
        <v>7.0</v>
      </c>
      <c r="Z44" s="77">
        <f t="shared" si="11"/>
        <v>0.75</v>
      </c>
      <c r="AA44" s="76">
        <v>5.25</v>
      </c>
      <c r="AB44" s="75">
        <v>10.0</v>
      </c>
      <c r="AC44" s="77">
        <f t="shared" si="12"/>
        <v>0.75</v>
      </c>
      <c r="AD44" s="76">
        <v>7.5</v>
      </c>
      <c r="AE44" s="75">
        <v>11.0</v>
      </c>
      <c r="AF44" s="77">
        <f t="shared" si="13"/>
        <v>0.75</v>
      </c>
      <c r="AG44" s="76">
        <v>8.25</v>
      </c>
      <c r="AH44" s="75">
        <v>11.0</v>
      </c>
      <c r="AI44" s="79">
        <v>0.8</v>
      </c>
      <c r="AJ44" s="76">
        <f t="shared" si="14"/>
        <v>8.8</v>
      </c>
      <c r="AK44" s="75">
        <v>0.0</v>
      </c>
      <c r="AL44" s="79"/>
      <c r="AM44" s="76" t="str">
        <f t="shared" si="15"/>
        <v/>
      </c>
      <c r="AN44" s="75">
        <v>0.0</v>
      </c>
      <c r="AO44" s="79"/>
      <c r="AP44" s="76" t="str">
        <f t="shared" si="16"/>
        <v/>
      </c>
      <c r="AQ44" s="75">
        <v>0.0</v>
      </c>
      <c r="AR44" s="79"/>
      <c r="AS44" s="76" t="str">
        <f t="shared" si="17"/>
        <v/>
      </c>
    </row>
    <row r="45">
      <c r="A45" s="69" t="s">
        <v>50</v>
      </c>
      <c r="B45" s="70" t="s">
        <v>102</v>
      </c>
      <c r="C45" s="70" t="s">
        <v>93</v>
      </c>
      <c r="D45" s="71">
        <f t="array" ref="D45">IFERROR(INDEX(Fiis[], MATCH(A45, Fiis[Fii], 0), MATCH(Fiis[[#HEADERS],[QTD]], Fiis[#HEADERS], 0)), "")
</f>
        <v>87</v>
      </c>
      <c r="E45" s="72">
        <f t="array" ref="E45">IFERROR(INDEX(Fiis[], MATCH(A45, Fiis[Fii], 0), MATCH(Fiis[[#HEADERS],[P/M]], Fiis[#HEADERS], 0)), "")
</f>
        <v>8.54</v>
      </c>
      <c r="F45" s="73">
        <f>IFERROR(__xludf.DUMMYFUNCTION("IFERROR(GOOGLEFINANCE(A45),"""")"),8.4)</f>
        <v>8.4</v>
      </c>
      <c r="G45" s="74">
        <f t="shared" si="3"/>
        <v>0.1161944392</v>
      </c>
      <c r="H45" s="74">
        <f t="shared" si="4"/>
        <v>-0.01639344262</v>
      </c>
      <c r="I45" s="74">
        <f t="shared" si="5"/>
        <v>0.05554658268</v>
      </c>
      <c r="J45" s="75">
        <v>39.0</v>
      </c>
      <c r="K45" s="72">
        <f t="shared" si="6"/>
        <v>0.08307692308</v>
      </c>
      <c r="L45" s="76">
        <v>3.24</v>
      </c>
      <c r="M45" s="75">
        <v>39.0</v>
      </c>
      <c r="N45" s="72">
        <f t="shared" si="7"/>
        <v>0.08307692308</v>
      </c>
      <c r="O45" s="76">
        <v>3.24</v>
      </c>
      <c r="P45" s="75">
        <v>59.0</v>
      </c>
      <c r="Q45" s="77">
        <f t="shared" si="8"/>
        <v>0.08305084746</v>
      </c>
      <c r="R45" s="76">
        <v>4.9</v>
      </c>
      <c r="S45" s="75">
        <v>75.0</v>
      </c>
      <c r="T45" s="77">
        <f t="shared" si="9"/>
        <v>0.08306666667</v>
      </c>
      <c r="U45" s="76">
        <v>6.23</v>
      </c>
      <c r="V45" s="78" t="s">
        <v>103</v>
      </c>
      <c r="W45" s="77">
        <f t="shared" si="10"/>
        <v>0.08298850575</v>
      </c>
      <c r="X45" s="76">
        <v>7.22</v>
      </c>
      <c r="Y45" s="78" t="s">
        <v>103</v>
      </c>
      <c r="Z45" s="77">
        <f t="shared" si="11"/>
        <v>0.08298850575</v>
      </c>
      <c r="AA45" s="76">
        <v>7.22</v>
      </c>
      <c r="AB45" s="78" t="s">
        <v>103</v>
      </c>
      <c r="AC45" s="77">
        <f t="shared" si="12"/>
        <v>0.08298850575</v>
      </c>
      <c r="AD45" s="76">
        <v>7.22</v>
      </c>
      <c r="AE45" s="75">
        <v>87.0</v>
      </c>
      <c r="AF45" s="77">
        <f t="shared" si="13"/>
        <v>0.08298850575</v>
      </c>
      <c r="AG45" s="76">
        <v>7.22</v>
      </c>
      <c r="AH45" s="75">
        <v>87.0</v>
      </c>
      <c r="AI45" s="79">
        <v>0.08</v>
      </c>
      <c r="AJ45" s="76">
        <f t="shared" si="14"/>
        <v>6.96</v>
      </c>
      <c r="AK45" s="75">
        <v>0.0</v>
      </c>
      <c r="AL45" s="79"/>
      <c r="AM45" s="76" t="str">
        <f t="shared" si="15"/>
        <v/>
      </c>
      <c r="AN45" s="75">
        <v>0.0</v>
      </c>
      <c r="AO45" s="79"/>
      <c r="AP45" s="76" t="str">
        <f t="shared" si="16"/>
        <v/>
      </c>
      <c r="AQ45" s="75">
        <v>0.0</v>
      </c>
      <c r="AR45" s="79"/>
      <c r="AS45" s="76" t="str">
        <f t="shared" si="17"/>
        <v/>
      </c>
    </row>
    <row r="46">
      <c r="A46" s="69" t="s">
        <v>32</v>
      </c>
      <c r="B46" s="70" t="s">
        <v>92</v>
      </c>
      <c r="C46" s="70" t="s">
        <v>93</v>
      </c>
      <c r="D46" s="71">
        <f t="array" ref="D46">IFERROR(INDEX(Fiis[], MATCH(A46, Fiis[Fii], 0), MATCH(Fiis[[#HEADERS],[QTD]], Fiis[#HEADERS], 0)), "")
</f>
        <v>8</v>
      </c>
      <c r="E46" s="72">
        <f t="array" ref="E46">IFERROR(INDEX(Fiis[], MATCH(A46, Fiis[Fii], 0), MATCH(Fiis[[#HEADERS],[P/M]], Fiis[#HEADERS], 0)), "")
</f>
        <v>93.43</v>
      </c>
      <c r="F46" s="73">
        <f>IFERROR(__xludf.DUMMYFUNCTION("IFERROR(GOOGLEFINANCE(A46),"""")"),91.59)</f>
        <v>91.59</v>
      </c>
      <c r="G46" s="74">
        <f t="shared" si="3"/>
        <v>0.1053194905</v>
      </c>
      <c r="H46" s="74">
        <f t="shared" si="4"/>
        <v>-0.01969388847</v>
      </c>
      <c r="I46" s="74">
        <f t="shared" si="5"/>
        <v>0.03077170074</v>
      </c>
      <c r="J46" s="75">
        <v>4.0</v>
      </c>
      <c r="K46" s="72">
        <f t="shared" si="6"/>
        <v>0.82</v>
      </c>
      <c r="L46" s="76">
        <v>3.28</v>
      </c>
      <c r="M46" s="75">
        <v>4.0</v>
      </c>
      <c r="N46" s="72">
        <f t="shared" si="7"/>
        <v>0.82</v>
      </c>
      <c r="O46" s="76">
        <v>3.28</v>
      </c>
      <c r="P46" s="75">
        <v>4.0</v>
      </c>
      <c r="Q46" s="77">
        <f t="shared" si="8"/>
        <v>0.82</v>
      </c>
      <c r="R46" s="76">
        <v>3.28</v>
      </c>
      <c r="S46" s="75">
        <v>4.0</v>
      </c>
      <c r="T46" s="77">
        <f t="shared" si="9"/>
        <v>0.82</v>
      </c>
      <c r="U46" s="76">
        <v>3.28</v>
      </c>
      <c r="V46" s="78" t="s">
        <v>111</v>
      </c>
      <c r="W46" s="77">
        <f t="shared" si="10"/>
        <v>0.82</v>
      </c>
      <c r="X46" s="76">
        <v>3.28</v>
      </c>
      <c r="Y46" s="78" t="s">
        <v>111</v>
      </c>
      <c r="Z46" s="77">
        <f t="shared" si="11"/>
        <v>0.82</v>
      </c>
      <c r="AA46" s="76">
        <v>3.28</v>
      </c>
      <c r="AB46" s="75">
        <v>6.0</v>
      </c>
      <c r="AC46" s="77">
        <f t="shared" si="12"/>
        <v>0.82</v>
      </c>
      <c r="AD46" s="76">
        <v>4.92</v>
      </c>
      <c r="AE46" s="75">
        <v>8.0</v>
      </c>
      <c r="AF46" s="77">
        <f t="shared" si="13"/>
        <v>0.82</v>
      </c>
      <c r="AG46" s="76">
        <v>6.56</v>
      </c>
      <c r="AH46" s="75">
        <v>8.0</v>
      </c>
      <c r="AI46" s="79">
        <v>0.82</v>
      </c>
      <c r="AJ46" s="76">
        <f t="shared" si="14"/>
        <v>6.56</v>
      </c>
      <c r="AK46" s="75">
        <v>0.0</v>
      </c>
      <c r="AL46" s="79"/>
      <c r="AM46" s="76" t="str">
        <f t="shared" si="15"/>
        <v/>
      </c>
      <c r="AN46" s="75">
        <v>0.0</v>
      </c>
      <c r="AO46" s="79"/>
      <c r="AP46" s="76" t="str">
        <f t="shared" si="16"/>
        <v/>
      </c>
      <c r="AQ46" s="75">
        <v>0.0</v>
      </c>
      <c r="AR46" s="79"/>
      <c r="AS46" s="76" t="str">
        <f t="shared" si="17"/>
        <v/>
      </c>
    </row>
    <row r="47">
      <c r="A47" s="69" t="s">
        <v>29</v>
      </c>
      <c r="B47" s="70" t="s">
        <v>112</v>
      </c>
      <c r="C47" s="70" t="s">
        <v>93</v>
      </c>
      <c r="D47" s="71">
        <f t="array" ref="D47">IFERROR(INDEX(Fiis[], MATCH(A47, Fiis[Fii], 0), MATCH(Fiis[[#HEADERS],[QTD]], Fiis[#HEADERS], 0)), "")
</f>
        <v>6</v>
      </c>
      <c r="E47" s="72">
        <f t="array" ref="E47">IFERROR(INDEX(Fiis[], MATCH(A47, Fiis[Fii], 0), MATCH(Fiis[[#HEADERS],[P/M]], Fiis[#HEADERS], 0)), "")
</f>
        <v>99.15</v>
      </c>
      <c r="F47" s="73">
        <f>IFERROR(__xludf.DUMMYFUNCTION("IFERROR(GOOGLEFINANCE(A47),"""")"),102.68)</f>
        <v>102.68</v>
      </c>
      <c r="G47" s="74">
        <f t="shared" si="3"/>
        <v>0.1210287443</v>
      </c>
      <c r="H47" s="74">
        <f t="shared" si="4"/>
        <v>0.03560262229</v>
      </c>
      <c r="I47" s="74">
        <f t="shared" si="5"/>
        <v>0.1028408136</v>
      </c>
      <c r="J47" s="75">
        <v>4.0</v>
      </c>
      <c r="K47" s="72">
        <f t="shared" si="6"/>
        <v>1</v>
      </c>
      <c r="L47" s="76">
        <v>4.0</v>
      </c>
      <c r="M47" s="75">
        <v>4.0</v>
      </c>
      <c r="N47" s="72">
        <f t="shared" si="7"/>
        <v>1</v>
      </c>
      <c r="O47" s="76">
        <v>4.0</v>
      </c>
      <c r="P47" s="75">
        <v>4.0</v>
      </c>
      <c r="Q47" s="77">
        <f t="shared" si="8"/>
        <v>1</v>
      </c>
      <c r="R47" s="76">
        <v>4.0</v>
      </c>
      <c r="S47" s="75">
        <v>4.0</v>
      </c>
      <c r="T47" s="77">
        <f t="shared" si="9"/>
        <v>1</v>
      </c>
      <c r="U47" s="76">
        <v>4.0</v>
      </c>
      <c r="V47" s="75">
        <v>4.0</v>
      </c>
      <c r="W47" s="77">
        <f t="shared" si="10"/>
        <v>1</v>
      </c>
      <c r="X47" s="76">
        <v>4.0</v>
      </c>
      <c r="Y47" s="75">
        <v>4.0</v>
      </c>
      <c r="Z47" s="77">
        <f t="shared" si="11"/>
        <v>1</v>
      </c>
      <c r="AA47" s="76">
        <v>4.0</v>
      </c>
      <c r="AB47" s="75">
        <v>4.0</v>
      </c>
      <c r="AC47" s="77">
        <f t="shared" si="12"/>
        <v>1</v>
      </c>
      <c r="AD47" s="76">
        <v>4.0</v>
      </c>
      <c r="AE47" s="75">
        <v>6.0</v>
      </c>
      <c r="AF47" s="77">
        <f t="shared" si="13"/>
        <v>1</v>
      </c>
      <c r="AG47" s="76">
        <v>6.0</v>
      </c>
      <c r="AH47" s="75">
        <v>6.0</v>
      </c>
      <c r="AI47" s="79">
        <v>1.0</v>
      </c>
      <c r="AJ47" s="76">
        <f t="shared" si="14"/>
        <v>6</v>
      </c>
      <c r="AK47" s="75">
        <v>0.0</v>
      </c>
      <c r="AL47" s="79"/>
      <c r="AM47" s="76" t="str">
        <f t="shared" si="15"/>
        <v/>
      </c>
      <c r="AN47" s="75">
        <v>0.0</v>
      </c>
      <c r="AO47" s="79"/>
      <c r="AP47" s="76" t="str">
        <f t="shared" si="16"/>
        <v/>
      </c>
      <c r="AQ47" s="75">
        <v>0.0</v>
      </c>
      <c r="AR47" s="79"/>
      <c r="AS47" s="76" t="str">
        <f t="shared" si="17"/>
        <v/>
      </c>
    </row>
    <row r="48">
      <c r="A48" s="69" t="s">
        <v>40</v>
      </c>
      <c r="B48" s="70" t="s">
        <v>92</v>
      </c>
      <c r="C48" s="70" t="s">
        <v>99</v>
      </c>
      <c r="D48" s="71">
        <f t="array" ref="D48">IFERROR(INDEX(Fiis[], MATCH(A48, Fiis[Fii], 0), MATCH(Fiis[[#HEADERS],[QTD]], Fiis[#HEADERS], 0)), "")
</f>
        <v>4</v>
      </c>
      <c r="E48" s="72">
        <f t="array" ref="E48">IFERROR(INDEX(Fiis[], MATCH(A48, Fiis[Fii], 0), MATCH(Fiis[[#HEADERS],[P/M]], Fiis[#HEADERS], 0)), "")
</f>
        <v>97.58</v>
      </c>
      <c r="F48" s="73">
        <f>IFERROR(__xludf.DUMMYFUNCTION("IFERROR(GOOGLEFINANCE(A48),"""")"),100.23)</f>
        <v>100.23</v>
      </c>
      <c r="G48" s="74">
        <f t="shared" si="3"/>
        <v>0.09930313589</v>
      </c>
      <c r="H48" s="74">
        <f t="shared" si="4"/>
        <v>0.02715720435</v>
      </c>
      <c r="I48" s="74">
        <f t="shared" si="5"/>
        <v>0.09335929494</v>
      </c>
      <c r="J48" s="75">
        <v>4.0</v>
      </c>
      <c r="K48" s="72">
        <f t="shared" si="6"/>
        <v>0.8</v>
      </c>
      <c r="L48" s="76">
        <v>3.2</v>
      </c>
      <c r="M48" s="75">
        <v>4.0</v>
      </c>
      <c r="N48" s="72">
        <f t="shared" si="7"/>
        <v>0.8</v>
      </c>
      <c r="O48" s="76">
        <v>3.2</v>
      </c>
      <c r="P48" s="75">
        <v>4.0</v>
      </c>
      <c r="Q48" s="77">
        <f t="shared" si="8"/>
        <v>0.81</v>
      </c>
      <c r="R48" s="76">
        <v>3.24</v>
      </c>
      <c r="S48" s="75">
        <v>4.0</v>
      </c>
      <c r="T48" s="77">
        <f t="shared" si="9"/>
        <v>0.81</v>
      </c>
      <c r="U48" s="76">
        <v>3.24</v>
      </c>
      <c r="V48" s="75">
        <v>4.0</v>
      </c>
      <c r="W48" s="77">
        <f t="shared" si="10"/>
        <v>0.81</v>
      </c>
      <c r="X48" s="76">
        <v>3.24</v>
      </c>
      <c r="Y48" s="75">
        <v>4.0</v>
      </c>
      <c r="Z48" s="77">
        <f t="shared" si="11"/>
        <v>0.81</v>
      </c>
      <c r="AA48" s="76">
        <v>3.24</v>
      </c>
      <c r="AB48" s="75">
        <v>4.0</v>
      </c>
      <c r="AC48" s="77">
        <f t="shared" si="12"/>
        <v>0.81</v>
      </c>
      <c r="AD48" s="76">
        <v>3.24</v>
      </c>
      <c r="AE48" s="75">
        <v>4.0</v>
      </c>
      <c r="AF48" s="77">
        <f t="shared" si="13"/>
        <v>0.81</v>
      </c>
      <c r="AG48" s="76">
        <v>3.24</v>
      </c>
      <c r="AH48" s="75">
        <v>0.0</v>
      </c>
      <c r="AI48" s="79"/>
      <c r="AJ48" s="76" t="str">
        <f t="shared" si="14"/>
        <v/>
      </c>
      <c r="AK48" s="75">
        <v>0.0</v>
      </c>
      <c r="AL48" s="79"/>
      <c r="AM48" s="76" t="str">
        <f t="shared" si="15"/>
        <v/>
      </c>
      <c r="AN48" s="75">
        <v>0.0</v>
      </c>
      <c r="AO48" s="79"/>
      <c r="AP48" s="76" t="str">
        <f t="shared" si="16"/>
        <v/>
      </c>
      <c r="AQ48" s="75">
        <v>0.0</v>
      </c>
      <c r="AR48" s="79"/>
      <c r="AS48" s="76" t="str">
        <f t="shared" si="17"/>
        <v/>
      </c>
    </row>
    <row r="49">
      <c r="A49" s="69" t="s">
        <v>42</v>
      </c>
      <c r="B49" s="70" t="s">
        <v>112</v>
      </c>
      <c r="C49" s="70" t="s">
        <v>93</v>
      </c>
      <c r="D49" s="71">
        <f t="array" ref="D49">IFERROR(INDEX(Fiis[], MATCH(A49, Fiis[Fii], 0), MATCH(Fiis[[#HEADERS],[QTD]], Fiis[#HEADERS], 0)), "")
</f>
        <v>20</v>
      </c>
      <c r="E49" s="72">
        <f t="array" ref="E49">IFERROR(INDEX(Fiis[], MATCH(A49, Fiis[Fii], 0), MATCH(Fiis[[#HEADERS],[P/M]], Fiis[#HEADERS], 0)), "")
</f>
        <v>18.42</v>
      </c>
      <c r="F49" s="73">
        <f>IFERROR(__xludf.DUMMYFUNCTION("IFERROR(GOOGLEFINANCE(A49),"""")"),18.68)</f>
        <v>18.68</v>
      </c>
      <c r="G49" s="74">
        <f t="shared" si="3"/>
        <v>0.108577633</v>
      </c>
      <c r="H49" s="74">
        <f t="shared" si="4"/>
        <v>0.01411509229</v>
      </c>
      <c r="I49" s="74">
        <f t="shared" si="5"/>
        <v>0.09554831705</v>
      </c>
      <c r="J49" s="75">
        <v>20.0</v>
      </c>
      <c r="K49" s="72">
        <f t="shared" si="6"/>
        <v>0.15</v>
      </c>
      <c r="L49" s="76">
        <v>3.0</v>
      </c>
      <c r="M49" s="75">
        <v>20.0</v>
      </c>
      <c r="N49" s="72">
        <f t="shared" si="7"/>
        <v>0.16</v>
      </c>
      <c r="O49" s="76">
        <v>3.2</v>
      </c>
      <c r="P49" s="75">
        <v>20.0</v>
      </c>
      <c r="Q49" s="77">
        <f t="shared" si="8"/>
        <v>0.17</v>
      </c>
      <c r="R49" s="76">
        <v>3.4</v>
      </c>
      <c r="S49" s="75">
        <v>20.0</v>
      </c>
      <c r="T49" s="77">
        <f t="shared" si="9"/>
        <v>0.17</v>
      </c>
      <c r="U49" s="76">
        <v>3.4</v>
      </c>
      <c r="V49" s="75">
        <v>20.0</v>
      </c>
      <c r="W49" s="77">
        <f t="shared" si="10"/>
        <v>0.17</v>
      </c>
      <c r="X49" s="76">
        <v>3.4</v>
      </c>
      <c r="Y49" s="75">
        <v>20.0</v>
      </c>
      <c r="Z49" s="77">
        <f t="shared" si="11"/>
        <v>0.17</v>
      </c>
      <c r="AA49" s="76">
        <v>3.4</v>
      </c>
      <c r="AB49" s="75">
        <v>20.0</v>
      </c>
      <c r="AC49" s="77">
        <f t="shared" si="12"/>
        <v>0.17</v>
      </c>
      <c r="AD49" s="76">
        <v>3.4</v>
      </c>
      <c r="AE49" s="75">
        <v>20.0</v>
      </c>
      <c r="AF49" s="77">
        <f t="shared" si="13"/>
        <v>0.17</v>
      </c>
      <c r="AG49" s="76">
        <v>3.4</v>
      </c>
      <c r="AH49" s="75">
        <v>20.0</v>
      </c>
      <c r="AI49" s="79">
        <v>0.17</v>
      </c>
      <c r="AJ49" s="76">
        <f t="shared" si="14"/>
        <v>3.4</v>
      </c>
      <c r="AK49" s="75">
        <v>0.0</v>
      </c>
      <c r="AL49" s="79"/>
      <c r="AM49" s="76" t="str">
        <f t="shared" si="15"/>
        <v/>
      </c>
      <c r="AN49" s="75">
        <v>0.0</v>
      </c>
      <c r="AO49" s="79"/>
      <c r="AP49" s="76" t="str">
        <f t="shared" si="16"/>
        <v/>
      </c>
      <c r="AQ49" s="75">
        <v>0.0</v>
      </c>
      <c r="AR49" s="79"/>
      <c r="AS49" s="76" t="str">
        <f t="shared" si="17"/>
        <v/>
      </c>
    </row>
    <row r="50">
      <c r="A50" s="69" t="s">
        <v>47</v>
      </c>
      <c r="B50" s="70" t="s">
        <v>92</v>
      </c>
      <c r="C50" s="70" t="s">
        <v>93</v>
      </c>
      <c r="D50" s="71">
        <f t="array" ref="D50">IFERROR(INDEX(Fiis[], MATCH(A50, Fiis[Fii], 0), MATCH(Fiis[[#HEADERS],[QTD]], Fiis[#HEADERS], 0)), "")
</f>
        <v>3</v>
      </c>
      <c r="E50" s="72">
        <f t="array" ref="E50">IFERROR(INDEX(Fiis[], MATCH(A50, Fiis[Fii], 0), MATCH(Fiis[[#HEADERS],[P/M]], Fiis[#HEADERS], 0)), "")
</f>
        <v>100.45</v>
      </c>
      <c r="F50" s="73">
        <f>IFERROR(__xludf.DUMMYFUNCTION("IFERROR(GOOGLEFINANCE(A50),"""")"),110.15)</f>
        <v>110.15</v>
      </c>
      <c r="G50" s="74">
        <f t="shared" si="3"/>
        <v>0.1108345777</v>
      </c>
      <c r="H50" s="74">
        <f t="shared" si="4"/>
        <v>0.09656545545</v>
      </c>
      <c r="I50" s="74">
        <f t="shared" si="5"/>
        <v>0.1796913888</v>
      </c>
      <c r="J50" s="75">
        <v>3.0</v>
      </c>
      <c r="K50" s="72">
        <f t="shared" si="6"/>
        <v>0.87</v>
      </c>
      <c r="L50" s="76">
        <v>2.61</v>
      </c>
      <c r="M50" s="75">
        <v>3.0</v>
      </c>
      <c r="N50" s="72">
        <f t="shared" si="7"/>
        <v>0.87</v>
      </c>
      <c r="O50" s="76">
        <v>2.61</v>
      </c>
      <c r="P50" s="75">
        <v>3.0</v>
      </c>
      <c r="Q50" s="77">
        <f t="shared" si="8"/>
        <v>0.92</v>
      </c>
      <c r="R50" s="76">
        <v>2.76</v>
      </c>
      <c r="S50" s="75">
        <v>3.0</v>
      </c>
      <c r="T50" s="77">
        <f t="shared" si="9"/>
        <v>0.92</v>
      </c>
      <c r="U50" s="76">
        <v>2.76</v>
      </c>
      <c r="V50" s="75">
        <v>3.0</v>
      </c>
      <c r="W50" s="77">
        <f t="shared" si="10"/>
        <v>0.95</v>
      </c>
      <c r="X50" s="76">
        <v>2.85</v>
      </c>
      <c r="Y50" s="75">
        <v>3.0</v>
      </c>
      <c r="Z50" s="77">
        <f t="shared" si="11"/>
        <v>0.95</v>
      </c>
      <c r="AA50" s="76">
        <v>2.85</v>
      </c>
      <c r="AB50" s="75">
        <v>3.0</v>
      </c>
      <c r="AC50" s="77">
        <f t="shared" si="12"/>
        <v>1.05</v>
      </c>
      <c r="AD50" s="76">
        <v>3.15</v>
      </c>
      <c r="AE50" s="75">
        <v>3.0</v>
      </c>
      <c r="AF50" s="77">
        <f t="shared" si="13"/>
        <v>0.91</v>
      </c>
      <c r="AG50" s="76">
        <v>2.73</v>
      </c>
      <c r="AH50" s="75">
        <v>3.0</v>
      </c>
      <c r="AI50" s="79">
        <v>0.91</v>
      </c>
      <c r="AJ50" s="76">
        <f t="shared" si="14"/>
        <v>2.73</v>
      </c>
      <c r="AK50" s="75">
        <v>0.0</v>
      </c>
      <c r="AL50" s="79"/>
      <c r="AM50" s="76" t="str">
        <f t="shared" si="15"/>
        <v/>
      </c>
      <c r="AN50" s="75">
        <v>0.0</v>
      </c>
      <c r="AO50" s="79"/>
      <c r="AP50" s="76" t="str">
        <f t="shared" si="16"/>
        <v/>
      </c>
      <c r="AQ50" s="75">
        <v>0.0</v>
      </c>
      <c r="AR50" s="79"/>
      <c r="AS50" s="76" t="str">
        <f t="shared" si="17"/>
        <v/>
      </c>
    </row>
    <row r="51">
      <c r="A51" s="69" t="s">
        <v>52</v>
      </c>
      <c r="B51" s="70" t="s">
        <v>114</v>
      </c>
      <c r="C51" s="70" t="s">
        <v>99</v>
      </c>
      <c r="D51" s="71">
        <f t="array" ref="D51">IFERROR(INDEX(Fiis[], MATCH(A51, Fiis[Fii], 0), MATCH(Fiis[[#HEADERS],[QTD]], Fiis[#HEADERS], 0)), "")
</f>
        <v>21</v>
      </c>
      <c r="E51" s="72">
        <f t="array" ref="E51">IFERROR(INDEX(Fiis[], MATCH(A51, Fiis[Fii], 0), MATCH(Fiis[[#HEADERS],[P/M]], Fiis[#HEADERS], 0)), "")
</f>
        <v>9.25</v>
      </c>
      <c r="F51" s="73">
        <f>IFERROR(__xludf.DUMMYFUNCTION("IFERROR(GOOGLEFINANCE(A51),"""")"),9.17)</f>
        <v>9.17</v>
      </c>
      <c r="G51" s="74">
        <f t="shared" si="3"/>
        <v>0.129043329</v>
      </c>
      <c r="H51" s="74">
        <f t="shared" si="4"/>
        <v>-0.008648648649</v>
      </c>
      <c r="I51" s="74">
        <f t="shared" si="5"/>
        <v>0.08813384813</v>
      </c>
      <c r="J51" s="75">
        <v>21.0</v>
      </c>
      <c r="K51" s="72">
        <f t="shared" si="6"/>
        <v>0.1</v>
      </c>
      <c r="L51" s="76">
        <v>2.1</v>
      </c>
      <c r="M51" s="75">
        <v>21.0</v>
      </c>
      <c r="N51" s="72">
        <f t="shared" si="7"/>
        <v>0.1</v>
      </c>
      <c r="O51" s="76">
        <v>2.1</v>
      </c>
      <c r="P51" s="75">
        <v>21.0</v>
      </c>
      <c r="Q51" s="77">
        <f t="shared" si="8"/>
        <v>0.1</v>
      </c>
      <c r="R51" s="76">
        <v>2.1</v>
      </c>
      <c r="S51" s="75">
        <v>21.0</v>
      </c>
      <c r="T51" s="77">
        <f t="shared" si="9"/>
        <v>0.09523809524</v>
      </c>
      <c r="U51" s="76">
        <v>2.0</v>
      </c>
      <c r="V51" s="75">
        <v>21.0</v>
      </c>
      <c r="W51" s="77">
        <f t="shared" si="10"/>
        <v>0.1</v>
      </c>
      <c r="X51" s="76">
        <v>2.1</v>
      </c>
      <c r="Y51" s="75">
        <v>21.0</v>
      </c>
      <c r="Z51" s="77">
        <f t="shared" si="11"/>
        <v>0.1</v>
      </c>
      <c r="AA51" s="76">
        <v>2.1</v>
      </c>
      <c r="AB51" s="75">
        <v>21.0</v>
      </c>
      <c r="AC51" s="77">
        <f t="shared" si="12"/>
        <v>0.1</v>
      </c>
      <c r="AD51" s="76">
        <v>2.1</v>
      </c>
      <c r="AE51" s="75">
        <v>21.0</v>
      </c>
      <c r="AF51" s="77">
        <f t="shared" si="13"/>
        <v>0.1</v>
      </c>
      <c r="AG51" s="76">
        <v>2.1</v>
      </c>
      <c r="AH51" s="75">
        <v>21.0</v>
      </c>
      <c r="AI51" s="79">
        <v>0.1</v>
      </c>
      <c r="AJ51" s="76">
        <f t="shared" si="14"/>
        <v>2.1</v>
      </c>
      <c r="AK51" s="75">
        <v>0.0</v>
      </c>
      <c r="AL51" s="79"/>
      <c r="AM51" s="76" t="str">
        <f t="shared" si="15"/>
        <v/>
      </c>
      <c r="AN51" s="75">
        <v>0.0</v>
      </c>
      <c r="AO51" s="79"/>
      <c r="AP51" s="76" t="str">
        <f t="shared" si="16"/>
        <v/>
      </c>
      <c r="AQ51" s="75">
        <v>0.0</v>
      </c>
      <c r="AR51" s="79"/>
      <c r="AS51" s="76" t="str">
        <f t="shared" si="17"/>
        <v/>
      </c>
    </row>
    <row r="52">
      <c r="A52" s="69" t="s">
        <v>53</v>
      </c>
      <c r="B52" s="70" t="s">
        <v>92</v>
      </c>
      <c r="C52" s="70" t="s">
        <v>93</v>
      </c>
      <c r="D52" s="71">
        <f t="array" ref="D52">IFERROR(INDEX(Fiis[], MATCH(A52, Fiis[Fii], 0), MATCH(Fiis[[#HEADERS],[QTD]], Fiis[#HEADERS], 0)), "")
</f>
        <v>0</v>
      </c>
      <c r="E52" s="72">
        <f t="array" ref="E52">IFERROR(INDEX(Fiis[], MATCH(A52, Fiis[Fii], 0), MATCH(Fiis[[#HEADERS],[P/M]], Fiis[#HEADERS], 0)), "")
</f>
        <v>0</v>
      </c>
      <c r="F52" s="73">
        <f>IFERROR(__xludf.DUMMYFUNCTION("IFERROR(GOOGLEFINANCE(A52),"""")"),146.45)</f>
        <v>146.45</v>
      </c>
      <c r="G52" s="74" t="str">
        <f t="shared" si="3"/>
        <v/>
      </c>
      <c r="H52" s="74" t="str">
        <f t="shared" si="4"/>
        <v/>
      </c>
      <c r="I52" s="74" t="str">
        <f t="shared" si="5"/>
        <v/>
      </c>
      <c r="J52" s="75"/>
      <c r="K52" s="72" t="str">
        <f t="shared" si="6"/>
        <v/>
      </c>
      <c r="L52" s="76">
        <v>0.0</v>
      </c>
      <c r="M52" s="75"/>
      <c r="N52" s="72" t="str">
        <f t="shared" si="7"/>
        <v/>
      </c>
      <c r="O52" s="76">
        <v>0.0</v>
      </c>
      <c r="P52" s="75"/>
      <c r="Q52" s="77" t="str">
        <f t="shared" si="8"/>
        <v/>
      </c>
      <c r="R52" s="76">
        <v>0.0</v>
      </c>
      <c r="S52" s="78"/>
      <c r="T52" s="77" t="str">
        <f t="shared" si="9"/>
        <v/>
      </c>
      <c r="U52" s="76">
        <v>0.0</v>
      </c>
      <c r="V52" s="78"/>
      <c r="W52" s="77" t="str">
        <f t="shared" si="10"/>
        <v/>
      </c>
      <c r="X52" s="76">
        <v>0.0</v>
      </c>
      <c r="Y52" s="75"/>
      <c r="Z52" s="77" t="str">
        <f t="shared" si="11"/>
        <v/>
      </c>
      <c r="AA52" s="76">
        <v>0.0</v>
      </c>
      <c r="AB52" s="75"/>
      <c r="AC52" s="77" t="str">
        <f t="shared" si="12"/>
        <v/>
      </c>
      <c r="AD52" s="76">
        <v>0.0</v>
      </c>
      <c r="AE52" s="75"/>
      <c r="AF52" s="77" t="str">
        <f t="shared" si="13"/>
        <v/>
      </c>
      <c r="AG52" s="76">
        <v>0.0</v>
      </c>
      <c r="AH52" s="75">
        <v>0.0</v>
      </c>
      <c r="AI52" s="79"/>
      <c r="AJ52" s="76" t="str">
        <f t="shared" si="14"/>
        <v/>
      </c>
      <c r="AK52" s="75">
        <v>0.0</v>
      </c>
      <c r="AL52" s="79"/>
      <c r="AM52" s="76" t="str">
        <f t="shared" si="15"/>
        <v/>
      </c>
      <c r="AN52" s="75">
        <v>0.0</v>
      </c>
      <c r="AO52" s="79"/>
      <c r="AP52" s="76" t="str">
        <f t="shared" si="16"/>
        <v/>
      </c>
      <c r="AQ52" s="75">
        <v>0.0</v>
      </c>
      <c r="AR52" s="79"/>
      <c r="AS52" s="76" t="str">
        <f t="shared" si="17"/>
        <v/>
      </c>
    </row>
    <row r="53">
      <c r="A53" s="69" t="s">
        <v>24</v>
      </c>
      <c r="B53" s="70" t="s">
        <v>116</v>
      </c>
      <c r="C53" s="70" t="s">
        <v>99</v>
      </c>
      <c r="D53" s="71">
        <f t="array" ref="D53">IFERROR(INDEX(Fiis[], MATCH(A53, Fiis[Fii], 0), MATCH(Fiis[[#HEADERS],[QTD]], Fiis[#HEADERS], 0)), "")
</f>
        <v>0</v>
      </c>
      <c r="E53" s="72">
        <f t="array" ref="E53">IFERROR(INDEX(Fiis[], MATCH(A53, Fiis[Fii], 0), MATCH(Fiis[[#HEADERS],[P/M]], Fiis[#HEADERS], 0)), "")
</f>
        <v>0</v>
      </c>
      <c r="F53" s="73">
        <f>IFERROR(__xludf.DUMMYFUNCTION("IFERROR(GOOGLEFINANCE(A53),"""")"),157.0)</f>
        <v>157</v>
      </c>
      <c r="G53" s="74" t="str">
        <f t="shared" si="3"/>
        <v/>
      </c>
      <c r="H53" s="74" t="str">
        <f t="shared" si="4"/>
        <v/>
      </c>
      <c r="I53" s="74" t="str">
        <f t="shared" si="5"/>
        <v/>
      </c>
      <c r="J53" s="75"/>
      <c r="K53" s="72"/>
      <c r="L53" s="73"/>
      <c r="M53" s="89"/>
      <c r="N53" s="73"/>
      <c r="O53" s="73"/>
      <c r="P53" s="89"/>
      <c r="Q53" s="73"/>
      <c r="R53" s="73"/>
      <c r="S53" s="89"/>
      <c r="T53" s="73"/>
      <c r="U53" s="73"/>
      <c r="V53" s="89"/>
      <c r="W53" s="73"/>
      <c r="X53" s="73"/>
      <c r="Y53" s="89"/>
      <c r="Z53" s="73"/>
      <c r="AA53" s="73"/>
      <c r="AB53" s="89"/>
      <c r="AC53" s="73"/>
      <c r="AD53" s="73"/>
      <c r="AE53" s="89"/>
      <c r="AF53" s="73"/>
      <c r="AG53" s="73"/>
      <c r="AH53" s="75">
        <v>0.0</v>
      </c>
      <c r="AI53" s="90"/>
      <c r="AJ53" s="76" t="str">
        <f t="shared" si="14"/>
        <v/>
      </c>
      <c r="AK53" s="75">
        <v>0.0</v>
      </c>
      <c r="AL53" s="90"/>
      <c r="AM53" s="76" t="str">
        <f t="shared" si="15"/>
        <v/>
      </c>
      <c r="AN53" s="75">
        <v>0.0</v>
      </c>
      <c r="AO53" s="90"/>
      <c r="AP53" s="76" t="str">
        <f t="shared" si="16"/>
        <v/>
      </c>
      <c r="AQ53" s="75">
        <v>0.0</v>
      </c>
      <c r="AR53" s="90"/>
      <c r="AS53" s="76" t="str">
        <f t="shared" si="17"/>
        <v/>
      </c>
    </row>
    <row r="54">
      <c r="A54" s="69" t="s">
        <v>54</v>
      </c>
      <c r="B54" s="70" t="s">
        <v>102</v>
      </c>
      <c r="C54" s="70" t="s">
        <v>99</v>
      </c>
      <c r="D54" s="71">
        <f t="array" ref="D54">IFERROR(INDEX(Fiis[], MATCH(A54, Fiis[Fii], 0), MATCH(Fiis[[#HEADERS],[QTD]], Fiis[#HEADERS], 0)), "")
</f>
        <v>2</v>
      </c>
      <c r="E54" s="72">
        <f t="array" ref="E54">IFERROR(INDEX(Fiis[], MATCH(A54, Fiis[Fii], 0), MATCH(Fiis[[#HEADERS],[P/M]], Fiis[#HEADERS], 0)), "")
</f>
        <v>120</v>
      </c>
      <c r="F54" s="73">
        <f>IFERROR(__xludf.DUMMYFUNCTION("IFERROR(GOOGLEFINANCE(A54),"""")"),114.33)</f>
        <v>114.33</v>
      </c>
      <c r="G54" s="74">
        <f t="shared" si="3"/>
        <v>0.095</v>
      </c>
      <c r="H54" s="74">
        <f t="shared" si="4"/>
        <v>-0.04725</v>
      </c>
      <c r="I54" s="74">
        <f t="shared" si="5"/>
        <v>-0.03933333333</v>
      </c>
      <c r="J54" s="75"/>
      <c r="K54" s="72"/>
      <c r="L54" s="73"/>
      <c r="M54" s="89"/>
      <c r="N54" s="73"/>
      <c r="O54" s="73"/>
      <c r="P54" s="89"/>
      <c r="Q54" s="73"/>
      <c r="R54" s="73"/>
      <c r="S54" s="89"/>
      <c r="T54" s="73"/>
      <c r="U54" s="73"/>
      <c r="V54" s="89"/>
      <c r="W54" s="73"/>
      <c r="X54" s="73"/>
      <c r="Y54" s="89"/>
      <c r="Z54" s="73"/>
      <c r="AA54" s="73"/>
      <c r="AB54" s="89"/>
      <c r="AC54" s="73"/>
      <c r="AD54" s="73"/>
      <c r="AE54" s="89"/>
      <c r="AF54" s="73"/>
      <c r="AG54" s="73"/>
      <c r="AH54" s="75">
        <v>2.0</v>
      </c>
      <c r="AI54" s="92">
        <v>0.95</v>
      </c>
      <c r="AJ54" s="76">
        <f t="shared" si="14"/>
        <v>1.9</v>
      </c>
      <c r="AK54" s="75">
        <v>0.0</v>
      </c>
      <c r="AL54" s="90"/>
      <c r="AM54" s="76" t="str">
        <f t="shared" si="15"/>
        <v/>
      </c>
      <c r="AN54" s="75">
        <v>0.0</v>
      </c>
      <c r="AO54" s="90"/>
      <c r="AP54" s="76" t="str">
        <f t="shared" si="16"/>
        <v/>
      </c>
      <c r="AQ54" s="75">
        <v>0.0</v>
      </c>
      <c r="AR54" s="90"/>
      <c r="AS54" s="76" t="str">
        <f t="shared" si="17"/>
        <v/>
      </c>
    </row>
    <row r="55">
      <c r="A55" s="69" t="s">
        <v>56</v>
      </c>
      <c r="B55" s="70" t="s">
        <v>114</v>
      </c>
      <c r="C55" s="70" t="s">
        <v>93</v>
      </c>
      <c r="D55" s="71">
        <f t="array" ref="D55">IFERROR(INDEX(Fiis[], MATCH(A55, Fiis[Fii], 0), MATCH(Fiis[[#HEADERS],[QTD]], Fiis[#HEADERS], 0)), "")
</f>
        <v>0</v>
      </c>
      <c r="E55" s="72">
        <f t="array" ref="E55">IFERROR(INDEX(Fiis[], MATCH(A55, Fiis[Fii], 0), MATCH(Fiis[[#HEADERS],[P/M]], Fiis[#HEADERS], 0)), "")
</f>
        <v>0</v>
      </c>
      <c r="F55" s="73">
        <f>IFERROR(__xludf.DUMMYFUNCTION("IFERROR(GOOGLEFINANCE(A55),"""")"),73.79)</f>
        <v>73.79</v>
      </c>
      <c r="G55" s="74" t="str">
        <f t="shared" si="3"/>
        <v/>
      </c>
      <c r="H55" s="74" t="str">
        <f t="shared" si="4"/>
        <v/>
      </c>
      <c r="I55" s="74" t="str">
        <f t="shared" si="5"/>
        <v/>
      </c>
      <c r="J55" s="75"/>
      <c r="K55" s="72"/>
      <c r="L55" s="73"/>
      <c r="M55" s="89"/>
      <c r="N55" s="73"/>
      <c r="O55" s="73"/>
      <c r="P55" s="89"/>
      <c r="Q55" s="73"/>
      <c r="R55" s="73"/>
      <c r="S55" s="89"/>
      <c r="T55" s="73"/>
      <c r="U55" s="73"/>
      <c r="V55" s="89"/>
      <c r="W55" s="73"/>
      <c r="X55" s="73"/>
      <c r="Y55" s="89"/>
      <c r="Z55" s="73"/>
      <c r="AA55" s="73"/>
      <c r="AB55" s="89"/>
      <c r="AC55" s="73"/>
      <c r="AD55" s="73"/>
      <c r="AE55" s="89"/>
      <c r="AF55" s="73"/>
      <c r="AG55" s="73"/>
      <c r="AH55" s="75">
        <v>0.0</v>
      </c>
      <c r="AI55" s="90"/>
      <c r="AJ55" s="76" t="str">
        <f t="shared" si="14"/>
        <v/>
      </c>
      <c r="AK55" s="75">
        <v>0.0</v>
      </c>
      <c r="AL55" s="90"/>
      <c r="AM55" s="76" t="str">
        <f t="shared" si="15"/>
        <v/>
      </c>
      <c r="AN55" s="75">
        <v>0.0</v>
      </c>
      <c r="AO55" s="90"/>
      <c r="AP55" s="76" t="str">
        <f t="shared" si="16"/>
        <v/>
      </c>
      <c r="AQ55" s="75">
        <v>0.0</v>
      </c>
      <c r="AR55" s="90"/>
      <c r="AS55" s="76" t="str">
        <f t="shared" si="17"/>
        <v/>
      </c>
    </row>
    <row r="56">
      <c r="A56" s="69"/>
      <c r="B56" s="70"/>
      <c r="C56" s="70"/>
      <c r="D56" s="71"/>
      <c r="E56" s="72"/>
      <c r="F56" s="73"/>
      <c r="G56" s="74" t="str">
        <f t="shared" si="3"/>
        <v/>
      </c>
      <c r="H56" s="74" t="str">
        <f t="shared" si="4"/>
        <v/>
      </c>
      <c r="I56" s="74" t="str">
        <f t="shared" si="5"/>
        <v/>
      </c>
      <c r="J56" s="93"/>
      <c r="K56" s="72"/>
      <c r="L56" s="93"/>
      <c r="M56" s="93"/>
      <c r="N56" s="73"/>
      <c r="O56" s="93"/>
      <c r="P56" s="93"/>
      <c r="Q56" s="73"/>
      <c r="R56" s="73"/>
      <c r="S56" s="89"/>
      <c r="T56" s="73"/>
      <c r="U56" s="73"/>
      <c r="V56" s="89"/>
      <c r="W56" s="73"/>
      <c r="X56" s="73"/>
      <c r="Y56" s="89"/>
      <c r="Z56" s="73"/>
      <c r="AA56" s="73"/>
      <c r="AB56" s="89"/>
      <c r="AC56" s="73"/>
      <c r="AD56" s="73"/>
      <c r="AE56" s="89"/>
      <c r="AF56" s="73"/>
      <c r="AG56" s="73"/>
      <c r="AH56" s="94"/>
      <c r="AI56" s="90"/>
      <c r="AJ56" s="90"/>
      <c r="AK56" s="94"/>
      <c r="AL56" s="90"/>
      <c r="AM56" s="90"/>
      <c r="AN56" s="94"/>
      <c r="AO56" s="90"/>
      <c r="AP56" s="90"/>
      <c r="AQ56" s="94"/>
      <c r="AR56" s="90"/>
      <c r="AS56" s="90"/>
    </row>
    <row r="57">
      <c r="A57" s="69"/>
      <c r="B57" s="70"/>
      <c r="C57" s="70"/>
      <c r="D57" s="71"/>
      <c r="E57" s="72"/>
      <c r="F57" s="73"/>
      <c r="G57" s="74"/>
      <c r="H57" s="74"/>
      <c r="I57" s="74"/>
      <c r="J57" s="75"/>
      <c r="K57" s="95"/>
      <c r="L57" s="75"/>
      <c r="M57" s="75"/>
      <c r="N57" s="73"/>
      <c r="O57" s="75"/>
      <c r="P57" s="75"/>
      <c r="Q57" s="73"/>
      <c r="R57" s="73"/>
      <c r="S57" s="89"/>
      <c r="T57" s="73"/>
      <c r="U57" s="73"/>
      <c r="V57" s="89"/>
      <c r="W57" s="73"/>
      <c r="X57" s="73"/>
      <c r="Y57" s="89"/>
      <c r="Z57" s="73"/>
      <c r="AA57" s="73"/>
      <c r="AB57" s="89"/>
      <c r="AC57" s="73"/>
      <c r="AD57" s="73"/>
      <c r="AE57" s="89"/>
      <c r="AF57" s="73"/>
      <c r="AG57" s="73"/>
      <c r="AH57" s="94"/>
      <c r="AI57" s="90"/>
      <c r="AJ57" s="90"/>
      <c r="AK57" s="94"/>
      <c r="AL57" s="90"/>
      <c r="AM57" s="90"/>
      <c r="AN57" s="94"/>
      <c r="AO57" s="90"/>
      <c r="AP57" s="90"/>
      <c r="AQ57" s="94"/>
      <c r="AR57" s="90"/>
      <c r="AS57" s="90"/>
    </row>
    <row r="58">
      <c r="A58" s="96"/>
      <c r="B58" s="96"/>
      <c r="C58" s="96"/>
      <c r="D58" s="97"/>
      <c r="E58" s="98"/>
      <c r="F58" s="98"/>
      <c r="G58" s="96"/>
      <c r="H58" s="99"/>
      <c r="I58" s="100" t="s">
        <v>119</v>
      </c>
      <c r="J58" s="101"/>
      <c r="K58" s="102">
        <f>SUMPRODUCT(J42:J57,K42:K57)</f>
        <v>28.33</v>
      </c>
      <c r="L58" s="103"/>
      <c r="M58" s="75"/>
      <c r="N58" s="104">
        <f>SUMPRODUCT(M42:M57,N42:N57)</f>
        <v>30.78</v>
      </c>
      <c r="O58" s="75"/>
      <c r="P58" s="75"/>
      <c r="Q58" s="104">
        <f>SUMPRODUCT(P42:P57,Q42:Q57)</f>
        <v>32.83</v>
      </c>
      <c r="R58" s="105"/>
      <c r="S58" s="106"/>
      <c r="T58" s="104">
        <f>SUMPRODUCT(S42:S57,T42:T57)</f>
        <v>36.56</v>
      </c>
      <c r="U58" s="105"/>
      <c r="V58" s="106"/>
      <c r="W58" s="104">
        <f>SUMPRODUCT(V42:V57,W42:W57)</f>
        <v>38.24</v>
      </c>
      <c r="X58" s="105"/>
      <c r="Y58" s="106"/>
      <c r="Z58" s="104">
        <f>SUMPRODUCT(Y42:Y57,Z42:Z57)</f>
        <v>39.24</v>
      </c>
      <c r="AA58" s="105"/>
      <c r="AB58" s="106"/>
      <c r="AC58" s="104">
        <f>SUMPRODUCT(AB42:AB57,AC42:AC57)</f>
        <v>46.43</v>
      </c>
      <c r="AD58" s="105"/>
      <c r="AE58" s="106"/>
      <c r="AF58" s="104">
        <f>SUMPRODUCT(AE42:AE57,AF42:AF57)</f>
        <v>50.4</v>
      </c>
      <c r="AG58" s="105"/>
      <c r="AH58" s="107"/>
      <c r="AI58" s="108">
        <f>SUMPRODUCT(AH42:AH57,AI42:AI57)</f>
        <v>49.35</v>
      </c>
      <c r="AJ58" s="107"/>
      <c r="AK58" s="107"/>
      <c r="AL58" s="108">
        <f>SUMPRODUCT(AK42:AK57,AL42:AL57)</f>
        <v>0</v>
      </c>
      <c r="AM58" s="107"/>
      <c r="AN58" s="107"/>
      <c r="AO58" s="108">
        <f>SUMPRODUCT(AN42:AN57,AO42:AO57)</f>
        <v>0</v>
      </c>
      <c r="AP58" s="107"/>
      <c r="AQ58" s="107"/>
      <c r="AR58" s="108">
        <f>SUMPRODUCT(AQ42:AQ57,AR42:AR57)</f>
        <v>0</v>
      </c>
      <c r="AS58" s="107"/>
    </row>
    <row r="59">
      <c r="A59" s="96"/>
      <c r="B59" s="96"/>
      <c r="C59" s="96"/>
      <c r="D59" s="97"/>
      <c r="E59" s="98"/>
      <c r="F59" s="98"/>
      <c r="G59" s="96"/>
      <c r="H59" s="99"/>
      <c r="I59" s="109" t="s">
        <v>120</v>
      </c>
      <c r="J59" s="101"/>
      <c r="K59" s="110">
        <f>IFERROR(K58/SUMPRODUCT(J42:J57,$E42:$E57),"")</f>
        <v>0.00894624987</v>
      </c>
      <c r="L59" s="103"/>
      <c r="M59" s="75"/>
      <c r="N59" s="111">
        <f>IFERROR(N58/SUMPRODUCT(M42:M57,$E42:$E57),"")</f>
        <v>0.00884320125</v>
      </c>
      <c r="O59" s="75"/>
      <c r="P59" s="75"/>
      <c r="Q59" s="111">
        <f>IFERROR(Q58/SUMPRODUCT(P42:P57,$E42:$E57),"")</f>
        <v>0.008990973424</v>
      </c>
      <c r="R59" s="105"/>
      <c r="S59" s="106"/>
      <c r="T59" s="111">
        <f>IFERROR(T58/SUMPRODUCT(S42:S57,$E42:$E57),"")</f>
        <v>0.009053247258</v>
      </c>
      <c r="U59" s="105"/>
      <c r="V59" s="106"/>
      <c r="W59" s="111">
        <f>IFERROR(W58/SUMPRODUCT(V42:V57,$E42:$E57),"")</f>
        <v>0.009124618813</v>
      </c>
      <c r="X59" s="105"/>
      <c r="Y59" s="106"/>
      <c r="Z59" s="111">
        <f>IFERROR(Z58/SUMPRODUCT(Y42:Y57,$E42:$E57),"")</f>
        <v>0.009144806757</v>
      </c>
      <c r="AA59" s="105"/>
      <c r="AB59" s="106"/>
      <c r="AC59" s="111">
        <f>IFERROR(AC58/SUMPRODUCT(AB42:AB57,$E42:$E57),"")</f>
        <v>0.009118099319</v>
      </c>
      <c r="AD59" s="105"/>
      <c r="AE59" s="106"/>
      <c r="AF59" s="111">
        <f>IFERROR(AF58/SUMPRODUCT(AE42:AE57,$E42:$E57),"")</f>
        <v>0.009029215963</v>
      </c>
      <c r="AG59" s="105"/>
      <c r="AH59" s="107"/>
      <c r="AI59" s="112">
        <f>IFERROR(AI58/SUMPRODUCT(AH42:AH57,$E42:$E57),"")</f>
        <v>0.009085787509</v>
      </c>
      <c r="AJ59" s="107"/>
      <c r="AK59" s="107"/>
      <c r="AL59" s="112" t="str">
        <f>IFERROR(AL58/SUMPRODUCT(AK42:AK57,$E42:$E57),"")</f>
        <v/>
      </c>
      <c r="AM59" s="107"/>
      <c r="AN59" s="107"/>
      <c r="AO59" s="112" t="str">
        <f>IFERROR(AO58/SUMPRODUCT(AN42:AN57,$E42:$E57),"")</f>
        <v/>
      </c>
      <c r="AP59" s="107"/>
      <c r="AQ59" s="107"/>
      <c r="AR59" s="112" t="str">
        <f>IFERROR(AR58/SUMPRODUCT(AQ42:AQ57,$E42:$E57),"")</f>
        <v/>
      </c>
      <c r="AS59" s="107"/>
    </row>
    <row r="60">
      <c r="A60" s="96"/>
      <c r="B60" s="96"/>
      <c r="C60" s="96"/>
      <c r="D60" s="97"/>
      <c r="E60" s="98"/>
      <c r="F60" s="98"/>
      <c r="G60" s="96"/>
      <c r="H60" s="99"/>
      <c r="I60" s="109" t="s">
        <v>122</v>
      </c>
      <c r="J60" s="101"/>
      <c r="K60" s="110">
        <f>IF(K59="","",K59*12)</f>
        <v>0.1073549984</v>
      </c>
      <c r="L60" s="103"/>
      <c r="M60" s="75"/>
      <c r="N60" s="111">
        <f>IF(N59="","",N59*12)</f>
        <v>0.106118415</v>
      </c>
      <c r="O60" s="75"/>
      <c r="P60" s="75"/>
      <c r="Q60" s="111">
        <f>IF(Q59="","",Q59*12)</f>
        <v>0.1078916811</v>
      </c>
      <c r="R60" s="105"/>
      <c r="S60" s="106"/>
      <c r="T60" s="111">
        <f>IF(T59="","",T59*12)</f>
        <v>0.1086389671</v>
      </c>
      <c r="U60" s="105"/>
      <c r="V60" s="106"/>
      <c r="W60" s="111">
        <f>IF(W59="","",W59*12)</f>
        <v>0.1094954258</v>
      </c>
      <c r="X60" s="105"/>
      <c r="Y60" s="106"/>
      <c r="Z60" s="111">
        <f>IF(Z59="","",Z59*12)</f>
        <v>0.1097376811</v>
      </c>
      <c r="AA60" s="105"/>
      <c r="AB60" s="106"/>
      <c r="AC60" s="111">
        <f>IF(AC59="","",AC59*12)</f>
        <v>0.1094171918</v>
      </c>
      <c r="AD60" s="105"/>
      <c r="AE60" s="106"/>
      <c r="AF60" s="111">
        <f>IF(AF59="","",AF59*12)</f>
        <v>0.1083505916</v>
      </c>
      <c r="AG60" s="105"/>
      <c r="AH60" s="107"/>
      <c r="AI60" s="112">
        <f>IF(AI59="","",AI59*12)</f>
        <v>0.1090294501</v>
      </c>
      <c r="AJ60" s="107"/>
      <c r="AK60" s="107"/>
      <c r="AL60" s="112" t="str">
        <f>IF(AL59="","",AL59*12)</f>
        <v/>
      </c>
      <c r="AM60" s="107"/>
      <c r="AN60" s="107"/>
      <c r="AO60" s="112" t="str">
        <f>IF(AO59="","",AO59*12)</f>
        <v/>
      </c>
      <c r="AP60" s="107"/>
      <c r="AQ60" s="107"/>
      <c r="AR60" s="112" t="str">
        <f>IF(AR59="","",AR59*12)</f>
        <v/>
      </c>
      <c r="AS60" s="107"/>
    </row>
  </sheetData>
  <mergeCells count="28">
    <mergeCell ref="Y40:AA40"/>
    <mergeCell ref="AB40:AD40"/>
    <mergeCell ref="AE40:AG40"/>
    <mergeCell ref="AH40:AJ40"/>
    <mergeCell ref="AK40:AM40"/>
    <mergeCell ref="AN40:AP40"/>
    <mergeCell ref="AQ40:AS40"/>
    <mergeCell ref="B11:C11"/>
    <mergeCell ref="B40:C40"/>
    <mergeCell ref="J40:L40"/>
    <mergeCell ref="M40:O40"/>
    <mergeCell ref="P40:R40"/>
    <mergeCell ref="S40:U40"/>
    <mergeCell ref="V40:X40"/>
    <mergeCell ref="Y41:AA41"/>
    <mergeCell ref="AB41:AD41"/>
    <mergeCell ref="AE41:AG41"/>
    <mergeCell ref="AH41:AJ41"/>
    <mergeCell ref="AK41:AM41"/>
    <mergeCell ref="AN41:AP41"/>
    <mergeCell ref="AQ41:AS41"/>
    <mergeCell ref="B41:C41"/>
    <mergeCell ref="G41:H41"/>
    <mergeCell ref="J41:L41"/>
    <mergeCell ref="M41:O41"/>
    <mergeCell ref="P41:R41"/>
    <mergeCell ref="S41:U41"/>
    <mergeCell ref="V41:X41"/>
  </mergeCells>
  <conditionalFormatting sqref="A43:A57">
    <cfRule type="expression" dxfId="5" priority="1">
      <formula>AND($D43="RZTR11", VALUE(SUBSTITUTE($E43,"%","")) &gt; VALUE(SUBSTITUTE($G43,"%",""))*2)</formula>
    </cfRule>
  </conditionalFormatting>
  <conditionalFormatting sqref="A43:A57">
    <cfRule type="expression" dxfId="5" priority="2">
      <formula>AND($D43="BRCO11", VALUE(SUBSTITUTE($E43,"%","")) &gt; VALUE(SUBSTITUTE($G43,"%",""))*2)</formula>
    </cfRule>
  </conditionalFormatting>
  <conditionalFormatting sqref="A43:A57">
    <cfRule type="expression" dxfId="5" priority="3">
      <formula>AND($D43="BTLG11", VALUE(SUBSTITUTE($E43,"%","")) &gt; VALUE(SUBSTITUTE($G43,"%",""))*2)</formula>
    </cfRule>
  </conditionalFormatting>
  <conditionalFormatting sqref="A43:A57">
    <cfRule type="expression" dxfId="5" priority="4">
      <formula>AND($D43="XPLG11", VALUE(SUBSTITUTE($E43,"%","")) &gt; VALUE(SUBSTITUTE($G43,"%",""))*2)</formula>
    </cfRule>
  </conditionalFormatting>
  <conditionalFormatting sqref="A43:A57">
    <cfRule type="expression" dxfId="5" priority="5">
      <formula>AND($D43="GGRC11", VALUE(SUBSTITUTE($E43,"%","")) &gt; VALUE(SUBSTITUTE($G43,"%",""))*2)</formula>
    </cfRule>
  </conditionalFormatting>
  <conditionalFormatting sqref="A43:A57">
    <cfRule type="expression" dxfId="5" priority="6">
      <formula>AND($D43="GARE11", VALUE(SUBSTITUTE($E43,"%","")) &gt; VALUE(SUBSTITUTE($G43,"%",""))*2)</formula>
    </cfRule>
  </conditionalFormatting>
  <conditionalFormatting sqref="A43:A57">
    <cfRule type="expression" dxfId="5" priority="7">
      <formula>AND($D43="HGLG11", VALUE(SUBSTITUTE($E43,"%","")) &gt; VALUE(SUBSTITUTE($G43,"%",""))*2)</formula>
    </cfRule>
  </conditionalFormatting>
  <conditionalFormatting sqref="A43:A57">
    <cfRule type="expression" dxfId="5" priority="8">
      <formula>AND($D43="HGBS11", VALUE(SUBSTITUTE($E43,"%","")) &gt; VALUE(SUBSTITUTE($G43,"%",""))*2)</formula>
    </cfRule>
  </conditionalFormatting>
  <conditionalFormatting sqref="A43:A57">
    <cfRule type="expression" dxfId="5" priority="9">
      <formula>AND($D43="PMLL11", VALUE(SUBSTITUTE($E43,"%","")) &gt; VALUE(SUBSTITUTE($G43,"%",""))*2)</formula>
    </cfRule>
  </conditionalFormatting>
  <conditionalFormatting sqref="A43:A57">
    <cfRule type="expression" dxfId="5" priority="10">
      <formula>AND($D43="LVBI11", VALUE(SUBSTITUTE($E43,"%","")) &gt; VALUE(SUBSTITUTE($G43,"%",""))*2)</formula>
    </cfRule>
  </conditionalFormatting>
  <conditionalFormatting sqref="A43:A57">
    <cfRule type="expression" dxfId="5" priority="11">
      <formula>AND($D43="RBRF11", VALUE(SUBSTITUTE($E43,"%","")) &gt; VALUE(SUBSTITUTE($G43,"%",""))*2)</formula>
    </cfRule>
  </conditionalFormatting>
  <conditionalFormatting sqref="A43:A57">
    <cfRule type="expression" dxfId="5" priority="12">
      <formula>AND($D43="BTCI11", VALUE(SUBSTITUTE($E43,"%","")) &gt; VALUE(SUBSTITUTE($G43,"%",""))*2)</formula>
    </cfRule>
  </conditionalFormatting>
  <conditionalFormatting sqref="A43:A57">
    <cfRule type="expression" dxfId="5" priority="13">
      <formula>AND($D43="RBRX11", VALUE(SUBSTITUTE($E43,"%","")) &gt; VALUE(SUBSTITUTE($G43,"%",""))*2)</formula>
    </cfRule>
  </conditionalFormatting>
  <conditionalFormatting sqref="A43:A57">
    <cfRule type="expression" dxfId="5" priority="14">
      <formula>AND($D43="MXRF11", VALUE(SUBSTITUTE($E43,"%","")) &gt; VALUE(SUBSTITUTE($G43,"%",""))*2)</formula>
    </cfRule>
  </conditionalFormatting>
  <conditionalFormatting sqref="A43:A57">
    <cfRule type="expression" dxfId="5" priority="15">
      <formula>AND($D43="RECR11", VALUE(SUBSTITUTE($E43,"%","")) &gt; VALUE(SUBSTITUTE($G43,"%",""))*2)</formula>
    </cfRule>
  </conditionalFormatting>
  <conditionalFormatting sqref="A43:A57">
    <cfRule type="expression" dxfId="6" priority="16">
      <formula>AND($D43="RZTR11", VALUE(SUBSTITUTE($E43,"%","")) &gt; VALUE(SUBSTITUTE($G43,"%","")))</formula>
    </cfRule>
  </conditionalFormatting>
  <conditionalFormatting sqref="A43:A57">
    <cfRule type="expression" dxfId="6" priority="17">
      <formula>AND($D43="BRCO11", VALUE(SUBSTITUTE($E43,"%","")) &gt; VALUE(SUBSTITUTE($G43,"%","")))</formula>
    </cfRule>
  </conditionalFormatting>
  <conditionalFormatting sqref="A43:A57">
    <cfRule type="expression" dxfId="6" priority="18">
      <formula>AND($D43="BTLG11", VALUE(SUBSTITUTE($E43,"%","")) &gt; VALUE(SUBSTITUTE($G43,"%","")))</formula>
    </cfRule>
  </conditionalFormatting>
  <conditionalFormatting sqref="A43:A57">
    <cfRule type="expression" dxfId="6" priority="19">
      <formula>AND($D43="XPLG11", VALUE(SUBSTITUTE($E43,"%","")) &gt; VALUE(SUBSTITUTE($G43,"%","")))</formula>
    </cfRule>
  </conditionalFormatting>
  <conditionalFormatting sqref="A43:A57">
    <cfRule type="expression" dxfId="6" priority="20">
      <formula>AND($D43="GGRC11", VALUE(SUBSTITUTE($E43,"%","")) &gt; VALUE(SUBSTITUTE($G43,"%","")))</formula>
    </cfRule>
  </conditionalFormatting>
  <conditionalFormatting sqref="A43:A57">
    <cfRule type="expression" dxfId="6" priority="21">
      <formula>AND($D43="GARE11", VALUE(SUBSTITUTE($E43,"%","")) &gt; VALUE(SUBSTITUTE($G43,"%","")))</formula>
    </cfRule>
  </conditionalFormatting>
  <conditionalFormatting sqref="A43:A57">
    <cfRule type="expression" dxfId="6" priority="22">
      <formula>AND($D43="HGBS11", VALUE(SUBSTITUTE($E43,"%","")) &gt; VALUE(SUBSTITUTE($G43,"%","")))</formula>
    </cfRule>
  </conditionalFormatting>
  <conditionalFormatting sqref="A43:A57">
    <cfRule type="expression" dxfId="6" priority="23">
      <formula>AND($D43="PMLL11", VALUE(SUBSTITUTE($E43,"%","")) &gt; VALUE(SUBSTITUTE($G43,"%","")))</formula>
    </cfRule>
  </conditionalFormatting>
  <conditionalFormatting sqref="A43:A57">
    <cfRule type="expression" dxfId="6" priority="24">
      <formula>AND($D43="LVBI11", VALUE(SUBSTITUTE($E43,"%","")) &gt; VALUE(SUBSTITUTE($G43,"%","")))</formula>
    </cfRule>
  </conditionalFormatting>
  <conditionalFormatting sqref="A43:A57">
    <cfRule type="expression" dxfId="6" priority="25">
      <formula>AND($D43="RBRF11", VALUE(SUBSTITUTE($E43,"%","")) &gt; VALUE(SUBSTITUTE($G43,"%","")))</formula>
    </cfRule>
  </conditionalFormatting>
  <conditionalFormatting sqref="A43:A57">
    <cfRule type="expression" dxfId="6" priority="26">
      <formula>AND($D43="BTCI11", VALUE(SUBSTITUTE($E43,"%","")) &gt; VALUE(SUBSTITUTE($G43,"%","")))</formula>
    </cfRule>
  </conditionalFormatting>
  <conditionalFormatting sqref="A43:A57">
    <cfRule type="expression" dxfId="6" priority="27">
      <formula>AND($D43="RBRX11", VALUE(SUBSTITUTE($E43,"%","")) &gt; VALUE(SUBSTITUTE($G43,"%","")))</formula>
    </cfRule>
  </conditionalFormatting>
  <conditionalFormatting sqref="A43:A57">
    <cfRule type="expression" dxfId="6" priority="28">
      <formula>AND($D43="RECR11", VALUE(SUBSTITUTE($E43,"%","")) &gt; VALUE(SUBSTITUTE($G43,"%","")))</formula>
    </cfRule>
  </conditionalFormatting>
  <conditionalFormatting sqref="A43:A57">
    <cfRule type="expression" dxfId="6" priority="29">
      <formula>AND($D43="MXRF11", VALUE(SUBSTITUTE($E43,"%","")) &gt; VALUE(SUBSTITUTE($G43,"%","")))</formula>
    </cfRule>
  </conditionalFormatting>
  <conditionalFormatting sqref="A43:A57">
    <cfRule type="expression" dxfId="6" priority="30">
      <formula>AND($D43="HGLG11", VALUE(SUBSTITUTE($E43,"%","")) &gt; VALUE(SUBSTITUTE($G43,"%","")))</formula>
    </cfRule>
  </conditionalFormatting>
  <conditionalFormatting sqref="A43:A57">
    <cfRule type="expression" dxfId="7" priority="31">
      <formula>AND($D43="RZTR11", VALUE(SUBSTITUTE($E43,"%","")) &lt; VALUE(SUBSTITUTE($G43,"%","")))</formula>
    </cfRule>
  </conditionalFormatting>
  <conditionalFormatting sqref="A43:A57">
    <cfRule type="expression" dxfId="7" priority="32">
      <formula>AND($D43="BRCO11", VALUE(SUBSTITUTE($E43,"%","")) &lt; VALUE(SUBSTITUTE($G43,"%","")))</formula>
    </cfRule>
  </conditionalFormatting>
  <conditionalFormatting sqref="A43:A57">
    <cfRule type="expression" dxfId="7" priority="33">
      <formula>AND($D43="BTLG11", VALUE(SUBSTITUTE($E43,"%","")) &lt; VALUE(SUBSTITUTE($G43,"%","")))</formula>
    </cfRule>
  </conditionalFormatting>
  <conditionalFormatting sqref="A43:A57">
    <cfRule type="expression" dxfId="7" priority="34">
      <formula>AND($D43="XPLG11", VALUE(SUBSTITUTE($E43,"%","")) &lt; VALUE(SUBSTITUTE($G43,"%","")))</formula>
    </cfRule>
  </conditionalFormatting>
  <conditionalFormatting sqref="A43:A57">
    <cfRule type="expression" dxfId="7" priority="35">
      <formula>AND($D43="GGRC11", VALUE(SUBSTITUTE($E43,"%","")) &lt; VALUE(SUBSTITUTE($G43,"%","")))</formula>
    </cfRule>
  </conditionalFormatting>
  <conditionalFormatting sqref="A43:A57">
    <cfRule type="expression" dxfId="7" priority="36">
      <formula>AND($D43="GARE11", VALUE(SUBSTITUTE($E43,"%","")) &lt; VALUE(SUBSTITUTE($G43,"%","")))</formula>
    </cfRule>
  </conditionalFormatting>
  <conditionalFormatting sqref="A43:A57">
    <cfRule type="expression" dxfId="7" priority="37">
      <formula>AND($D43="HGLG11", VALUE(SUBSTITUTE($E43,"%","")) &lt; VALUE(SUBSTITUTE($G43,"%","")))</formula>
    </cfRule>
  </conditionalFormatting>
  <conditionalFormatting sqref="A43:A57">
    <cfRule type="expression" dxfId="7" priority="38">
      <formula>AND($D43="HGBS11", VALUE(SUBSTITUTE($E43,"%","")) &lt; VALUE(SUBSTITUTE($G43,"%","")))</formula>
    </cfRule>
  </conditionalFormatting>
  <conditionalFormatting sqref="A43:A57">
    <cfRule type="expression" dxfId="7" priority="39">
      <formula>AND($D43="PMLL11", VALUE(SUBSTITUTE($E43,"%","")) &lt; VALUE(SUBSTITUTE($G43,"%","")))</formula>
    </cfRule>
  </conditionalFormatting>
  <conditionalFormatting sqref="A43:A57">
    <cfRule type="expression" dxfId="7" priority="40">
      <formula>AND($D43="LVBI11", VALUE(SUBSTITUTE($E43,"%","")) &lt; VALUE(SUBSTITUTE($G43,"%","")))</formula>
    </cfRule>
  </conditionalFormatting>
  <conditionalFormatting sqref="A43:A57">
    <cfRule type="expression" dxfId="7" priority="41">
      <formula>AND($D43="RBRF11", VALUE(SUBSTITUTE($E43,"%","")) &lt; VALUE(SUBSTITUTE($G43,"%","")))</formula>
    </cfRule>
  </conditionalFormatting>
  <conditionalFormatting sqref="A43:A57">
    <cfRule type="expression" dxfId="7" priority="42">
      <formula>AND($D43="BTCI11", VALUE(SUBSTITUTE($E43,"%","")) &lt; VALUE(SUBSTITUTE($G43,"%","")))</formula>
    </cfRule>
  </conditionalFormatting>
  <conditionalFormatting sqref="A43:A57">
    <cfRule type="expression" dxfId="7" priority="43">
      <formula>AND($D43="RBRX11", VALUE(SUBSTITUTE($E43,"%","")) &lt; VALUE(SUBSTITUTE($G43,"%","")))</formula>
    </cfRule>
  </conditionalFormatting>
  <conditionalFormatting sqref="A43:A57">
    <cfRule type="expression" dxfId="7" priority="44">
      <formula>AND($D43="MXRF11", VALUE(SUBSTITUTE($E43,"%","")) &lt; VALUE(SUBSTITUTE($G43,"%","")))</formula>
    </cfRule>
  </conditionalFormatting>
  <conditionalFormatting sqref="A43:A57">
    <cfRule type="expression" dxfId="7" priority="45">
      <formula>AND($D43="RECR11", VALUE(SUBSTITUTE($E43,"%","")) &lt; VALUE(SUBSTITUTE($G43,"%","")))</formula>
    </cfRule>
  </conditionalFormatting>
  <conditionalFormatting sqref="H43:I57">
    <cfRule type="cellIs" dxfId="8" priority="46" operator="greaterThan">
      <formula>0</formula>
    </cfRule>
  </conditionalFormatting>
  <conditionalFormatting sqref="H43:I57">
    <cfRule type="cellIs" dxfId="9" priority="47" operator="lessThanOrEqual">
      <formula>0</formula>
    </cfRule>
  </conditionalFormatting>
  <conditionalFormatting sqref="P12:Z23 O22:O23">
    <cfRule type="notContainsBlanks" dxfId="10" priority="48">
      <formula>LEN(TRIM(P12))&gt;0</formula>
    </cfRule>
  </conditionalFormatting>
  <dataValidations>
    <dataValidation type="list" allowBlank="1" showErrorMessage="1" sqref="J40 M40 P40 S40 V40 Y40 AB40 AE40 AH40 AK40 AN40 AQ40">
      <formula1>"Feito,Não,Atual"</formula1>
    </dataValidation>
    <dataValidation type="custom" allowBlank="1" showDropDown="1" sqref="B3:C3 F3 H3 B7 D7:F7">
      <formula1>AND(ISNUMBER(B3),(NOT(OR(NOT(ISERROR(DATEVALUE(B3))), AND(ISNUMBER(B3), LEFT(CELL("format", B3))="D")))))</formula1>
    </dataValidation>
    <dataValidation type="list" allowBlank="1" sqref="C43:C55">
      <formula1>"Ancoragem,Oportunidade,Risco"</formula1>
    </dataValidation>
    <dataValidation type="list" allowBlank="1" showErrorMessage="1" sqref="B43:B55">
      <formula1>"Logística,Lajes Corporativas,Shoppings,Terras Agrícolas,CRI,FIAgro,Desenvolvimento,Educação,FoF,Hotel,Renda Urbana,Hedge,Log/Laje"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1.13"/>
    <col customWidth="1" min="4" max="4" width="16.75"/>
    <col customWidth="1" min="5" max="5" width="17.0"/>
    <col customWidth="1" min="6" max="6" width="23.75"/>
    <col customWidth="1" min="7" max="7" width="21.5"/>
    <col customWidth="1" min="8" max="8" width="20.75"/>
    <col customWidth="1" min="9" max="9" width="24.63"/>
    <col customWidth="1" min="10" max="10" width="26.13"/>
    <col customWidth="1" min="11" max="11" width="24.25"/>
    <col customWidth="1" min="12" max="12" width="25.25"/>
    <col customWidth="1" min="13" max="13" width="25.5"/>
    <col customWidth="1" min="14" max="14" width="23.5"/>
    <col customWidth="1" min="15" max="19" width="14.75"/>
  </cols>
  <sheetData>
    <row r="2" ht="22.5" customHeight="1">
      <c r="A2" s="7"/>
      <c r="B2" s="1" t="s">
        <v>17</v>
      </c>
      <c r="C2" s="1" t="s">
        <v>18</v>
      </c>
      <c r="D2" s="1" t="s">
        <v>19</v>
      </c>
      <c r="F2" s="11" t="s">
        <v>20</v>
      </c>
      <c r="G2" s="11" t="s">
        <v>21</v>
      </c>
      <c r="I2" s="11" t="s">
        <v>20</v>
      </c>
      <c r="J2" s="11" t="s">
        <v>21</v>
      </c>
      <c r="L2" s="11" t="s">
        <v>20</v>
      </c>
      <c r="M2" s="11" t="s">
        <v>21</v>
      </c>
      <c r="O2" s="11" t="s">
        <v>20</v>
      </c>
      <c r="P2" s="11" t="s">
        <v>21</v>
      </c>
    </row>
    <row r="3" ht="22.5" customHeight="1">
      <c r="A3" s="16"/>
      <c r="B3" s="17" t="s">
        <v>24</v>
      </c>
      <c r="C3" s="19">
        <f>IFERROR(G6/D3,0)</f>
        <v>12.125</v>
      </c>
      <c r="D3" s="17">
        <v>2.0</v>
      </c>
      <c r="F3" s="17" t="s">
        <v>27</v>
      </c>
      <c r="G3" s="20"/>
      <c r="I3" s="17" t="s">
        <v>27</v>
      </c>
      <c r="J3" s="17">
        <v>9.18</v>
      </c>
      <c r="L3" s="17" t="s">
        <v>27</v>
      </c>
      <c r="O3" s="17" t="s">
        <v>27</v>
      </c>
    </row>
    <row r="4" ht="22.5" customHeight="1">
      <c r="A4" s="16"/>
      <c r="B4" s="17" t="s">
        <v>29</v>
      </c>
      <c r="C4" s="19">
        <f>IFERROR(G13/D4,0)</f>
        <v>9.976666667</v>
      </c>
      <c r="D4" s="17">
        <v>3.0</v>
      </c>
      <c r="F4" s="17" t="s">
        <v>30</v>
      </c>
      <c r="G4" s="9">
        <v>12.0</v>
      </c>
      <c r="I4" s="17" t="s">
        <v>30</v>
      </c>
      <c r="J4" s="17">
        <v>9.36</v>
      </c>
      <c r="L4" s="17" t="s">
        <v>30</v>
      </c>
      <c r="O4" s="17" t="s">
        <v>30</v>
      </c>
      <c r="P4" s="17">
        <v>1.09</v>
      </c>
    </row>
    <row r="5" ht="22.5" customHeight="1">
      <c r="A5" s="16"/>
      <c r="B5" s="17" t="s">
        <v>32</v>
      </c>
      <c r="C5" s="19">
        <f>IFERROR(J6/D5,0)</f>
        <v>9.46</v>
      </c>
      <c r="D5" s="17">
        <v>3.0</v>
      </c>
      <c r="F5" s="17" t="s">
        <v>38</v>
      </c>
      <c r="G5" s="9">
        <v>12.25</v>
      </c>
      <c r="I5" s="17" t="s">
        <v>38</v>
      </c>
      <c r="J5" s="17">
        <v>9.84</v>
      </c>
      <c r="L5" s="17" t="s">
        <v>38</v>
      </c>
      <c r="M5" s="17">
        <v>1.86</v>
      </c>
      <c r="O5" s="17" t="s">
        <v>38</v>
      </c>
      <c r="P5" s="17">
        <v>1.13</v>
      </c>
    </row>
    <row r="6" ht="22.5" customHeight="1">
      <c r="A6" s="16"/>
      <c r="B6" s="17" t="s">
        <v>40</v>
      </c>
      <c r="C6" s="19">
        <f>IFERROR(J13/D6,0)</f>
        <v>9.253333333</v>
      </c>
      <c r="D6" s="17">
        <v>3.0</v>
      </c>
      <c r="F6" s="17" t="s">
        <v>41</v>
      </c>
      <c r="G6" s="20">
        <f>SUM(G4:G5)</f>
        <v>24.25</v>
      </c>
      <c r="I6" s="17" t="s">
        <v>41</v>
      </c>
      <c r="J6" s="20">
        <f>SUM(J3:J5)</f>
        <v>28.38</v>
      </c>
      <c r="L6" s="17" t="s">
        <v>41</v>
      </c>
      <c r="M6" s="20">
        <f>SUM(M3:M5)</f>
        <v>1.86</v>
      </c>
      <c r="O6" s="17" t="s">
        <v>41</v>
      </c>
      <c r="P6" s="20">
        <f>SUM(P3:P5)</f>
        <v>2.22</v>
      </c>
    </row>
    <row r="7" ht="22.5" customHeight="1">
      <c r="A7" s="16"/>
      <c r="B7" s="17" t="s">
        <v>42</v>
      </c>
      <c r="C7" s="19">
        <f>IFERROR(M6/D7,0)</f>
        <v>1.86</v>
      </c>
      <c r="D7" s="17">
        <v>1.0</v>
      </c>
    </row>
    <row r="8" ht="22.5" customHeight="1">
      <c r="A8" s="16"/>
      <c r="B8" s="17" t="s">
        <v>44</v>
      </c>
      <c r="C8" s="19">
        <f>IFERROR(M13/D8,0)</f>
        <v>1.16</v>
      </c>
      <c r="D8" s="17">
        <v>2.0</v>
      </c>
    </row>
    <row r="9" ht="22.5" customHeight="1">
      <c r="A9" s="16"/>
      <c r="B9" s="17" t="s">
        <v>45</v>
      </c>
      <c r="C9" s="19">
        <f>IFERROR(P6/D9,0)</f>
        <v>1.11</v>
      </c>
      <c r="D9" s="17">
        <v>2.0</v>
      </c>
      <c r="F9" s="11" t="s">
        <v>20</v>
      </c>
      <c r="G9" s="11" t="s">
        <v>21</v>
      </c>
      <c r="I9" s="11" t="s">
        <v>20</v>
      </c>
      <c r="J9" s="11" t="s">
        <v>21</v>
      </c>
      <c r="L9" s="11" t="s">
        <v>20</v>
      </c>
      <c r="M9" s="11" t="s">
        <v>21</v>
      </c>
      <c r="O9" s="11" t="s">
        <v>20</v>
      </c>
      <c r="P9" s="11" t="s">
        <v>21</v>
      </c>
    </row>
    <row r="10" ht="22.5" customHeight="1">
      <c r="A10" s="16"/>
      <c r="B10" s="17" t="s">
        <v>47</v>
      </c>
      <c r="C10" s="19">
        <f>IFERROR(P13/D10,0)</f>
        <v>10.21333333</v>
      </c>
      <c r="D10" s="17">
        <v>3.0</v>
      </c>
      <c r="F10" s="17" t="s">
        <v>27</v>
      </c>
      <c r="G10" s="17">
        <v>9.65</v>
      </c>
      <c r="I10" s="17" t="s">
        <v>27</v>
      </c>
      <c r="J10" s="17">
        <v>9.0</v>
      </c>
      <c r="L10" s="17" t="s">
        <v>27</v>
      </c>
      <c r="O10" s="17" t="s">
        <v>27</v>
      </c>
      <c r="P10" s="17">
        <v>9.58</v>
      </c>
    </row>
    <row r="11" ht="22.5" customHeight="1">
      <c r="A11" s="16"/>
      <c r="B11" s="17" t="s">
        <v>50</v>
      </c>
      <c r="C11" s="19">
        <f>IFERROR(B23/D11,0)</f>
        <v>0.96</v>
      </c>
      <c r="D11" s="17">
        <v>1.0</v>
      </c>
      <c r="F11" s="17" t="s">
        <v>30</v>
      </c>
      <c r="G11" s="17">
        <v>10.03</v>
      </c>
      <c r="I11" s="17" t="s">
        <v>30</v>
      </c>
      <c r="J11" s="17">
        <v>9.27</v>
      </c>
      <c r="L11" s="17" t="s">
        <v>30</v>
      </c>
      <c r="M11" s="17">
        <v>1.11</v>
      </c>
      <c r="O11" s="17" t="s">
        <v>30</v>
      </c>
      <c r="P11" s="17">
        <v>10.44</v>
      </c>
    </row>
    <row r="12" ht="22.5" customHeight="1">
      <c r="A12" s="16"/>
      <c r="B12" s="17" t="s">
        <v>52</v>
      </c>
      <c r="C12" s="19">
        <f>IFERROR(E23/D12,0)</f>
        <v>1.17</v>
      </c>
      <c r="D12" s="17">
        <v>1.0</v>
      </c>
      <c r="F12" s="17" t="s">
        <v>38</v>
      </c>
      <c r="G12" s="17">
        <v>10.25</v>
      </c>
      <c r="I12" s="17" t="s">
        <v>38</v>
      </c>
      <c r="J12" s="17">
        <v>9.49</v>
      </c>
      <c r="L12" s="17" t="s">
        <v>38</v>
      </c>
      <c r="M12" s="17">
        <v>1.21</v>
      </c>
      <c r="O12" s="17" t="s">
        <v>38</v>
      </c>
      <c r="P12" s="17">
        <v>10.62</v>
      </c>
    </row>
    <row r="13" ht="22.5" customHeight="1">
      <c r="A13" s="16"/>
      <c r="B13" s="17" t="s">
        <v>53</v>
      </c>
      <c r="C13" s="19">
        <f>IFERROR(B30/D13,0)</f>
        <v>13.2</v>
      </c>
      <c r="D13" s="17">
        <v>1.0</v>
      </c>
      <c r="F13" s="17" t="s">
        <v>41</v>
      </c>
      <c r="G13" s="20">
        <f>SUM(G10:G12)</f>
        <v>29.93</v>
      </c>
      <c r="I13" s="17" t="s">
        <v>41</v>
      </c>
      <c r="J13" s="20">
        <f>SUM(J10:J12)</f>
        <v>27.76</v>
      </c>
      <c r="L13" s="17" t="s">
        <v>41</v>
      </c>
      <c r="M13" s="20">
        <f>SUM(M10:M12)</f>
        <v>2.32</v>
      </c>
      <c r="O13" s="17" t="s">
        <v>41</v>
      </c>
      <c r="P13" s="20">
        <f>SUM(P10:P12)</f>
        <v>30.64</v>
      </c>
    </row>
    <row r="14" ht="22.5" customHeight="1">
      <c r="A14" s="16"/>
      <c r="B14" s="17" t="s">
        <v>54</v>
      </c>
      <c r="C14" s="19">
        <f>IFERROR(E30/D14,0)</f>
        <v>11.4</v>
      </c>
      <c r="D14" s="17">
        <v>1.0</v>
      </c>
      <c r="F14" s="45"/>
      <c r="G14" s="45"/>
    </row>
    <row r="15" ht="22.5" customHeight="1">
      <c r="B15" s="17" t="s">
        <v>56</v>
      </c>
      <c r="C15" s="19">
        <f>IFERROR(H22/D15,0)</f>
        <v>9.6</v>
      </c>
      <c r="D15" s="17">
        <v>1.0</v>
      </c>
    </row>
    <row r="18" ht="22.5" customHeight="1">
      <c r="G18" s="11" t="s">
        <v>20</v>
      </c>
      <c r="H18" s="11" t="s">
        <v>21</v>
      </c>
      <c r="I18" s="5"/>
      <c r="J18" s="5"/>
      <c r="K18" s="5"/>
    </row>
    <row r="19" ht="22.5" customHeight="1">
      <c r="A19" s="11" t="s">
        <v>20</v>
      </c>
      <c r="B19" s="11" t="s">
        <v>21</v>
      </c>
      <c r="D19" s="11" t="s">
        <v>20</v>
      </c>
      <c r="E19" s="11" t="s">
        <v>21</v>
      </c>
      <c r="G19" s="17" t="s">
        <v>27</v>
      </c>
      <c r="H19" s="17">
        <v>0.0</v>
      </c>
      <c r="I19" s="5"/>
      <c r="J19" s="5"/>
      <c r="K19" s="5"/>
    </row>
    <row r="20" ht="22.5" customHeight="1">
      <c r="A20" s="17" t="s">
        <v>27</v>
      </c>
      <c r="D20" s="17" t="s">
        <v>27</v>
      </c>
      <c r="G20" s="17" t="s">
        <v>30</v>
      </c>
      <c r="H20" s="17">
        <v>0.0</v>
      </c>
      <c r="I20" s="5"/>
      <c r="J20" s="5"/>
      <c r="K20" s="5"/>
    </row>
    <row r="21" ht="22.5" customHeight="1">
      <c r="A21" s="17" t="s">
        <v>30</v>
      </c>
      <c r="D21" s="17" t="s">
        <v>30</v>
      </c>
      <c r="G21" s="17" t="s">
        <v>38</v>
      </c>
      <c r="H21" s="17">
        <v>9.6</v>
      </c>
      <c r="I21" s="5"/>
      <c r="J21" s="5"/>
      <c r="K21" s="5"/>
    </row>
    <row r="22" ht="22.5" customHeight="1">
      <c r="A22" s="17" t="s">
        <v>38</v>
      </c>
      <c r="B22" s="17">
        <v>0.96</v>
      </c>
      <c r="D22" s="17" t="s">
        <v>38</v>
      </c>
      <c r="E22" s="17">
        <v>1.17</v>
      </c>
      <c r="G22" s="17" t="s">
        <v>41</v>
      </c>
      <c r="H22" s="20">
        <f>SUM(H19:H21)</f>
        <v>9.6</v>
      </c>
      <c r="I22" s="5"/>
      <c r="J22" s="5"/>
      <c r="K22" s="5"/>
    </row>
    <row r="23" ht="22.5" customHeight="1">
      <c r="A23" s="17" t="s">
        <v>41</v>
      </c>
      <c r="B23" s="20">
        <f>SUM(B20:B22)</f>
        <v>0.96</v>
      </c>
      <c r="D23" s="17" t="s">
        <v>41</v>
      </c>
      <c r="E23" s="20">
        <f>SUM(E20:E22)</f>
        <v>1.17</v>
      </c>
    </row>
    <row r="25">
      <c r="G25" s="5"/>
      <c r="I25" s="5"/>
      <c r="J25" s="5"/>
      <c r="K25" s="5"/>
    </row>
    <row r="26" ht="22.5" customHeight="1">
      <c r="A26" s="11" t="s">
        <v>20</v>
      </c>
      <c r="B26" s="11" t="s">
        <v>21</v>
      </c>
      <c r="D26" s="11" t="s">
        <v>20</v>
      </c>
      <c r="E26" s="11" t="s">
        <v>21</v>
      </c>
      <c r="G26" s="5"/>
      <c r="I26" s="5"/>
      <c r="J26" s="5"/>
      <c r="K26" s="5"/>
    </row>
    <row r="27" ht="22.5" customHeight="1">
      <c r="A27" s="17" t="s">
        <v>27</v>
      </c>
      <c r="D27" s="17" t="s">
        <v>27</v>
      </c>
      <c r="G27" s="5"/>
      <c r="I27" s="5"/>
      <c r="J27" s="5"/>
      <c r="K27" s="5"/>
    </row>
    <row r="28" ht="22.5" customHeight="1">
      <c r="A28" s="17" t="s">
        <v>30</v>
      </c>
      <c r="D28" s="17" t="s">
        <v>30</v>
      </c>
      <c r="G28" s="5"/>
      <c r="I28" s="5"/>
      <c r="J28" s="5"/>
      <c r="K28" s="5"/>
    </row>
    <row r="29" ht="22.5" customHeight="1">
      <c r="A29" s="17" t="s">
        <v>38</v>
      </c>
      <c r="B29" s="17">
        <v>13.2</v>
      </c>
      <c r="D29" s="17" t="s">
        <v>38</v>
      </c>
      <c r="E29" s="17">
        <v>11.4</v>
      </c>
      <c r="G29" s="5"/>
      <c r="I29" s="5"/>
      <c r="J29" s="5"/>
      <c r="K29" s="5"/>
    </row>
    <row r="30" ht="22.5" customHeight="1">
      <c r="A30" s="17" t="s">
        <v>41</v>
      </c>
      <c r="B30" s="20">
        <f>SUM(B27:B29)</f>
        <v>13.2</v>
      </c>
      <c r="D30" s="17" t="s">
        <v>41</v>
      </c>
      <c r="E30" s="20">
        <f>SUM(E27:E29)</f>
        <v>11.4</v>
      </c>
    </row>
    <row r="32">
      <c r="A32" s="5"/>
      <c r="B32" s="5"/>
      <c r="C32" s="5"/>
      <c r="D32" s="45"/>
      <c r="E32" s="5"/>
      <c r="F32" s="5"/>
      <c r="G32" s="5"/>
      <c r="I32" s="5"/>
      <c r="J32" s="5"/>
      <c r="K32" s="5"/>
    </row>
    <row r="33">
      <c r="A33" s="5"/>
      <c r="B33" s="5"/>
      <c r="C33" s="5"/>
      <c r="E33" s="5"/>
      <c r="F33" s="5"/>
      <c r="G33" s="5"/>
      <c r="I33" s="5"/>
      <c r="J33" s="5"/>
      <c r="K33" s="5"/>
    </row>
    <row r="34">
      <c r="A34" s="5"/>
      <c r="B34" s="5"/>
      <c r="C34" s="5"/>
      <c r="D34" s="45"/>
      <c r="E34" s="5"/>
      <c r="F34" s="5"/>
      <c r="G34" s="5"/>
      <c r="I34" s="5"/>
      <c r="J34" s="5"/>
      <c r="K34" s="5"/>
    </row>
    <row r="35">
      <c r="A35" s="5"/>
      <c r="B35" s="5"/>
      <c r="C35" s="5"/>
      <c r="D35" s="45"/>
      <c r="E35" s="5"/>
      <c r="F35" s="5"/>
      <c r="G35" s="5"/>
      <c r="I35" s="5"/>
      <c r="J35" s="5"/>
      <c r="K35" s="5"/>
    </row>
    <row r="36">
      <c r="A36" s="5"/>
      <c r="B36" s="5"/>
      <c r="C36" s="5"/>
      <c r="E36" s="5"/>
      <c r="F36" s="5"/>
      <c r="G36" s="5"/>
      <c r="I36" s="5"/>
      <c r="J36" s="5"/>
      <c r="K36" s="5"/>
    </row>
  </sheetData>
  <dataValidations>
    <dataValidation type="custom" allowBlank="1" showDropDown="1" sqref="G3:G6">
      <formula1>AND(ISNUMBER(G3),(NOT(OR(NOT(ISERROR(DATEVALUE(G3))), AND(ISNUMBER(G3), LEFT(CELL("format", G3))="D")))))</formula1>
    </dataValidation>
  </dataValidations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6.38"/>
    <col customWidth="1" min="4" max="4" width="17.88"/>
    <col customWidth="1" min="5" max="5" width="21.75"/>
    <col customWidth="1" min="6" max="6" width="22.88"/>
    <col customWidth="1" min="7" max="7" width="16.63"/>
    <col customWidth="1" min="8" max="8" width="21.38"/>
    <col customWidth="1" min="9" max="9" width="23.25"/>
    <col customWidth="1" min="10" max="10" width="17.38"/>
    <col customWidth="1" min="11" max="11" width="18.63"/>
    <col customWidth="1" min="12" max="12" width="18.0"/>
    <col customWidth="1" min="13" max="13" width="15.25"/>
    <col customWidth="1" min="14" max="14" width="16.75"/>
    <col customWidth="1" min="15" max="15" width="15.25"/>
    <col customWidth="1" min="16" max="16" width="16.5"/>
    <col customWidth="1" min="18" max="18" width="23.63"/>
    <col customWidth="1" min="19" max="19" width="20.25"/>
    <col customWidth="1" min="20" max="20" width="18.0"/>
    <col customWidth="1" min="21" max="21" width="17.5"/>
  </cols>
  <sheetData>
    <row r="2" ht="22.5" customHeight="1">
      <c r="A2" s="1" t="s">
        <v>0</v>
      </c>
      <c r="B2" s="1" t="s">
        <v>2</v>
      </c>
      <c r="C2" s="1" t="s">
        <v>5</v>
      </c>
      <c r="D2" s="1" t="s">
        <v>6</v>
      </c>
      <c r="E2" s="3" t="s">
        <v>8</v>
      </c>
      <c r="F2" s="4" t="s">
        <v>11</v>
      </c>
      <c r="G2" s="4" t="s">
        <v>13</v>
      </c>
      <c r="H2" s="5"/>
      <c r="I2" s="1" t="s">
        <v>14</v>
      </c>
      <c r="J2" s="1" t="s">
        <v>15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 ht="22.5" customHeight="1">
      <c r="A3" s="6" t="s">
        <v>16</v>
      </c>
      <c r="B3" s="8">
        <v>0.0</v>
      </c>
      <c r="C3" s="9">
        <v>0.0</v>
      </c>
      <c r="D3" s="8">
        <v>0.0782</v>
      </c>
      <c r="E3" s="9">
        <v>3876.66</v>
      </c>
      <c r="F3" s="10">
        <v>46275.455661493055</v>
      </c>
      <c r="G3" s="12">
        <v>47119.0</v>
      </c>
      <c r="H3" s="5"/>
      <c r="I3" s="13" t="s">
        <v>22</v>
      </c>
      <c r="J3" s="14">
        <v>0.139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 ht="22.5" customHeight="1">
      <c r="A4" s="17" t="s">
        <v>23</v>
      </c>
      <c r="B4" s="8">
        <v>0.0779</v>
      </c>
      <c r="C4" s="9">
        <v>3041.71</v>
      </c>
      <c r="D4" s="8">
        <v>0.0791</v>
      </c>
      <c r="E4" s="9">
        <v>3021.2</v>
      </c>
      <c r="F4" s="10">
        <v>46275.455661493055</v>
      </c>
      <c r="G4" s="12">
        <v>48441.0</v>
      </c>
      <c r="H4" s="5"/>
      <c r="I4" s="13" t="s">
        <v>25</v>
      </c>
      <c r="J4" s="14">
        <v>0.0444302461783459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 ht="22.5" customHeight="1">
      <c r="A5" s="17" t="s">
        <v>26</v>
      </c>
      <c r="B5" s="8">
        <v>0.0737</v>
      </c>
      <c r="C5" s="9">
        <v>1767.6</v>
      </c>
      <c r="D5" s="8">
        <v>0.07490000000000001</v>
      </c>
      <c r="E5" s="9">
        <v>1740.14</v>
      </c>
      <c r="F5" s="10">
        <v>46275.455661493055</v>
      </c>
      <c r="G5" s="12">
        <v>51363.0</v>
      </c>
      <c r="H5" s="5"/>
      <c r="I5" s="21" t="s">
        <v>28</v>
      </c>
      <c r="J5" s="22">
        <f>(1+J3)/(1+(J4+0.0025))-1 </f>
        <v>0.08794258658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 ht="22.5" customHeight="1">
      <c r="A6" s="17" t="s">
        <v>31</v>
      </c>
      <c r="B6" s="8">
        <v>0.0721</v>
      </c>
      <c r="C6" s="9">
        <v>181.0</v>
      </c>
      <c r="D6" s="8">
        <v>0.0733</v>
      </c>
      <c r="E6" s="9">
        <v>171.94</v>
      </c>
      <c r="F6" s="10">
        <v>46275.455661493055</v>
      </c>
      <c r="G6" s="12">
        <v>67556.0</v>
      </c>
      <c r="H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22.5" customHeight="1">
      <c r="A7" s="17" t="s">
        <v>35</v>
      </c>
      <c r="B7" s="8">
        <v>7.3E-4</v>
      </c>
      <c r="C7" s="9">
        <v>19790.6</v>
      </c>
      <c r="D7" s="8">
        <v>8.3E-4</v>
      </c>
      <c r="E7" s="9">
        <v>19771.5</v>
      </c>
      <c r="F7" s="10">
        <v>46275.455661493055</v>
      </c>
      <c r="G7" s="12">
        <v>47908.0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P8" s="5"/>
      <c r="Q8" s="5"/>
      <c r="R8" s="5"/>
      <c r="S8" s="5"/>
      <c r="T8" s="5"/>
    </row>
    <row r="9">
      <c r="P9" s="5"/>
      <c r="Q9" s="5"/>
      <c r="R9" s="5"/>
      <c r="S9" s="5"/>
      <c r="T9" s="5"/>
    </row>
  </sheetData>
  <dataValidations>
    <dataValidation type="custom" allowBlank="1" showDropDown="1" sqref="F3:F7">
      <formula1>OR(NOT(ISERROR(DATEVALUE(F3))), AND(ISNUMBER(F3), LEFT(CELL("format", F3))="D"))</formula1>
    </dataValidation>
    <dataValidation type="custom" allowBlank="1" showDropDown="1" sqref="B3:E7">
      <formula1>AND(ISNUMBER(B3),(NOT(OR(NOT(ISERROR(DATEVALUE(B3))), AND(ISNUMBER(B3), LEFT(CELL("format", B3))="D")))))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13"/>
    <col customWidth="1" min="7" max="7" width="25.13"/>
    <col customWidth="1" min="11" max="11" width="16.5"/>
    <col customWidth="1" min="12" max="12" width="20.0"/>
  </cols>
  <sheetData>
    <row r="2">
      <c r="E2" s="7" t="s">
        <v>46</v>
      </c>
      <c r="F2" s="7" t="s">
        <v>48</v>
      </c>
    </row>
    <row r="3" ht="22.5" customHeight="1">
      <c r="A3" s="27" t="s">
        <v>46</v>
      </c>
      <c r="B3" s="27" t="s">
        <v>49</v>
      </c>
      <c r="C3" s="11" t="s">
        <v>48</v>
      </c>
      <c r="E3" s="30" t="str">
        <f>IFERROR(__xludf.DUMMYFUNCTION("IFERROR(
  FILTER({Baratos[Ticker],Baratos[Valor]},
         Baratos[Está barato?]=""SIM""),
  {""🛑 Nenhum ativo barato"",0}
)
"),"XPLG11")</f>
        <v>XPLG11</v>
      </c>
      <c r="F3" s="30">
        <f>IFERROR(__xludf.DUMMYFUNCTION("""COMPUTED_VALUE"""),91.59)</f>
        <v>91.59</v>
      </c>
    </row>
    <row r="4" ht="22.5" customHeight="1">
      <c r="A4" s="31" t="s">
        <v>51</v>
      </c>
      <c r="B4" s="41" t="str">
        <f t="array" ref="B4">IFERROR(IF(AND(
  INDEX(Ações_Nacionais[], MATCH(A4, Ações_Nacionais[Ação], 0), MATCH(Ações_Nacionais[[#HEADERS],[Preço mercado]], Ações_Nacionais[#HEADERS], 0)) &lt; 
  INDEX(Ações_Nacionais[], MATCH(A4, Ações_Nacionais[Ação], 0), MATCH(Ações_Nacionais[[#HEADERS],[P/Teto]], Ações_Nacionais[#HEADERS], 0)),
), "SIM", "NÃO"), "")
</f>
        <v>NÃO</v>
      </c>
      <c r="C4" s="20">
        <f t="array" ref="C4">IFERROR(INDEX(Ações_Nacionais[], MATCH(A4, Ações_Nacionais[Ação], 0), MATCH(Ações_Nacionais[[#HEADERS],[Preço mercado]], Ações_Nacionais[#HEADERS], 0)), "")
</f>
        <v>22.52</v>
      </c>
      <c r="E4" s="30" t="str">
        <f>IFERROR(__xludf.DUMMYFUNCTION("""COMPUTED_VALUE"""),"HGBS11")</f>
        <v>HGBS11</v>
      </c>
      <c r="F4" s="30">
        <f>IFERROR(__xludf.DUMMYFUNCTION("""COMPUTED_VALUE"""),18.68)</f>
        <v>18.68</v>
      </c>
    </row>
    <row r="5" ht="22.5" customHeight="1">
      <c r="A5" s="31" t="s">
        <v>55</v>
      </c>
      <c r="B5" s="41" t="str">
        <f t="array" ref="B5">IFERROR(IF(AND(
  INDEX(Ações_Nacionais[], MATCH(A5, Ações_Nacionais[Ação], 0), MATCH(Ações_Nacionais[[#HEADERS],[Preço mercado]], Ações_Nacionais[#HEADERS], 0)) &lt; 
  INDEX(Ações_Nacionais[], MATCH(A5, Ações_Nacionais[Ação], 0), MATCH(Ações_Nacionais[[#HEADERS],[P/Teto]], Ações_Nacionais[#HEADERS], 0)),
), "SIM", "NÃO"), "")
</f>
        <v>NÃO</v>
      </c>
      <c r="C5" s="20">
        <f t="array" ref="C5">IFERROR(INDEX(Ações_Nacionais[], MATCH(A5, Ações_Nacionais[Ação], 0), MATCH(Ações_Nacionais[[#HEADERS],[Preço mercado]], Ações_Nacionais[#HEADERS], 0)), "")
</f>
        <v>40.93</v>
      </c>
      <c r="E5" s="30" t="str">
        <f>IFERROR(__xludf.DUMMYFUNCTION("""COMPUTED_VALUE"""),"BRCO11")</f>
        <v>BRCO11</v>
      </c>
      <c r="F5" s="30">
        <f>IFERROR(__xludf.DUMMYFUNCTION("""COMPUTED_VALUE"""),110.15)</f>
        <v>110.15</v>
      </c>
    </row>
    <row r="6" ht="22.5" customHeight="1">
      <c r="A6" s="31" t="s">
        <v>57</v>
      </c>
      <c r="B6" s="41" t="str">
        <f t="array" ref="B6">IFERROR(IF(AND(
  INDEX(Ações_Nacionais[], MATCH(A6, Ações_Nacionais[Ação], 0), MATCH(Ações_Nacionais[[#HEADERS],[Preço mercado]], Ações_Nacionais[#HEADERS], 0)) &lt; 
  INDEX(Ações_Nacionais[], MATCH(A6, Ações_Nacionais[Ação], 0), MATCH(Ações_Nacionais[[#HEADERS],[P/Teto]], Ações_Nacionais[#HEADERS], 0)),
), "SIM", "NÃO"), "")
</f>
        <v>NÃO</v>
      </c>
      <c r="C6" s="20">
        <f t="array" ref="C6">IFERROR(INDEX(Ações_Nacionais[], MATCH(A6, Ações_Nacionais[Ação], 0), MATCH(Ações_Nacionais[[#HEADERS],[Preço mercado]], Ações_Nacionais[#HEADERS], 0)), "")
</f>
        <v>77.91</v>
      </c>
      <c r="E6" s="30" t="str">
        <f>IFERROR(__xludf.DUMMYFUNCTION("""COMPUTED_VALUE"""),"HGLG11")</f>
        <v>HGLG11</v>
      </c>
      <c r="F6" s="30">
        <f>IFERROR(__xludf.DUMMYFUNCTION("""COMPUTED_VALUE"""),146.45)</f>
        <v>146.45</v>
      </c>
    </row>
    <row r="7" ht="22.5" customHeight="1">
      <c r="A7" s="48" t="s">
        <v>58</v>
      </c>
      <c r="B7" s="41" t="str">
        <f t="array" ref="B7">IFERROR(IF(AND(
  INDEX(Ações_Nacionais[], MATCH(A7, Ações_Nacionais[Ação], 0), MATCH(Ações_Nacionais[[#HEADERS],[Preço mercado]], Ações_Nacionais[#HEADERS], 0)) &lt; 
  INDEX(Ações_Nacionais[], MATCH(A7, Ações_Nacionais[Ação], 0), MATCH(Ações_Nacionais[[#HEADERS],[P/Teto]], Ações_Nacionais[#HEADERS], 0)),
), "SIM", "NÃO"), "")
</f>
        <v>NÃO</v>
      </c>
      <c r="C7" s="20">
        <f t="array" ref="C7">IFERROR(INDEX(Ações_Nacionais[], MATCH(A7, Ações_Nacionais[Ação], 0), MATCH(Ações_Nacionais[[#HEADERS],[Preço mercado]], Ações_Nacionais[#HEADERS], 0)), "")
</f>
        <v>41.03</v>
      </c>
      <c r="E7" s="30" t="str">
        <f>IFERROR(__xludf.DUMMYFUNCTION("""COMPUTED_VALUE"""),"BTLG11")</f>
        <v>BTLG11</v>
      </c>
      <c r="F7" s="30">
        <f>IFERROR(__xludf.DUMMYFUNCTION("""COMPUTED_VALUE"""),100.23)</f>
        <v>100.23</v>
      </c>
    </row>
    <row r="8" ht="22.5" customHeight="1">
      <c r="A8" s="48" t="s">
        <v>63</v>
      </c>
      <c r="B8" s="41" t="str">
        <f t="array" ref="B8">IFERROR(IF(AND(
  INDEX(Ações_Nacionais[], MATCH(A8, Ações_Nacionais[Ação], 0), MATCH(Ações_Nacionais[[#HEADERS],[Preço mercado]], Ações_Nacionais[#HEADERS], 0)) &lt; 
  INDEX(Ações_Nacionais[], MATCH(A8, Ações_Nacionais[Ação], 0), MATCH(Ações_Nacionais[[#HEADERS],[P/Teto]], Ações_Nacionais[#HEADERS], 0)),
), "SIM", "NÃO"), "")
</f>
        <v>NÃO</v>
      </c>
      <c r="C8" s="20">
        <f t="array" ref="C8">IFERROR(INDEX(Ações_Nacionais[], MATCH(A8, Ações_Nacionais[Ação], 0), MATCH(Ações_Nacionais[[#HEADERS],[Preço mercado]], Ações_Nacionais[#HEADERS], 0)), "")
</f>
        <v>45.97</v>
      </c>
      <c r="E8" s="30" t="str">
        <f>IFERROR(__xludf.DUMMYFUNCTION("""COMPUTED_VALUE"""),"GGRC11")</f>
        <v>GGRC11</v>
      </c>
      <c r="F8" s="30">
        <f>IFERROR(__xludf.DUMMYFUNCTION("""COMPUTED_VALUE"""),9.0)</f>
        <v>9</v>
      </c>
    </row>
    <row r="9" ht="22.5" customHeight="1">
      <c r="A9" s="48" t="s">
        <v>73</v>
      </c>
      <c r="B9" s="41" t="str">
        <f t="array" ref="B9">IFERROR(IF(AND(
  INDEX(Ações_Nacionais[], MATCH(A9, Ações_Nacionais[Ação], 0), MATCH(Ações_Nacionais[[#HEADERS],[Preço mercado]], Ações_Nacionais[#HEADERS], 0)) &lt; 
  INDEX(Ações_Nacionais[], MATCH(A9, Ações_Nacionais[Ação], 0), MATCH(Ações_Nacionais[[#HEADERS],[P/Teto]], Ações_Nacionais[#HEADERS], 0)),
), "SIM", "NÃO"), "")
</f>
        <v>NÃO</v>
      </c>
      <c r="C9" s="20">
        <f t="array" ref="C9">IFERROR(INDEX(Ações_Nacionais[], MATCH(A9, Ações_Nacionais[Ação], 0), MATCH(Ações_Nacionais[[#HEADERS],[Preço mercado]], Ações_Nacionais[#HEADERS], 0)), "")
</f>
        <v>48.87</v>
      </c>
      <c r="E9" s="30" t="str">
        <f>IFERROR(__xludf.DUMMYFUNCTION("""COMPUTED_VALUE"""),"GARE11")</f>
        <v>GARE11</v>
      </c>
      <c r="F9" s="30">
        <f>IFERROR(__xludf.DUMMYFUNCTION("""COMPUTED_VALUE"""),8.4)</f>
        <v>8.4</v>
      </c>
    </row>
    <row r="10" ht="22.5" customHeight="1">
      <c r="A10" s="48" t="s">
        <v>91</v>
      </c>
      <c r="B10" s="41" t="str">
        <f t="array" ref="B10">IFERROR(IF(AND(
  INDEX(Ações_Nacionais[], MATCH(A10, Ações_Nacionais[Ação], 0), MATCH(Ações_Nacionais[[#HEADERS],[Preço mercado]], Ações_Nacionais[#HEADERS], 0)) &lt; 
  INDEX(Ações_Nacionais[], MATCH(A10, Ações_Nacionais[Ação], 0), MATCH(Ações_Nacionais[[#HEADERS],[P/Teto]], Ações_Nacionais[#HEADERS], 0)),
), "SIM", "NÃO"), "")
</f>
        <v>NÃO</v>
      </c>
      <c r="C10" s="20">
        <f t="array" ref="C10">IFERROR(INDEX(Ações_Nacionais[], MATCH(A10, Ações_Nacionais[Ação], 0), MATCH(Ações_Nacionais[[#HEADERS],[Preço mercado]], Ações_Nacionais[#HEADERS], 0)), "")
</f>
        <v>51.83</v>
      </c>
      <c r="E10" s="30" t="str">
        <f>IFERROR(__xludf.DUMMYFUNCTION("""COMPUTED_VALUE"""),"PMLL11")</f>
        <v>PMLL11</v>
      </c>
      <c r="F10" s="30">
        <f>IFERROR(__xludf.DUMMYFUNCTION("""COMPUTED_VALUE"""),102.68)</f>
        <v>102.68</v>
      </c>
    </row>
    <row r="11" ht="22.5" customHeight="1">
      <c r="A11" s="48" t="s">
        <v>94</v>
      </c>
      <c r="B11" s="41" t="str">
        <f t="array" ref="B11">IFERROR(IF(AND(
  INDEX(Ações_Nacionais[], MATCH(A11, Ações_Nacionais[Ação], 0), MATCH(Ações_Nacionais[[#HEADERS],[Preço mercado]], Ações_Nacionais[#HEADERS], 0)) &lt; 
  INDEX(Ações_Nacionais[], MATCH(A11, Ações_Nacionais[Ação], 0), MATCH(Ações_Nacionais[[#HEADERS],[P/Teto]], Ações_Nacionais[#HEADERS], 0)),
), "SIM", "NÃO"), "")
</f>
        <v>NÃO</v>
      </c>
      <c r="C11" s="20">
        <f t="array" ref="C11">IFERROR(INDEX(Ações_Nacionais[], MATCH(A11, Ações_Nacionais[Ação], 0), MATCH(Ações_Nacionais[[#HEADERS],[Preço mercado]], Ações_Nacionais[#HEADERS], 0)), "")
</f>
        <v>14.25</v>
      </c>
      <c r="E11" s="30" t="str">
        <f>IFERROR(__xludf.DUMMYFUNCTION("""COMPUTED_VALUE"""),"MXRF11")</f>
        <v>MXRF11</v>
      </c>
      <c r="F11" s="30">
        <f>IFERROR(__xludf.DUMMYFUNCTION("""COMPUTED_VALUE"""),9.17)</f>
        <v>9.17</v>
      </c>
    </row>
    <row r="12" ht="22.5" customHeight="1">
      <c r="A12" s="48" t="s">
        <v>95</v>
      </c>
      <c r="B12" s="41" t="str">
        <f t="array" ref="B12">IFERROR(IF(AND(
  INDEX(Ações_Nacionais[], MATCH(A12, Ações_Nacionais[Ação], 0), MATCH(Ações_Nacionais[[#HEADERS],[Preço mercado]], Ações_Nacionais[#HEADERS], 0)) &lt; 
  INDEX(Ações_Nacionais[], MATCH(A12, Ações_Nacionais[Ação], 0), MATCH(Ações_Nacionais[[#HEADERS],[P/Teto]], Ações_Nacionais[#HEADERS], 0)),
), "SIM", "NÃO"), "")
</f>
        <v>NÃO</v>
      </c>
      <c r="C12" s="20">
        <f t="array" ref="C12">IFERROR(INDEX(Ações_Nacionais[], MATCH(A12, Ações_Nacionais[Ação], 0), MATCH(Ações_Nacionais[[#HEADERS],[Preço mercado]], Ações_Nacionais[#HEADERS], 0)), "")
</f>
        <v>11.3</v>
      </c>
      <c r="E12" s="30" t="str">
        <f>IFERROR(__xludf.DUMMYFUNCTION("""COMPUTED_VALUE"""),"HGRU11")</f>
        <v>HGRU11</v>
      </c>
      <c r="F12" s="30">
        <f>IFERROR(__xludf.DUMMYFUNCTION("""COMPUTED_VALUE"""),114.33)</f>
        <v>114.33</v>
      </c>
    </row>
    <row r="13" ht="22.5" customHeight="1">
      <c r="A13" s="48" t="s">
        <v>100</v>
      </c>
      <c r="B13" s="41" t="str">
        <f t="array" ref="B13">IFERROR(IF(AND(
  INDEX(Ações_Nacionais[], MATCH(A13, Ações_Nacionais[Ação], 0), MATCH(Ações_Nacionais[[#HEADERS],[Preço mercado]], Ações_Nacionais[#HEADERS], 0)) &lt; 
  INDEX(Ações_Nacionais[], MATCH(A13, Ações_Nacionais[Ação], 0), MATCH(Ações_Nacionais[[#HEADERS],[P/Teto]], Ações_Nacionais[#HEADERS], 0)),
), "SIM", "NÃO"), "")
</f>
        <v>NÃO</v>
      </c>
      <c r="C13" s="20">
        <f t="array" ref="C13">IFERROR(INDEX(Ações_Nacionais[], MATCH(A13, Ações_Nacionais[Ação], 0), MATCH(Ações_Nacionais[[#HEADERS],[Preço mercado]], Ações_Nacionais[#HEADERS], 0)), "")
</f>
        <v>27.72</v>
      </c>
      <c r="E13" s="30" t="str">
        <f>IFERROR(__xludf.DUMMYFUNCTION("""COMPUTED_VALUE"""),"PCIP11")</f>
        <v>PCIP11</v>
      </c>
      <c r="F13" s="30">
        <f>IFERROR(__xludf.DUMMYFUNCTION("""COMPUTED_VALUE"""),73.79)</f>
        <v>73.79</v>
      </c>
    </row>
    <row r="14" ht="22.5" customHeight="1">
      <c r="A14" s="48" t="s">
        <v>101</v>
      </c>
      <c r="B14" s="41" t="str">
        <f t="array" ref="B14">IFERROR(IF(AND(
  INDEX(Ações_Nacionais[], MATCH(A14, Ações_Nacionais[Ação], 0), MATCH(Ações_Nacionais[[#HEADERS],[Preço mercado]], Ações_Nacionais[#HEADERS], 0)) &lt; 
  INDEX(Ações_Nacionais[], MATCH(A14, Ações_Nacionais[Ação], 0), MATCH(Ações_Nacionais[[#HEADERS],[P/Teto]], Ações_Nacionais[#HEADERS], 0)),
), "SIM", "NÃO"), "")
</f>
        <v>NÃO</v>
      </c>
      <c r="C14" s="20">
        <f t="array" ref="C14">IFERROR(INDEX(Ações_Nacionais[], MATCH(A14, Ações_Nacionais[Ação], 0), MATCH(Ações_Nacionais[[#HEADERS],[Preço mercado]], Ações_Nacionais[#HEADERS], 0)), "")
</f>
        <v>6.84</v>
      </c>
    </row>
    <row r="15" ht="22.5" customHeight="1">
      <c r="A15" s="80" t="s">
        <v>32</v>
      </c>
      <c r="B15" s="41" t="str">
        <f t="array" ref="B15">IFERROR(IF(AND( 
  INDEX(Fiis[], MATCH(A15, Fiis[Fii], 0), MATCH(Fiis[[#HEADERS],[Preço mercado]], Fiis[#HEADERS], 0)) &lt; 
  INDEX(Fiis[], MATCH(A15, Fiis[Fii], 0), MATCH(Fiis[[#HEADERS],[Justo]], Fiis[#HEADERS], 0)),  
  INDEX(Fiis[], MATCH(A15, Fiis[Fii], 0), MATCH(Fiis[[#HEADERS],[Preço mercado]], Fiis[#HEADERS], 0)) &lt; 
  INDEX(Fiis[], MATCH(A15, Fiis[Fii], 0), MATCH(Fiis[[#HEADERS],[VP/Cota]], Fiis[#HEADERS], 0))
), "SIM", "NÃO"), "")
</f>
        <v>SIM</v>
      </c>
      <c r="C15" s="20">
        <f>IFERROR(__xludf.DUMMYFUNCTION("IFERROR(GOOGLEFINANCE(""BVMF:"" &amp; A15),0)"),91.59)</f>
        <v>91.59</v>
      </c>
    </row>
    <row r="16" ht="22.5" customHeight="1">
      <c r="A16" s="80" t="s">
        <v>42</v>
      </c>
      <c r="B16" s="41" t="str">
        <f t="array" ref="B16">IFERROR(IF(AND( 
  INDEX(Fiis[], MATCH(A16, Fiis[Fii], 0), MATCH(Fiis[[#HEADERS],[Preço mercado]], Fiis[#HEADERS], 0)) &lt; 
  INDEX(Fiis[], MATCH(A16, Fiis[Fii], 0), MATCH(Fiis[[#HEADERS],[Justo]], Fiis[#HEADERS], 0)),  
  INDEX(Fiis[], MATCH(A16, Fiis[Fii], 0), MATCH(Fiis[[#HEADERS],[Preço mercado]], Fiis[#HEADERS], 0)) &lt; 
  INDEX(Fiis[], MATCH(A16, Fiis[Fii], 0), MATCH(Fiis[[#HEADERS],[VP/Cota]], Fiis[#HEADERS], 0))
), "SIM", "NÃO"), "")
</f>
        <v>SIM</v>
      </c>
      <c r="C16" s="20">
        <f>IFERROR(__xludf.DUMMYFUNCTION("IFERROR(GOOGLEFINANCE(""BVMF:"" &amp; A16),0)"),18.68)</f>
        <v>18.68</v>
      </c>
    </row>
    <row r="17" ht="22.5" customHeight="1">
      <c r="A17" s="80" t="s">
        <v>47</v>
      </c>
      <c r="B17" s="41" t="str">
        <f t="array" ref="B17">IFERROR(IF(AND( 
  INDEX(Fiis[], MATCH(A17, Fiis[Fii], 0), MATCH(Fiis[[#HEADERS],[Preço mercado]], Fiis[#HEADERS], 0)) &lt; 
  INDEX(Fiis[], MATCH(A17, Fiis[Fii], 0), MATCH(Fiis[[#HEADERS],[Justo]], Fiis[#HEADERS], 0)),  
  INDEX(Fiis[], MATCH(A17, Fiis[Fii], 0), MATCH(Fiis[[#HEADERS],[Preço mercado]], Fiis[#HEADERS], 0)) &lt; 
  INDEX(Fiis[], MATCH(A17, Fiis[Fii], 0), MATCH(Fiis[[#HEADERS],[VP/Cota]], Fiis[#HEADERS], 0))
), "SIM", "NÃO"), "")
</f>
        <v>SIM</v>
      </c>
      <c r="C17" s="20">
        <f>IFERROR(__xludf.DUMMYFUNCTION("IFERROR(GOOGLEFINANCE(""BVMF:"" &amp; A17),0)"),110.15)</f>
        <v>110.15</v>
      </c>
    </row>
    <row r="18" ht="22.5" customHeight="1">
      <c r="A18" s="80" t="s">
        <v>53</v>
      </c>
      <c r="B18" s="41" t="str">
        <f t="array" ref="B18">IFERROR(IF(AND( 
  INDEX(Fiis[], MATCH(A18, Fiis[Fii], 0), MATCH(Fiis[[#HEADERS],[Preço mercado]], Fiis[#HEADERS], 0)) &lt; 
  INDEX(Fiis[], MATCH(A18, Fiis[Fii], 0), MATCH(Fiis[[#HEADERS],[Justo]], Fiis[#HEADERS], 0)),  
  INDEX(Fiis[], MATCH(A18, Fiis[Fii], 0), MATCH(Fiis[[#HEADERS],[Preço mercado]], Fiis[#HEADERS], 0)) &lt; 
  INDEX(Fiis[], MATCH(A18, Fiis[Fii], 0), MATCH(Fiis[[#HEADERS],[VP/Cota]], Fiis[#HEADERS], 0))
), "SIM", "NÃO"), "")
</f>
        <v>SIM</v>
      </c>
      <c r="C18" s="20">
        <f>IFERROR(__xludf.DUMMYFUNCTION("IFERROR(GOOGLEFINANCE(""BVMF:"" &amp; A18),0)"),146.45)</f>
        <v>146.45</v>
      </c>
    </row>
    <row r="19" ht="22.5" customHeight="1">
      <c r="A19" s="80" t="s">
        <v>98</v>
      </c>
      <c r="B19" s="41" t="str">
        <f t="array" ref="B19">IFERROR(IF(AND( 
  INDEX(Fiis[], MATCH(A19, Fiis[Fii], 0), MATCH(Fiis[[#HEADERS],[Preço mercado]], Fiis[#HEADERS], 0)) &lt; 
  INDEX(Fiis[], MATCH(A19, Fiis[Fii], 0), MATCH(Fiis[[#HEADERS],[Justo]], Fiis[#HEADERS], 0)),  
  INDEX(Fiis[], MATCH(A19, Fiis[Fii], 0), MATCH(Fiis[[#HEADERS],[Preço mercado]], Fiis[#HEADERS], 0)) &lt; 
  INDEX(Fiis[], MATCH(A19, Fiis[Fii], 0), MATCH(Fiis[[#HEADERS],[VP/Cota]], Fiis[#HEADERS], 0))
), "SIM", "NÃO"), "")
</f>
        <v>NÃO</v>
      </c>
      <c r="C19" s="20">
        <f>IFERROR(__xludf.DUMMYFUNCTION("IFERROR(GOOGLEFINANCE(""BVMF:"" &amp; A19),0)"),97.21)</f>
        <v>97.21</v>
      </c>
    </row>
    <row r="20" ht="22.5" customHeight="1">
      <c r="A20" s="80" t="s">
        <v>40</v>
      </c>
      <c r="B20" s="41" t="str">
        <f t="array" ref="B20">IFERROR(IF(AND( 
  INDEX(Fiis[], MATCH(A20, Fiis[Fii], 0), MATCH(Fiis[[#HEADERS],[Preço mercado]], Fiis[#HEADERS], 0)) &lt; 
  INDEX(Fiis[], MATCH(A20, Fiis[Fii], 0), MATCH(Fiis[[#HEADERS],[Justo]], Fiis[#HEADERS], 0)),  
  INDEX(Fiis[], MATCH(A20, Fiis[Fii], 0), MATCH(Fiis[[#HEADERS],[Preço mercado]], Fiis[#HEADERS], 0)) &lt; 
  INDEX(Fiis[], MATCH(A20, Fiis[Fii], 0), MATCH(Fiis[[#HEADERS],[VP/Cota]], Fiis[#HEADERS], 0))
), "SIM", "NÃO"), "")
</f>
        <v>SIM</v>
      </c>
      <c r="C20" s="20">
        <f>IFERROR(__xludf.DUMMYFUNCTION("IFERROR(GOOGLEFINANCE(""BVMF:"" &amp; A20),0)"),100.23)</f>
        <v>100.23</v>
      </c>
    </row>
    <row r="21" ht="22.5" customHeight="1">
      <c r="A21" s="80" t="s">
        <v>44</v>
      </c>
      <c r="B21" s="41" t="str">
        <f t="array" ref="B21">IFERROR(IF(AND( 
  INDEX(Fiis[], MATCH(A21, Fiis[Fii], 0), MATCH(Fiis[[#HEADERS],[Preço mercado]], Fiis[#HEADERS], 0)) &lt; 
  INDEX(Fiis[], MATCH(A21, Fiis[Fii], 0), MATCH(Fiis[[#HEADERS],[Justo]], Fiis[#HEADERS], 0)),  
  INDEX(Fiis[], MATCH(A21, Fiis[Fii], 0), MATCH(Fiis[[#HEADERS],[Preço mercado]], Fiis[#HEADERS], 0)) &lt; 
  INDEX(Fiis[], MATCH(A21, Fiis[Fii], 0), MATCH(Fiis[[#HEADERS],[VP/Cota]], Fiis[#HEADERS], 0))
), "SIM", "NÃO"), "")
</f>
        <v>SIM</v>
      </c>
      <c r="C21" s="20">
        <f>IFERROR(__xludf.DUMMYFUNCTION("IFERROR(GOOGLEFINANCE(""BVMF:"" &amp; A21),0)"),9.0)</f>
        <v>9</v>
      </c>
    </row>
    <row r="22" ht="22.5" customHeight="1">
      <c r="A22" s="80" t="s">
        <v>50</v>
      </c>
      <c r="B22" s="41" t="str">
        <f t="array" ref="B22">IFERROR(IF(AND( 
  INDEX(Fiis[], MATCH(A22, Fiis[Fii], 0), MATCH(Fiis[[#HEADERS],[Preço mercado]], Fiis[#HEADERS], 0)) &lt; 
  INDEX(Fiis[], MATCH(A22, Fiis[Fii], 0), MATCH(Fiis[[#HEADERS],[Justo]], Fiis[#HEADERS], 0)),  
  INDEX(Fiis[], MATCH(A22, Fiis[Fii], 0), MATCH(Fiis[[#HEADERS],[Preço mercado]], Fiis[#HEADERS], 0)) &lt; 
  INDEX(Fiis[], MATCH(A22, Fiis[Fii], 0), MATCH(Fiis[[#HEADERS],[VP/Cota]], Fiis[#HEADERS], 0))
), "SIM", "NÃO"), "")
</f>
        <v>SIM</v>
      </c>
      <c r="C22" s="20">
        <f>IFERROR(__xludf.DUMMYFUNCTION("IFERROR(GOOGLEFINANCE(""BVMF:"" &amp; A22),0)"),8.4)</f>
        <v>8.4</v>
      </c>
    </row>
    <row r="23" ht="22.5" customHeight="1">
      <c r="A23" s="80" t="s">
        <v>29</v>
      </c>
      <c r="B23" s="41" t="str">
        <f t="array" ref="B23">IFERROR(IF(AND( 
  INDEX(Fiis[], MATCH(A23, Fiis[Fii], 0), MATCH(Fiis[[#HEADERS],[Preço mercado]], Fiis[#HEADERS], 0)) &lt; 
  INDEX(Fiis[], MATCH(A23, Fiis[Fii], 0), MATCH(Fiis[[#HEADERS],[Justo]], Fiis[#HEADERS], 0)),  
  INDEX(Fiis[], MATCH(A23, Fiis[Fii], 0), MATCH(Fiis[[#HEADERS],[Preço mercado]], Fiis[#HEADERS], 0)) &lt; 
  INDEX(Fiis[], MATCH(A23, Fiis[Fii], 0), MATCH(Fiis[[#HEADERS],[VP/Cota]], Fiis[#HEADERS], 0))
), "SIM", "NÃO"), "")
</f>
        <v>SIM</v>
      </c>
      <c r="C23" s="20">
        <f>IFERROR(__xludf.DUMMYFUNCTION("IFERROR(GOOGLEFINANCE(""BVMF:"" &amp; A23),0)"),102.68)</f>
        <v>102.68</v>
      </c>
    </row>
    <row r="24" ht="22.5" customHeight="1">
      <c r="A24" s="80" t="s">
        <v>24</v>
      </c>
      <c r="B24" s="41" t="str">
        <f t="array" ref="B24">IFERROR(IF(AND( 
  INDEX(Fiis[], MATCH(A24, Fiis[Fii], 0), MATCH(Fiis[[#HEADERS],[Preço mercado]], Fiis[#HEADERS], 0)) &lt; 
  INDEX(Fiis[], MATCH(A24, Fiis[Fii], 0), MATCH(Fiis[[#HEADERS],[Justo]], Fiis[#HEADERS], 0)),  
  INDEX(Fiis[], MATCH(A24, Fiis[Fii], 0), MATCH(Fiis[[#HEADERS],[Preço mercado]], Fiis[#HEADERS], 0)) &lt; 
  INDEX(Fiis[], MATCH(A24, Fiis[Fii], 0), MATCH(Fiis[[#HEADERS],[VP/Cota]], Fiis[#HEADERS], 0))
), "SIM", "NÃO"), "")
</f>
        <v>NÃO</v>
      </c>
      <c r="C24" s="20">
        <f>IFERROR(__xludf.DUMMYFUNCTION("IFERROR(GOOGLEFINANCE(""BVMF:"" &amp; A24),0)"),157.0)</f>
        <v>157</v>
      </c>
    </row>
    <row r="25" ht="22.5" customHeight="1">
      <c r="A25" s="80" t="s">
        <v>52</v>
      </c>
      <c r="B25" s="41" t="str">
        <f t="array" ref="B25">IFERROR(IF(AND( 
  INDEX(Fiis[], MATCH(A25, Fiis[Fii], 0), MATCH(Fiis[[#HEADERS],[Preço mercado]], Fiis[#HEADERS], 0)) &lt; 
  INDEX(Fiis[], MATCH(A25, Fiis[Fii], 0), MATCH(Fiis[[#HEADERS],[Justo]], Fiis[#HEADERS], 0)),  
  INDEX(Fiis[], MATCH(A25, Fiis[Fii], 0), MATCH(Fiis[[#HEADERS],[Preço mercado]], Fiis[#HEADERS], 0)) &lt; 
  INDEX(Fiis[], MATCH(A25, Fiis[Fii], 0), MATCH(Fiis[[#HEADERS],[VP/Cota]], Fiis[#HEADERS], 0))
), "SIM", "NÃO"), "")
</f>
        <v>SIM</v>
      </c>
      <c r="C25" s="20">
        <f>IFERROR(__xludf.DUMMYFUNCTION("IFERROR(GOOGLEFINANCE(""BVMF:"" &amp; A25),0)"),9.17)</f>
        <v>9.17</v>
      </c>
    </row>
    <row r="26" ht="22.5" customHeight="1">
      <c r="A26" s="80" t="s">
        <v>54</v>
      </c>
      <c r="B26" s="41" t="str">
        <f t="array" ref="B26">IFERROR(IF(AND( 
  INDEX(Fiis[], MATCH(A26, Fiis[Fii], 0), MATCH(Fiis[[#HEADERS],[Preço mercado]], Fiis[#HEADERS], 0)) &lt; 
  INDEX(Fiis[], MATCH(A26, Fiis[Fii], 0), MATCH(Fiis[[#HEADERS],[Justo]], Fiis[#HEADERS], 0)),  
  INDEX(Fiis[], MATCH(A26, Fiis[Fii], 0), MATCH(Fiis[[#HEADERS],[Preço mercado]], Fiis[#HEADERS], 0)) &lt; 
  INDEX(Fiis[], MATCH(A26, Fiis[Fii], 0), MATCH(Fiis[[#HEADERS],[VP/Cota]], Fiis[#HEADERS], 0))
), "SIM", "NÃO"), "")
</f>
        <v>SIM</v>
      </c>
      <c r="C26" s="20">
        <f>IFERROR(__xludf.DUMMYFUNCTION("IFERROR(GOOGLEFINANCE(""BVMF:"" &amp; A26),0)"),114.33)</f>
        <v>114.33</v>
      </c>
    </row>
    <row r="27" ht="22.5" customHeight="1">
      <c r="A27" s="80" t="s">
        <v>56</v>
      </c>
      <c r="B27" s="41" t="str">
        <f t="array" ref="B27">IFERROR(IF(AND( 
  INDEX(Fiis[], MATCH(A27, Fiis[Fii], 0), MATCH(Fiis[[#HEADERS],[Preço mercado]], Fiis[#HEADERS], 0)) &lt; 
  INDEX(Fiis[], MATCH(A27, Fiis[Fii], 0), MATCH(Fiis[[#HEADERS],[Justo]], Fiis[#HEADERS], 0)),  
  INDEX(Fiis[], MATCH(A27, Fiis[Fii], 0), MATCH(Fiis[[#HEADERS],[Preço mercado]], Fiis[#HEADERS], 0)) &lt; 
  INDEX(Fiis[], MATCH(A27, Fiis[Fii], 0), MATCH(Fiis[[#HEADERS],[VP/Cota]], Fiis[#HEADERS], 0))
), "SIM", "NÃO"), "")
</f>
        <v>SIM</v>
      </c>
      <c r="C27" s="20">
        <f>IFERROR(__xludf.DUMMYFUNCTION("IFERROR(GOOGLEFINANCE(""BVMF:"" &amp; A27),0)"),73.79)</f>
        <v>73.79</v>
      </c>
    </row>
    <row r="33">
      <c r="A33" s="7" t="s">
        <v>124</v>
      </c>
      <c r="C33" s="7" t="s">
        <v>125</v>
      </c>
      <c r="E33" s="113">
        <f>SUM(C36+(C37*C38))/(1+C37)</f>
        <v>18.81963808</v>
      </c>
    </row>
    <row r="34">
      <c r="C34" s="7" t="s">
        <v>126</v>
      </c>
      <c r="E34" s="115">
        <f> (C39 + (C38 * C37/100)) / (1 + C37/100)
</f>
        <v>0.01702135525</v>
      </c>
    </row>
    <row r="35">
      <c r="A35" s="7" t="s">
        <v>127</v>
      </c>
      <c r="C35" s="7" t="s">
        <v>42</v>
      </c>
    </row>
    <row r="36">
      <c r="A36" s="7" t="s">
        <v>128</v>
      </c>
      <c r="B36" s="116"/>
      <c r="C36" s="115">
        <f>IFERROR(__xludf.DUMMYFUNCTION("GOOGLEFINANCE(C35)"),18.68)</f>
        <v>18.68</v>
      </c>
    </row>
    <row r="37">
      <c r="A37" s="7" t="s">
        <v>129</v>
      </c>
      <c r="C37" s="117">
        <v>0.0831</v>
      </c>
    </row>
    <row r="38">
      <c r="A38" s="7" t="s">
        <v>130</v>
      </c>
      <c r="C38" s="116">
        <v>20.5</v>
      </c>
    </row>
    <row r="39">
      <c r="A39" s="7" t="s">
        <v>131</v>
      </c>
      <c r="C39" s="118" t="str">
        <f t="array" ref="C39">IFERROR(INDEX(#REF!, MATCH(C42, #REF!, 0), MATCH(#REF!, #REF!, 0)), "")
</f>
        <v/>
      </c>
    </row>
    <row r="41">
      <c r="A41" s="7" t="s">
        <v>132</v>
      </c>
      <c r="G41" s="7" t="s">
        <v>133</v>
      </c>
    </row>
    <row r="42">
      <c r="A42" s="7" t="s">
        <v>134</v>
      </c>
      <c r="C42" s="7" t="str">
        <f>C35</f>
        <v>HGBS11</v>
      </c>
      <c r="G42" s="7" t="s">
        <v>135</v>
      </c>
    </row>
    <row r="43">
      <c r="A43" s="7" t="s">
        <v>136</v>
      </c>
      <c r="C43" s="7">
        <f t="array" ref="C43">IFERROR(INDEX(Fiis[], MATCH(C42, Fiis[Fii], 0), MATCH(Fiis[[#HEADERS],[QTD]], Fiis[#HEADERS], 0)), "")
</f>
        <v>20</v>
      </c>
      <c r="G43" s="7" t="s">
        <v>134</v>
      </c>
      <c r="I43" s="7" t="str">
        <f>C35</f>
        <v>HGBS11</v>
      </c>
    </row>
    <row r="44">
      <c r="A44" s="7" t="s">
        <v>137</v>
      </c>
      <c r="C44" s="117">
        <f>C37</f>
        <v>0.0831</v>
      </c>
      <c r="G44" s="7" t="s">
        <v>136</v>
      </c>
      <c r="I44" s="7">
        <f>C43</f>
        <v>20</v>
      </c>
    </row>
    <row r="45">
      <c r="A45" s="7" t="s">
        <v>138</v>
      </c>
      <c r="C45" s="30">
        <f>ROUNDDOWN(C43*C44,0)</f>
        <v>1</v>
      </c>
      <c r="G45" s="7" t="s">
        <v>137</v>
      </c>
      <c r="I45" s="117">
        <f>C37</f>
        <v>0.0831</v>
      </c>
    </row>
    <row r="46">
      <c r="A46" s="7" t="s">
        <v>139</v>
      </c>
      <c r="C46" s="115">
        <f>IFERROR(__xludf.DUMMYFUNCTION("GOOGLEFINANCE(C42)"),18.68)</f>
        <v>18.68</v>
      </c>
      <c r="G46" s="7" t="s">
        <v>138</v>
      </c>
      <c r="I46" s="7">
        <f>C45</f>
        <v>1</v>
      </c>
      <c r="M46" s="117"/>
    </row>
    <row r="47">
      <c r="A47" s="7" t="s">
        <v>140</v>
      </c>
      <c r="C47" s="115">
        <f>C38</f>
        <v>20.5</v>
      </c>
      <c r="G47" s="7" t="s">
        <v>139</v>
      </c>
      <c r="I47" s="115">
        <f>IFERROR(__xludf.DUMMYFUNCTION("GOOGLEFINANCE(I43)"),18.68)</f>
        <v>18.68</v>
      </c>
    </row>
    <row r="48">
      <c r="A48" s="7" t="s">
        <v>141</v>
      </c>
      <c r="C48" s="117">
        <v>0.2</v>
      </c>
      <c r="G48" s="7" t="s">
        <v>126</v>
      </c>
      <c r="I48" s="116">
        <f>E34</f>
        <v>0.01702135525</v>
      </c>
      <c r="M48" s="115"/>
    </row>
    <row r="49">
      <c r="A49" s="7" t="s">
        <v>142</v>
      </c>
      <c r="C49" s="115">
        <f>C50*C48</f>
        <v>-0.364</v>
      </c>
      <c r="G49" s="7" t="s">
        <v>126</v>
      </c>
      <c r="I49" s="120">
        <v>1.0</v>
      </c>
      <c r="M49" s="116"/>
    </row>
    <row r="50">
      <c r="A50" s="7" t="s">
        <v>143</v>
      </c>
      <c r="C50" s="115">
        <f>(C45*C46)-(C45*C47)</f>
        <v>-1.82</v>
      </c>
      <c r="G50" s="7" t="s">
        <v>144</v>
      </c>
      <c r="I50" s="7">
        <v>0.98</v>
      </c>
      <c r="M50" s="117"/>
    </row>
    <row r="51">
      <c r="A51" s="7" t="s">
        <v>145</v>
      </c>
      <c r="C51" s="115">
        <f>C50-C49</f>
        <v>-1.456</v>
      </c>
      <c r="G51" s="7" t="s">
        <v>144</v>
      </c>
      <c r="I51" s="115">
        <f>E34*0.98</f>
        <v>0.01668092815</v>
      </c>
    </row>
    <row r="52">
      <c r="G52" s="7" t="s">
        <v>141</v>
      </c>
      <c r="I52" s="117">
        <v>0.2</v>
      </c>
    </row>
    <row r="53">
      <c r="A53" s="7" t="s">
        <v>147</v>
      </c>
      <c r="G53" s="7" t="s">
        <v>142</v>
      </c>
      <c r="I53" s="115">
        <f>I54*I52</f>
        <v>3.732663814</v>
      </c>
    </row>
    <row r="54">
      <c r="A54" s="7" t="s">
        <v>148</v>
      </c>
      <c r="B54" s="115">
        <f t="array" ref="B54">IFERROR(INDEX(Fiis[], MATCH(C35, Fiis[Fii], 0), MATCH(Fiis[[#HEADERS],[Div/12]], Fiis[#HEADERS], 0)), "")
</f>
        <v>0.155</v>
      </c>
      <c r="G54" s="7" t="s">
        <v>143</v>
      </c>
      <c r="I54" s="115">
        <f>(I46*I47)-(I46*I51)</f>
        <v>18.66331907</v>
      </c>
    </row>
    <row r="55">
      <c r="A55" s="7" t="s">
        <v>149</v>
      </c>
      <c r="B55" s="115">
        <f>(B54*C45)*2</f>
        <v>0.31</v>
      </c>
      <c r="G55" s="7" t="s">
        <v>145</v>
      </c>
      <c r="I55" s="115">
        <f>I54-I53</f>
        <v>14.93065526</v>
      </c>
    </row>
    <row r="56">
      <c r="A56" s="7" t="s">
        <v>150</v>
      </c>
      <c r="B56" s="115">
        <f>C51-B55</f>
        <v>-1.766</v>
      </c>
      <c r="L56" s="115"/>
    </row>
    <row r="57">
      <c r="A57" s="7" t="s">
        <v>151</v>
      </c>
      <c r="B57" s="115">
        <f>IFERROR(C51/B55,0)</f>
        <v>-4.696774194</v>
      </c>
      <c r="G57" s="7" t="s">
        <v>152</v>
      </c>
    </row>
    <row r="58">
      <c r="G58" s="7" t="s">
        <v>148</v>
      </c>
      <c r="H58" s="115">
        <f t="array" ref="H58">IFERROR(INDEX(Fiis[], MATCH(C35, Fiis[Fii], 0), MATCH(Fiis[[#HEADERS],[Div/12]], Fiis[#HEADERS], 0)), "")
</f>
        <v>0.155</v>
      </c>
    </row>
    <row r="59">
      <c r="G59" s="7" t="s">
        <v>149</v>
      </c>
      <c r="H59" s="115">
        <f>(H58*I46)*2</f>
        <v>0.31</v>
      </c>
    </row>
    <row r="60">
      <c r="A60" s="7" t="s">
        <v>153</v>
      </c>
      <c r="G60" s="7" t="s">
        <v>150</v>
      </c>
      <c r="H60" s="115">
        <f>I55-H59</f>
        <v>14.62065526</v>
      </c>
    </row>
    <row r="61">
      <c r="A61" s="7" t="s">
        <v>154</v>
      </c>
      <c r="B61" s="7">
        <v>0.2</v>
      </c>
      <c r="G61" s="7" t="s">
        <v>151</v>
      </c>
      <c r="H61" s="115">
        <f>IFERROR(ROUNDDOWN(I55/H59,0),0)</f>
        <v>48</v>
      </c>
    </row>
    <row r="62">
      <c r="A62" s="7" t="s">
        <v>155</v>
      </c>
      <c r="B62" s="30">
        <f>C45</f>
        <v>1</v>
      </c>
    </row>
    <row r="63">
      <c r="A63" s="7" t="s">
        <v>141</v>
      </c>
      <c r="B63" s="121">
        <v>0.15</v>
      </c>
    </row>
    <row r="64">
      <c r="A64" s="7" t="s">
        <v>142</v>
      </c>
      <c r="B64" s="30">
        <f>B65*B63</f>
        <v>0.03</v>
      </c>
    </row>
    <row r="65">
      <c r="A65" s="7" t="s">
        <v>143</v>
      </c>
      <c r="B65" s="30">
        <f>B61*B62</f>
        <v>0.2</v>
      </c>
    </row>
    <row r="66">
      <c r="A66" s="7" t="s">
        <v>145</v>
      </c>
      <c r="B66" s="115">
        <f>B65-B64</f>
        <v>0.17</v>
      </c>
    </row>
    <row r="68">
      <c r="A68" s="7" t="s">
        <v>156</v>
      </c>
      <c r="C68" s="30" t="str">
        <f>IF(B66  &lt; B56  , "Arbitragem compensa" , "Venda de Direitos compensa")
</f>
        <v>Venda de Direitos compensa</v>
      </c>
    </row>
  </sheetData>
  <mergeCells count="7">
    <mergeCell ref="C33:D33"/>
    <mergeCell ref="C34:D34"/>
    <mergeCell ref="A41:B41"/>
    <mergeCell ref="G42:H42"/>
    <mergeCell ref="A53:C53"/>
    <mergeCell ref="A68:B68"/>
    <mergeCell ref="C68:D68"/>
  </mergeCells>
  <conditionalFormatting sqref="A15">
    <cfRule type="expression" dxfId="5" priority="1">
      <formula>AND($A16="RZTR11", VALUE(SUBSTITUTE($C65,"%","")) &gt; VALUE(SUBSTITUTE($E65,"%",""))*2)</formula>
    </cfRule>
  </conditionalFormatting>
  <conditionalFormatting sqref="A15">
    <cfRule type="expression" dxfId="5" priority="2">
      <formula>AND($A16="BRCO11", VALUE(SUBSTITUTE($C65,"%","")) &gt; VALUE(SUBSTITUTE($E65,"%",""))*2)</formula>
    </cfRule>
  </conditionalFormatting>
  <conditionalFormatting sqref="A15">
    <cfRule type="expression" dxfId="5" priority="3">
      <formula>AND($A16="BTLG11", VALUE(SUBSTITUTE($C65,"%","")) &gt; VALUE(SUBSTITUTE($E65,"%",""))*2)</formula>
    </cfRule>
  </conditionalFormatting>
  <conditionalFormatting sqref="A15">
    <cfRule type="expression" dxfId="5" priority="4">
      <formula>AND($A16="XPLG11", VALUE(SUBSTITUTE($C65,"%","")) &gt; VALUE(SUBSTITUTE($E65,"%",""))*2)</formula>
    </cfRule>
  </conditionalFormatting>
  <conditionalFormatting sqref="A15">
    <cfRule type="expression" dxfId="5" priority="5">
      <formula>AND($A16="GGRC11", VALUE(SUBSTITUTE($C65,"%","")) &gt; VALUE(SUBSTITUTE($E65,"%",""))*2)</formula>
    </cfRule>
  </conditionalFormatting>
  <conditionalFormatting sqref="A15">
    <cfRule type="expression" dxfId="5" priority="6">
      <formula>AND($A16="GARE11", VALUE(SUBSTITUTE($C65,"%","")) &gt; VALUE(SUBSTITUTE($E65,"%",""))*2)</formula>
    </cfRule>
  </conditionalFormatting>
  <conditionalFormatting sqref="A15">
    <cfRule type="expression" dxfId="5" priority="7">
      <formula>AND($A16="HGLG11", VALUE(SUBSTITUTE($C65,"%","")) &gt; VALUE(SUBSTITUTE($E65,"%",""))*2)</formula>
    </cfRule>
  </conditionalFormatting>
  <conditionalFormatting sqref="A15">
    <cfRule type="expression" dxfId="5" priority="8">
      <formula>AND($A16="HGBS11", VALUE(SUBSTITUTE($C65,"%","")) &gt; VALUE(SUBSTITUTE($E65,"%",""))*2)</formula>
    </cfRule>
  </conditionalFormatting>
  <conditionalFormatting sqref="A15">
    <cfRule type="expression" dxfId="5" priority="9">
      <formula>AND($A16="MALL11", VALUE(SUBSTITUTE($C65,"%","")) &gt; VALUE(SUBSTITUTE($E65,"%",""))*2)</formula>
    </cfRule>
  </conditionalFormatting>
  <conditionalFormatting sqref="A15">
    <cfRule type="expression" dxfId="5" priority="10">
      <formula>AND($A16="LVBI11", VALUE(SUBSTITUTE($C65,"%","")) &gt; VALUE(SUBSTITUTE($E65,"%",""))*2)</formula>
    </cfRule>
  </conditionalFormatting>
  <conditionalFormatting sqref="A15">
    <cfRule type="expression" dxfId="5" priority="11">
      <formula>AND($A16="RBRF11", VALUE(SUBSTITUTE($C65,"%","")) &gt; VALUE(SUBSTITUTE($E65,"%",""))*2)</formula>
    </cfRule>
  </conditionalFormatting>
  <conditionalFormatting sqref="A15">
    <cfRule type="expression" dxfId="5" priority="12">
      <formula>AND($A16="BTCI11", VALUE(SUBSTITUTE($C65,"%","")) &gt; VALUE(SUBSTITUTE($E65,"%",""))*2)</formula>
    </cfRule>
  </conditionalFormatting>
  <conditionalFormatting sqref="A15">
    <cfRule type="expression" dxfId="5" priority="13">
      <formula>AND($A16="RBRX11", VALUE(SUBSTITUTE($C65,"%","")) &gt; VALUE(SUBSTITUTE($E65,"%",""))*2)</formula>
    </cfRule>
  </conditionalFormatting>
  <conditionalFormatting sqref="A15">
    <cfRule type="expression" dxfId="5" priority="14">
      <formula>AND($A16="MXRF11", VALUE(SUBSTITUTE($C65,"%","")) &gt; VALUE(SUBSTITUTE($E65,"%",""))*2)</formula>
    </cfRule>
  </conditionalFormatting>
  <conditionalFormatting sqref="A15">
    <cfRule type="expression" dxfId="6" priority="15">
      <formula>AND($A16="RZTR11", VALUE(SUBSTITUTE($C65,"%","")) &gt; VALUE(SUBSTITUTE($E65,"%","")))</formula>
    </cfRule>
  </conditionalFormatting>
  <conditionalFormatting sqref="A15">
    <cfRule type="expression" dxfId="6" priority="16">
      <formula>AND($A16="BRCO11", VALUE(SUBSTITUTE($C65,"%","")) &gt; VALUE(SUBSTITUTE($E65,"%","")))</formula>
    </cfRule>
  </conditionalFormatting>
  <conditionalFormatting sqref="A15">
    <cfRule type="expression" dxfId="6" priority="17">
      <formula>AND($A16="BTLG11", VALUE(SUBSTITUTE($C65,"%","")) &gt; VALUE(SUBSTITUTE($E65,"%","")))</formula>
    </cfRule>
  </conditionalFormatting>
  <conditionalFormatting sqref="A15">
    <cfRule type="expression" dxfId="6" priority="18">
      <formula>AND($A16="XPLG11", VALUE(SUBSTITUTE($C65,"%","")) &gt; VALUE(SUBSTITUTE($E65,"%","")))</formula>
    </cfRule>
  </conditionalFormatting>
  <conditionalFormatting sqref="A15">
    <cfRule type="expression" dxfId="6" priority="19">
      <formula>AND($A16="GGRC11", VALUE(SUBSTITUTE($C65,"%","")) &gt; VALUE(SUBSTITUTE($E65,"%","")))</formula>
    </cfRule>
  </conditionalFormatting>
  <conditionalFormatting sqref="A15">
    <cfRule type="expression" dxfId="6" priority="20">
      <formula>AND($A16="GARE11", VALUE(SUBSTITUTE($C65,"%","")) &gt; VALUE(SUBSTITUTE($E65,"%","")))</formula>
    </cfRule>
  </conditionalFormatting>
  <conditionalFormatting sqref="A15">
    <cfRule type="expression" dxfId="6" priority="21">
      <formula>AND($A16="HGBS11", VALUE(SUBSTITUTE($C65,"%","")) &gt; VALUE(SUBSTITUTE($E65,"%","")))</formula>
    </cfRule>
  </conditionalFormatting>
  <conditionalFormatting sqref="A15">
    <cfRule type="expression" dxfId="6" priority="22">
      <formula>AND($A16="MALL11", VALUE(SUBSTITUTE($C65,"%","")) &gt; VALUE(SUBSTITUTE($E65,"%","")))</formula>
    </cfRule>
  </conditionalFormatting>
  <conditionalFormatting sqref="A15">
    <cfRule type="expression" dxfId="6" priority="23">
      <formula>AND($A16="LVBI11", VALUE(SUBSTITUTE($C65,"%","")) &gt; VALUE(SUBSTITUTE($E65,"%","")))</formula>
    </cfRule>
  </conditionalFormatting>
  <conditionalFormatting sqref="A15">
    <cfRule type="expression" dxfId="6" priority="24">
      <formula>AND($A16="RBRF11", VALUE(SUBSTITUTE($C65,"%","")) &gt; VALUE(SUBSTITUTE($E65,"%","")))</formula>
    </cfRule>
  </conditionalFormatting>
  <conditionalFormatting sqref="A15">
    <cfRule type="expression" dxfId="6" priority="25">
      <formula>AND($A16="BTCI11", VALUE(SUBSTITUTE($C65,"%","")) &gt; VALUE(SUBSTITUTE($E65,"%","")))</formula>
    </cfRule>
  </conditionalFormatting>
  <conditionalFormatting sqref="A15">
    <cfRule type="expression" dxfId="6" priority="26">
      <formula>AND($A16="RBRX11", VALUE(SUBSTITUTE($C65,"%","")) &gt; VALUE(SUBSTITUTE($E65,"%","")))</formula>
    </cfRule>
  </conditionalFormatting>
  <conditionalFormatting sqref="A15">
    <cfRule type="expression" dxfId="6" priority="27">
      <formula>AND($A16="MXRF11", VALUE(SUBSTITUTE($C65,"%","")) &gt; VALUE(SUBSTITUTE($E65,"%","")))</formula>
    </cfRule>
  </conditionalFormatting>
  <conditionalFormatting sqref="A15">
    <cfRule type="expression" dxfId="7" priority="28">
      <formula>AND($A16="RZTR11", VALUE(SUBSTITUTE($C65,"%","")) &lt; VALUE(SUBSTITUTE($E65,"%","")))</formula>
    </cfRule>
  </conditionalFormatting>
  <conditionalFormatting sqref="A15">
    <cfRule type="expression" dxfId="7" priority="29">
      <formula>AND($A16="BRCO11", VALUE(SUBSTITUTE($C65,"%","")) &lt; VALUE(SUBSTITUTE($E65,"%","")))</formula>
    </cfRule>
  </conditionalFormatting>
  <conditionalFormatting sqref="A15">
    <cfRule type="expression" dxfId="7" priority="30">
      <formula>AND($A16="BTLG11", VALUE(SUBSTITUTE($C65,"%","")) &lt; VALUE(SUBSTITUTE($E65,"%","")))</formula>
    </cfRule>
  </conditionalFormatting>
  <conditionalFormatting sqref="A15">
    <cfRule type="expression" dxfId="7" priority="31">
      <formula>AND($A16="XPLG11", VALUE(SUBSTITUTE($C65,"%","")) &lt; VALUE(SUBSTITUTE($E65,"%","")))</formula>
    </cfRule>
  </conditionalFormatting>
  <conditionalFormatting sqref="A15">
    <cfRule type="expression" dxfId="7" priority="32">
      <formula>AND($A16="GGRC11", VALUE(SUBSTITUTE($C65,"%","")) &lt; VALUE(SUBSTITUTE($E65,"%","")))</formula>
    </cfRule>
  </conditionalFormatting>
  <conditionalFormatting sqref="A15">
    <cfRule type="expression" dxfId="7" priority="33">
      <formula>AND($A16="GARE11", VALUE(SUBSTITUTE($C65,"%","")) &lt; VALUE(SUBSTITUTE($E65,"%","")))</formula>
    </cfRule>
  </conditionalFormatting>
  <conditionalFormatting sqref="A15">
    <cfRule type="expression" dxfId="7" priority="34">
      <formula>AND($A16="HGLG11", VALUE(SUBSTITUTE($C65,"%","")) &lt; VALUE(SUBSTITUTE($E65,"%","")))</formula>
    </cfRule>
  </conditionalFormatting>
  <conditionalFormatting sqref="A15">
    <cfRule type="expression" dxfId="7" priority="35">
      <formula>AND($A16="HGBS11", VALUE(SUBSTITUTE($C65,"%","")) &lt; VALUE(SUBSTITUTE($E65,"%","")))</formula>
    </cfRule>
  </conditionalFormatting>
  <conditionalFormatting sqref="A15">
    <cfRule type="expression" dxfId="7" priority="36">
      <formula>AND($A16="MALL11", VALUE(SUBSTITUTE($C65,"%","")) &lt; VALUE(SUBSTITUTE($E65,"%","")))</formula>
    </cfRule>
  </conditionalFormatting>
  <conditionalFormatting sqref="A15">
    <cfRule type="expression" dxfId="7" priority="37">
      <formula>AND($A16="LVBI11", VALUE(SUBSTITUTE($C65,"%","")) &lt; VALUE(SUBSTITUTE($E65,"%","")))</formula>
    </cfRule>
  </conditionalFormatting>
  <conditionalFormatting sqref="A15">
    <cfRule type="expression" dxfId="7" priority="38">
      <formula>AND($A16="RBRF11", VALUE(SUBSTITUTE($C65,"%","")) &lt; VALUE(SUBSTITUTE($E65,"%","")))</formula>
    </cfRule>
  </conditionalFormatting>
  <conditionalFormatting sqref="A15">
    <cfRule type="expression" dxfId="7" priority="39">
      <formula>AND($A16="BTCI11", VALUE(SUBSTITUTE($C65,"%","")) &lt; VALUE(SUBSTITUTE($E65,"%","")))</formula>
    </cfRule>
  </conditionalFormatting>
  <conditionalFormatting sqref="A15">
    <cfRule type="expression" dxfId="7" priority="40">
      <formula>AND($A16="RBRX11", VALUE(SUBSTITUTE($C65,"%","")) &lt; VALUE(SUBSTITUTE($E65,"%","")))</formula>
    </cfRule>
  </conditionalFormatting>
  <conditionalFormatting sqref="A15">
    <cfRule type="expression" dxfId="7" priority="41">
      <formula>AND($A16="MXRF11", VALUE(SUBSTITUTE($C65,"%","")) &lt; VALUE(SUBSTITUTE($E65,"%","")))</formula>
    </cfRule>
  </conditionalFormatting>
  <conditionalFormatting sqref="A17 A20 A23">
    <cfRule type="expression" dxfId="5" priority="42">
      <formula>AND($A18="RZTR11", VALUE(SUBSTITUTE($C68,"%","")) &gt; VALUE(SUBSTITUTE($E68,"%",""))*2)</formula>
    </cfRule>
  </conditionalFormatting>
  <conditionalFormatting sqref="A17 A20 A23">
    <cfRule type="expression" dxfId="5" priority="43">
      <formula>AND($A18="BRCO11", VALUE(SUBSTITUTE($C68,"%","")) &gt; VALUE(SUBSTITUTE($E68,"%",""))*2)</formula>
    </cfRule>
  </conditionalFormatting>
  <conditionalFormatting sqref="A17 A20 A23">
    <cfRule type="expression" dxfId="5" priority="44">
      <formula>AND($A18="BTLG11", VALUE(SUBSTITUTE($C68,"%","")) &gt; VALUE(SUBSTITUTE($E68,"%",""))*2)</formula>
    </cfRule>
  </conditionalFormatting>
  <conditionalFormatting sqref="A17 A20 A23">
    <cfRule type="expression" dxfId="5" priority="45">
      <formula>AND($A18="XPLG11", VALUE(SUBSTITUTE($C68,"%","")) &gt; VALUE(SUBSTITUTE($E68,"%",""))*2)</formula>
    </cfRule>
  </conditionalFormatting>
  <conditionalFormatting sqref="A17 A20 A23">
    <cfRule type="expression" dxfId="5" priority="46">
      <formula>AND($A18="GGRC11", VALUE(SUBSTITUTE($C68,"%","")) &gt; VALUE(SUBSTITUTE($E68,"%",""))*2)</formula>
    </cfRule>
  </conditionalFormatting>
  <conditionalFormatting sqref="A17 A20 A23">
    <cfRule type="expression" dxfId="5" priority="47">
      <formula>AND($A18="GARE11", VALUE(SUBSTITUTE($C68,"%","")) &gt; VALUE(SUBSTITUTE($E68,"%",""))*2)</formula>
    </cfRule>
  </conditionalFormatting>
  <conditionalFormatting sqref="A17 A20 A23">
    <cfRule type="expression" dxfId="5" priority="48">
      <formula>AND($A18="HGLG11", VALUE(SUBSTITUTE($C68,"%","")) &gt; VALUE(SUBSTITUTE($E68,"%",""))*2)</formula>
    </cfRule>
  </conditionalFormatting>
  <conditionalFormatting sqref="A17 A20 A23">
    <cfRule type="expression" dxfId="5" priority="49">
      <formula>AND($A18="HGBS11", VALUE(SUBSTITUTE($C68,"%","")) &gt; VALUE(SUBSTITUTE($E68,"%",""))*2)</formula>
    </cfRule>
  </conditionalFormatting>
  <conditionalFormatting sqref="A17 A20 A23">
    <cfRule type="expression" dxfId="5" priority="50">
      <formula>AND($A18="MALL11", VALUE(SUBSTITUTE($C68,"%","")) &gt; VALUE(SUBSTITUTE($E68,"%",""))*2)</formula>
    </cfRule>
  </conditionalFormatting>
  <conditionalFormatting sqref="A17 A20 A23">
    <cfRule type="expression" dxfId="5" priority="51">
      <formula>AND($A18="LVBI11", VALUE(SUBSTITUTE($C68,"%","")) &gt; VALUE(SUBSTITUTE($E68,"%",""))*2)</formula>
    </cfRule>
  </conditionalFormatting>
  <conditionalFormatting sqref="A17 A20 A23">
    <cfRule type="expression" dxfId="5" priority="52">
      <formula>AND($A18="RBRF11", VALUE(SUBSTITUTE($C68,"%","")) &gt; VALUE(SUBSTITUTE($E68,"%",""))*2)</formula>
    </cfRule>
  </conditionalFormatting>
  <conditionalFormatting sqref="A17 A20 A23">
    <cfRule type="expression" dxfId="5" priority="53">
      <formula>AND($A18="BTCI11", VALUE(SUBSTITUTE($C68,"%","")) &gt; VALUE(SUBSTITUTE($E68,"%",""))*2)</formula>
    </cfRule>
  </conditionalFormatting>
  <conditionalFormatting sqref="A17 A20 A23">
    <cfRule type="expression" dxfId="5" priority="54">
      <formula>AND($A18="RBRX11", VALUE(SUBSTITUTE($C68,"%","")) &gt; VALUE(SUBSTITUTE($E68,"%",""))*2)</formula>
    </cfRule>
  </conditionalFormatting>
  <conditionalFormatting sqref="A17 A20 A23">
    <cfRule type="expression" dxfId="5" priority="55">
      <formula>AND($A18="MXRF11", VALUE(SUBSTITUTE($C68,"%","")) &gt; VALUE(SUBSTITUTE($E68,"%",""))*2)</formula>
    </cfRule>
  </conditionalFormatting>
  <conditionalFormatting sqref="A17 A20 A23">
    <cfRule type="expression" dxfId="6" priority="56">
      <formula>AND($A18="RZTR11", VALUE(SUBSTITUTE($C68,"%","")) &gt; VALUE(SUBSTITUTE($E68,"%","")))</formula>
    </cfRule>
  </conditionalFormatting>
  <conditionalFormatting sqref="A17 A20 A23">
    <cfRule type="expression" dxfId="6" priority="57">
      <formula>AND($A18="BRCO11", VALUE(SUBSTITUTE($C68,"%","")) &gt; VALUE(SUBSTITUTE($E68,"%","")))</formula>
    </cfRule>
  </conditionalFormatting>
  <conditionalFormatting sqref="A17 A20 A23">
    <cfRule type="expression" dxfId="6" priority="58">
      <formula>AND($A18="BTLG11", VALUE(SUBSTITUTE($C68,"%","")) &gt; VALUE(SUBSTITUTE($E68,"%","")))</formula>
    </cfRule>
  </conditionalFormatting>
  <conditionalFormatting sqref="A17 A20 A23">
    <cfRule type="expression" dxfId="6" priority="59">
      <formula>AND($A18="XPLG11", VALUE(SUBSTITUTE($C68,"%","")) &gt; VALUE(SUBSTITUTE($E68,"%","")))</formula>
    </cfRule>
  </conditionalFormatting>
  <conditionalFormatting sqref="A17 A20 A23">
    <cfRule type="expression" dxfId="6" priority="60">
      <formula>AND($A18="GGRC11", VALUE(SUBSTITUTE($C68,"%","")) &gt; VALUE(SUBSTITUTE($E68,"%","")))</formula>
    </cfRule>
  </conditionalFormatting>
  <conditionalFormatting sqref="A17 A20 A23">
    <cfRule type="expression" dxfId="6" priority="61">
      <formula>AND($A18="GARE11", VALUE(SUBSTITUTE($C68,"%","")) &gt; VALUE(SUBSTITUTE($E68,"%","")))</formula>
    </cfRule>
  </conditionalFormatting>
  <conditionalFormatting sqref="A17 A20 A23">
    <cfRule type="expression" dxfId="6" priority="62">
      <formula>AND($A18="HGBS11", VALUE(SUBSTITUTE($C68,"%","")) &gt; VALUE(SUBSTITUTE($E68,"%","")))</formula>
    </cfRule>
  </conditionalFormatting>
  <conditionalFormatting sqref="A17 A20 A23">
    <cfRule type="expression" dxfId="6" priority="63">
      <formula>AND($A18="MALL11", VALUE(SUBSTITUTE($C68,"%","")) &gt; VALUE(SUBSTITUTE($E68,"%","")))</formula>
    </cfRule>
  </conditionalFormatting>
  <conditionalFormatting sqref="A17 A20 A23">
    <cfRule type="expression" dxfId="6" priority="64">
      <formula>AND($A18="LVBI11", VALUE(SUBSTITUTE($C68,"%","")) &gt; VALUE(SUBSTITUTE($E68,"%","")))</formula>
    </cfRule>
  </conditionalFormatting>
  <conditionalFormatting sqref="A17 A20 A23">
    <cfRule type="expression" dxfId="6" priority="65">
      <formula>AND($A18="RBRF11", VALUE(SUBSTITUTE($C68,"%","")) &gt; VALUE(SUBSTITUTE($E68,"%","")))</formula>
    </cfRule>
  </conditionalFormatting>
  <conditionalFormatting sqref="A17 A20 A23">
    <cfRule type="expression" dxfId="6" priority="66">
      <formula>AND($A18="BTCI11", VALUE(SUBSTITUTE($C68,"%","")) &gt; VALUE(SUBSTITUTE($E68,"%","")))</formula>
    </cfRule>
  </conditionalFormatting>
  <conditionalFormatting sqref="A17 A20 A23">
    <cfRule type="expression" dxfId="6" priority="67">
      <formula>AND($A18="RBRX11", VALUE(SUBSTITUTE($C68,"%","")) &gt; VALUE(SUBSTITUTE($E68,"%","")))</formula>
    </cfRule>
  </conditionalFormatting>
  <conditionalFormatting sqref="A17 A20 A23">
    <cfRule type="expression" dxfId="6" priority="68">
      <formula>AND($A18="MXRF11", VALUE(SUBSTITUTE($C68,"%","")) &gt; VALUE(SUBSTITUTE($E68,"%","")))</formula>
    </cfRule>
  </conditionalFormatting>
  <conditionalFormatting sqref="A17 A20 A23">
    <cfRule type="expression" dxfId="7" priority="69">
      <formula>AND($A18="RZTR11", VALUE(SUBSTITUTE($C68,"%","")) &lt; VALUE(SUBSTITUTE($E68,"%","")))</formula>
    </cfRule>
  </conditionalFormatting>
  <conditionalFormatting sqref="A17 A20 A23">
    <cfRule type="expression" dxfId="7" priority="70">
      <formula>AND($A18="BRCO11", VALUE(SUBSTITUTE($C68,"%","")) &lt; VALUE(SUBSTITUTE($E68,"%","")))</formula>
    </cfRule>
  </conditionalFormatting>
  <conditionalFormatting sqref="A17 A20 A23">
    <cfRule type="expression" dxfId="7" priority="71">
      <formula>AND($A18="BTLG11", VALUE(SUBSTITUTE($C68,"%","")) &lt; VALUE(SUBSTITUTE($E68,"%","")))</formula>
    </cfRule>
  </conditionalFormatting>
  <conditionalFormatting sqref="A17 A20 A23">
    <cfRule type="expression" dxfId="7" priority="72">
      <formula>AND($A18="XPLG11", VALUE(SUBSTITUTE($C68,"%","")) &lt; VALUE(SUBSTITUTE($E68,"%","")))</formula>
    </cfRule>
  </conditionalFormatting>
  <conditionalFormatting sqref="A17 A20 A23">
    <cfRule type="expression" dxfId="7" priority="73">
      <formula>AND($A18="GGRC11", VALUE(SUBSTITUTE($C68,"%","")) &lt; VALUE(SUBSTITUTE($E68,"%","")))</formula>
    </cfRule>
  </conditionalFormatting>
  <conditionalFormatting sqref="A17 A20 A23">
    <cfRule type="expression" dxfId="7" priority="74">
      <formula>AND($A18="GARE11", VALUE(SUBSTITUTE($C68,"%","")) &lt; VALUE(SUBSTITUTE($E68,"%","")))</formula>
    </cfRule>
  </conditionalFormatting>
  <conditionalFormatting sqref="A17 A20 A23">
    <cfRule type="expression" dxfId="7" priority="75">
      <formula>AND($A18="HGLG11", VALUE(SUBSTITUTE($C68,"%","")) &lt; VALUE(SUBSTITUTE($E68,"%","")))</formula>
    </cfRule>
  </conditionalFormatting>
  <conditionalFormatting sqref="A17 A20 A23">
    <cfRule type="expression" dxfId="7" priority="76">
      <formula>AND($A18="HGBS11", VALUE(SUBSTITUTE($C68,"%","")) &lt; VALUE(SUBSTITUTE($E68,"%","")))</formula>
    </cfRule>
  </conditionalFormatting>
  <conditionalFormatting sqref="A17 A20 A23">
    <cfRule type="expression" dxfId="7" priority="77">
      <formula>AND($A18="MALL11", VALUE(SUBSTITUTE($C68,"%","")) &lt; VALUE(SUBSTITUTE($E68,"%","")))</formula>
    </cfRule>
  </conditionalFormatting>
  <conditionalFormatting sqref="A17 A20 A23">
    <cfRule type="expression" dxfId="7" priority="78">
      <formula>AND($A18="LVBI11", VALUE(SUBSTITUTE($C68,"%","")) &lt; VALUE(SUBSTITUTE($E68,"%","")))</formula>
    </cfRule>
  </conditionalFormatting>
  <conditionalFormatting sqref="A17 A20 A23">
    <cfRule type="expression" dxfId="7" priority="79">
      <formula>AND($A18="RBRF11", VALUE(SUBSTITUTE($C68,"%","")) &lt; VALUE(SUBSTITUTE($E68,"%","")))</formula>
    </cfRule>
  </conditionalFormatting>
  <conditionalFormatting sqref="A17 A20 A23">
    <cfRule type="expression" dxfId="7" priority="80">
      <formula>AND($A18="BTCI11", VALUE(SUBSTITUTE($C68,"%","")) &lt; VALUE(SUBSTITUTE($E68,"%","")))</formula>
    </cfRule>
  </conditionalFormatting>
  <conditionalFormatting sqref="A17 A20 A23">
    <cfRule type="expression" dxfId="7" priority="81">
      <formula>AND($A18="RBRX11", VALUE(SUBSTITUTE($C68,"%","")) &lt; VALUE(SUBSTITUTE($E68,"%","")))</formula>
    </cfRule>
  </conditionalFormatting>
  <conditionalFormatting sqref="A17 A20 A23">
    <cfRule type="expression" dxfId="7" priority="82">
      <formula>AND($A18="MXRF11", VALUE(SUBSTITUTE($C68,"%","")) &lt; VALUE(SUBSTITUTE($E68,"%","")))</formula>
    </cfRule>
  </conditionalFormatting>
  <conditionalFormatting sqref="A1:A3 A15:A27">
    <cfRule type="expression" dxfId="5" priority="83">
      <formula>AND($B1="RZTR11", VALUE(SUBSTITUTE($C1,"%","")) &gt; VALUE(SUBSTITUTE($E1,"%",""))*2)</formula>
    </cfRule>
  </conditionalFormatting>
  <conditionalFormatting sqref="A1:A3 A15:A27">
    <cfRule type="expression" dxfId="5" priority="84">
      <formula>AND($B1="BRCO11", VALUE(SUBSTITUTE($C1,"%","")) &gt; VALUE(SUBSTITUTE($E1,"%",""))*2)</formula>
    </cfRule>
  </conditionalFormatting>
  <conditionalFormatting sqref="A1:A3 A15:A27">
    <cfRule type="expression" dxfId="5" priority="85">
      <formula>AND($B1="BTLG11", VALUE(SUBSTITUTE($C1,"%","")) &gt; VALUE(SUBSTITUTE($E1,"%",""))*2)</formula>
    </cfRule>
  </conditionalFormatting>
  <conditionalFormatting sqref="A1:A3 A15:A27">
    <cfRule type="expression" dxfId="5" priority="86">
      <formula>AND($B1="XPLG11", VALUE(SUBSTITUTE($C1,"%","")) &gt; VALUE(SUBSTITUTE($E1,"%",""))*2)</formula>
    </cfRule>
  </conditionalFormatting>
  <conditionalFormatting sqref="A1:A3 A15:A27">
    <cfRule type="expression" dxfId="5" priority="87">
      <formula>AND($B1="GGRC11", VALUE(SUBSTITUTE($C1,"%","")) &gt; VALUE(SUBSTITUTE($E1,"%",""))*2)</formula>
    </cfRule>
  </conditionalFormatting>
  <conditionalFormatting sqref="A1:A3 A15:A27">
    <cfRule type="expression" dxfId="5" priority="88">
      <formula>AND($B1="GARE11", VALUE(SUBSTITUTE($C1,"%","")) &gt; VALUE(SUBSTITUTE($E1,"%",""))*2)</formula>
    </cfRule>
  </conditionalFormatting>
  <conditionalFormatting sqref="A1:A3 A15:A27">
    <cfRule type="expression" dxfId="5" priority="89">
      <formula>AND($B1="HGLG11", VALUE(SUBSTITUTE($C1,"%","")) &gt; VALUE(SUBSTITUTE($E1,"%",""))*2)</formula>
    </cfRule>
  </conditionalFormatting>
  <conditionalFormatting sqref="A1:A3 A15:A27">
    <cfRule type="expression" dxfId="5" priority="90">
      <formula>AND($B1="HGBS11", VALUE(SUBSTITUTE($C1,"%","")) &gt; VALUE(SUBSTITUTE($E1,"%",""))*2)</formula>
    </cfRule>
  </conditionalFormatting>
  <conditionalFormatting sqref="A1:A3 A15:A27">
    <cfRule type="expression" dxfId="5" priority="91">
      <formula>AND($B1="MALL11", VALUE(SUBSTITUTE($C1,"%","")) &gt; VALUE(SUBSTITUTE($E1,"%",""))*2)</formula>
    </cfRule>
  </conditionalFormatting>
  <conditionalFormatting sqref="A1:A3 A15:A27">
    <cfRule type="expression" dxfId="5" priority="92">
      <formula>AND($B1="LVBI11", VALUE(SUBSTITUTE($C1,"%","")) &gt; VALUE(SUBSTITUTE($E1,"%",""))*2)</formula>
    </cfRule>
  </conditionalFormatting>
  <conditionalFormatting sqref="A1:A3 A15:A27">
    <cfRule type="expression" dxfId="5" priority="93">
      <formula>AND($B1="RBRF11", VALUE(SUBSTITUTE($C1,"%","")) &gt; VALUE(SUBSTITUTE($E1,"%",""))*2)</formula>
    </cfRule>
  </conditionalFormatting>
  <conditionalFormatting sqref="A1:A3 A15:A27">
    <cfRule type="expression" dxfId="5" priority="94">
      <formula>AND($B1="BTCI11", VALUE(SUBSTITUTE($C1,"%","")) &gt; VALUE(SUBSTITUTE($E1,"%",""))*2)</formula>
    </cfRule>
  </conditionalFormatting>
  <conditionalFormatting sqref="A1:A3 A15:A27">
    <cfRule type="expression" dxfId="5" priority="95">
      <formula>AND($B1="RBRX11", VALUE(SUBSTITUTE($C1,"%","")) &gt; VALUE(SUBSTITUTE($E1,"%",""))*2)</formula>
    </cfRule>
  </conditionalFormatting>
  <conditionalFormatting sqref="A1:A3 A15:A27">
    <cfRule type="expression" dxfId="5" priority="96">
      <formula>AND($B1="MXRF11", VALUE(SUBSTITUTE($C1,"%","")) &gt; VALUE(SUBSTITUTE($E1,"%",""))*2)</formula>
    </cfRule>
  </conditionalFormatting>
  <conditionalFormatting sqref="A1:A3 A15:A27">
    <cfRule type="expression" dxfId="6" priority="97">
      <formula>AND($B1="RZTR11", VALUE(SUBSTITUTE($C1,"%","")) &gt; VALUE(SUBSTITUTE($E1,"%","")))</formula>
    </cfRule>
  </conditionalFormatting>
  <conditionalFormatting sqref="A1:A3 A15:A27">
    <cfRule type="expression" dxfId="6" priority="98">
      <formula>AND($B1="BRCO11", VALUE(SUBSTITUTE($C1,"%","")) &gt; VALUE(SUBSTITUTE($E1,"%","")))</formula>
    </cfRule>
  </conditionalFormatting>
  <conditionalFormatting sqref="A1:A3 A15:A27">
    <cfRule type="expression" dxfId="6" priority="99">
      <formula>AND($B1="BTLG11", VALUE(SUBSTITUTE($C1,"%","")) &gt; VALUE(SUBSTITUTE($E1,"%","")))</formula>
    </cfRule>
  </conditionalFormatting>
  <conditionalFormatting sqref="A1:A3 A15:A27">
    <cfRule type="expression" dxfId="6" priority="100">
      <formula>AND($B1="XPLG11", VALUE(SUBSTITUTE($C1,"%","")) &gt; VALUE(SUBSTITUTE($E1,"%","")))</formula>
    </cfRule>
  </conditionalFormatting>
  <conditionalFormatting sqref="A1:A3 A15:A27">
    <cfRule type="expression" dxfId="6" priority="101">
      <formula>AND($B1="GGRC11", VALUE(SUBSTITUTE($C1,"%","")) &gt; VALUE(SUBSTITUTE($E1,"%","")))</formula>
    </cfRule>
  </conditionalFormatting>
  <conditionalFormatting sqref="A1:A3 A15:A27">
    <cfRule type="expression" dxfId="6" priority="102">
      <formula>AND($B1="GARE11", VALUE(SUBSTITUTE($C1,"%","")) &gt; VALUE(SUBSTITUTE($E1,"%","")))</formula>
    </cfRule>
  </conditionalFormatting>
  <conditionalFormatting sqref="A1:A3 A15:A27">
    <cfRule type="expression" dxfId="6" priority="103">
      <formula>AND($B1="HGBS11", VALUE(SUBSTITUTE($C1,"%","")) &gt; VALUE(SUBSTITUTE($E1,"%","")))</formula>
    </cfRule>
  </conditionalFormatting>
  <conditionalFormatting sqref="A1:A3 A15:A27">
    <cfRule type="expression" dxfId="6" priority="104">
      <formula>AND($B1="MALL11", VALUE(SUBSTITUTE($C1,"%","")) &gt; VALUE(SUBSTITUTE($E1,"%","")))</formula>
    </cfRule>
  </conditionalFormatting>
  <conditionalFormatting sqref="A1:A3 A15:A27">
    <cfRule type="expression" dxfId="6" priority="105">
      <formula>AND($B1="LVBI11", VALUE(SUBSTITUTE($C1,"%","")) &gt; VALUE(SUBSTITUTE($E1,"%","")))</formula>
    </cfRule>
  </conditionalFormatting>
  <conditionalFormatting sqref="A1:A3 A15:A27">
    <cfRule type="expression" dxfId="6" priority="106">
      <formula>AND($B1="RBRF11", VALUE(SUBSTITUTE($C1,"%","")) &gt; VALUE(SUBSTITUTE($E1,"%","")))</formula>
    </cfRule>
  </conditionalFormatting>
  <conditionalFormatting sqref="A1:A3 A15:A27">
    <cfRule type="expression" dxfId="6" priority="107">
      <formula>AND($B1="BTCI11", VALUE(SUBSTITUTE($C1,"%","")) &gt; VALUE(SUBSTITUTE($E1,"%","")))</formula>
    </cfRule>
  </conditionalFormatting>
  <conditionalFormatting sqref="A1:A3 A15:A27">
    <cfRule type="expression" dxfId="6" priority="108">
      <formula>AND($B1="RBRX11", VALUE(SUBSTITUTE($C1,"%","")) &gt; VALUE(SUBSTITUTE($E1,"%","")))</formula>
    </cfRule>
  </conditionalFormatting>
  <conditionalFormatting sqref="A1:A3 A15:A27">
    <cfRule type="expression" dxfId="6" priority="109">
      <formula>AND($B1="MXRF11", VALUE(SUBSTITUTE($C1,"%","")) &gt; VALUE(SUBSTITUTE($E1,"%","")))</formula>
    </cfRule>
  </conditionalFormatting>
  <conditionalFormatting sqref="A1:A3 A15:A27">
    <cfRule type="expression" dxfId="7" priority="110">
      <formula>AND($B1="RZTR11", VALUE(SUBSTITUTE($C1,"%","")) &lt; VALUE(SUBSTITUTE($E1,"%","")))</formula>
    </cfRule>
  </conditionalFormatting>
  <conditionalFormatting sqref="A1:A3 A15:A27">
    <cfRule type="expression" dxfId="7" priority="111">
      <formula>AND($B1="BRCO11", VALUE(SUBSTITUTE($C1,"%","")) &lt; VALUE(SUBSTITUTE($E1,"%","")))</formula>
    </cfRule>
  </conditionalFormatting>
  <conditionalFormatting sqref="A1:A3 A15:A27">
    <cfRule type="expression" dxfId="7" priority="112">
      <formula>AND($B1="BTLG11", VALUE(SUBSTITUTE($C1,"%","")) &lt; VALUE(SUBSTITUTE($E1,"%","")))</formula>
    </cfRule>
  </conditionalFormatting>
  <conditionalFormatting sqref="A1:A3 A15:A27">
    <cfRule type="expression" dxfId="7" priority="113">
      <formula>AND($B1="XPLG11", VALUE(SUBSTITUTE($C1,"%","")) &lt; VALUE(SUBSTITUTE($E1,"%","")))</formula>
    </cfRule>
  </conditionalFormatting>
  <conditionalFormatting sqref="A1:A3 A15:A27">
    <cfRule type="expression" dxfId="7" priority="114">
      <formula>AND($B1="GGRC11", VALUE(SUBSTITUTE($C1,"%","")) &lt; VALUE(SUBSTITUTE($E1,"%","")))</formula>
    </cfRule>
  </conditionalFormatting>
  <conditionalFormatting sqref="A1:A3 A15:A27">
    <cfRule type="expression" dxfId="7" priority="115">
      <formula>AND($B1="GARE11", VALUE(SUBSTITUTE($C1,"%","")) &lt; VALUE(SUBSTITUTE($E1,"%","")))</formula>
    </cfRule>
  </conditionalFormatting>
  <conditionalFormatting sqref="A1:A3 A15:A27">
    <cfRule type="expression" dxfId="7" priority="116">
      <formula>AND($B1="HGLG11", VALUE(SUBSTITUTE($C1,"%","")) &lt; VALUE(SUBSTITUTE($E1,"%","")))</formula>
    </cfRule>
  </conditionalFormatting>
  <conditionalFormatting sqref="A1:A3 A15:A27">
    <cfRule type="expression" dxfId="7" priority="117">
      <formula>AND($B1="HGBS11", VALUE(SUBSTITUTE($C1,"%","")) &lt; VALUE(SUBSTITUTE($E1,"%","")))</formula>
    </cfRule>
  </conditionalFormatting>
  <conditionalFormatting sqref="A1:A3 A15:A27">
    <cfRule type="expression" dxfId="7" priority="118">
      <formula>AND($B1="MALL11", VALUE(SUBSTITUTE($C1,"%","")) &lt; VALUE(SUBSTITUTE($E1,"%","")))</formula>
    </cfRule>
  </conditionalFormatting>
  <conditionalFormatting sqref="A1:A3 A15:A27">
    <cfRule type="expression" dxfId="7" priority="119">
      <formula>AND($B1="LVBI11", VALUE(SUBSTITUTE($C1,"%","")) &lt; VALUE(SUBSTITUTE($E1,"%","")))</formula>
    </cfRule>
  </conditionalFormatting>
  <conditionalFormatting sqref="A1:A3 A15:A27">
    <cfRule type="expression" dxfId="7" priority="120">
      <formula>AND($B1="RBRF11", VALUE(SUBSTITUTE($C1,"%","")) &lt; VALUE(SUBSTITUTE($E1,"%","")))</formula>
    </cfRule>
  </conditionalFormatting>
  <conditionalFormatting sqref="A1:A3 A15:A27">
    <cfRule type="expression" dxfId="7" priority="121">
      <formula>AND($B1="BTCI11", VALUE(SUBSTITUTE($C1,"%","")) &lt; VALUE(SUBSTITUTE($E1,"%","")))</formula>
    </cfRule>
  </conditionalFormatting>
  <conditionalFormatting sqref="A1:A3 A15:A27">
    <cfRule type="expression" dxfId="7" priority="122">
      <formula>AND($B1="RBRX11", VALUE(SUBSTITUTE($C1,"%","")) &lt; VALUE(SUBSTITUTE($E1,"%","")))</formula>
    </cfRule>
  </conditionalFormatting>
  <conditionalFormatting sqref="A1:A3 A15:A27">
    <cfRule type="expression" dxfId="7" priority="123">
      <formula>AND($B1="MXRF11", VALUE(SUBSTITUTE($C1,"%","")) &lt; VALUE(SUBSTITUTE($E1,"%","")))</formula>
    </cfRule>
  </conditionalFormatting>
  <conditionalFormatting sqref="A4:A16">
    <cfRule type="expression" dxfId="5" priority="124">
      <formula>AND($B4="BBAS3", VALUE(SUBSTITUTE($C4,"%","")) &gt; VALUE(SUBSTITUTE($E4,"%",""))*2)</formula>
    </cfRule>
  </conditionalFormatting>
  <conditionalFormatting sqref="A4:A16">
    <cfRule type="expression" dxfId="5" priority="125">
      <formula>AND($B4="CMIG3", VALUE(SUBSTITUTE($C4,"%","")) &gt; VALUE(SUBSTITUTE($E4,"%",""))*2)</formula>
    </cfRule>
  </conditionalFormatting>
  <conditionalFormatting sqref="A4:A16">
    <cfRule type="expression" dxfId="5" priority="126">
      <formula>AND($B4="BBSE3", VALUE(SUBSTITUTE($C4,"%","")) &gt; VALUE(SUBSTITUTE($E4,"%",""))*2)</formula>
    </cfRule>
  </conditionalFormatting>
  <conditionalFormatting sqref="A4:A16">
    <cfRule type="expression" dxfId="5" priority="127">
      <formula>AND($B4="BRBI11", VALUE(SUBSTITUTE($C4,"%","")) &gt; VALUE(SUBSTITUTE($E4,"%",""))*2)</formula>
    </cfRule>
  </conditionalFormatting>
  <conditionalFormatting sqref="A4:A16">
    <cfRule type="expression" dxfId="5" priority="128">
      <formula>AND($B4="PETR4", VALUE(SUBSTITUTE($C4,"%","")) &gt; VALUE(SUBSTITUTE($E4,"%",""))*2)</formula>
    </cfRule>
  </conditionalFormatting>
  <conditionalFormatting sqref="A4:A16">
    <cfRule type="expression" dxfId="5" priority="129">
      <formula>AND($B4="CMIG4", VALUE(SUBSTITUTE($C4,"%","")) &gt; VALUE(SUBSTITUTE($E4,"%",""))*2)</formula>
    </cfRule>
  </conditionalFormatting>
  <conditionalFormatting sqref="A4:A16">
    <cfRule type="expression" dxfId="5" priority="130">
      <formula>AND($B4="BBDC3", VALUE(SUBSTITUTE($C4,"%","")) &gt; VALUE(SUBSTITUTE($E4,"%",""))*2)</formula>
    </cfRule>
  </conditionalFormatting>
  <conditionalFormatting sqref="A4:A16">
    <cfRule type="expression" dxfId="5" priority="131">
      <formula>AND($B4="TAEE11", VALUE(SUBSTITUTE($C4,"%","")) &gt; VALUE(SUBSTITUTE($E4,"%",""))*2)</formula>
    </cfRule>
  </conditionalFormatting>
  <conditionalFormatting sqref="A4:A16">
    <cfRule type="expression" dxfId="5" priority="132">
      <formula>AND($B4="VALE3", VALUE(SUBSTITUTE($C4,"%","")) &gt; VALUE(SUBSTITUTE($E4,"%",""))*2)</formula>
    </cfRule>
  </conditionalFormatting>
  <conditionalFormatting sqref="A4:A16">
    <cfRule type="expression" dxfId="5" priority="133">
      <formula>AND($B4="ITUB3", VALUE(SUBSTITUTE($C4,"%","")) &gt; VALUE(SUBSTITUTE($E4,"%",""))*2)</formula>
    </cfRule>
  </conditionalFormatting>
  <conditionalFormatting sqref="A4:A16">
    <cfRule type="expression" dxfId="6" priority="134">
      <formula>AND($B4="BBAS3", VALUE(SUBSTITUTE($C4,"%","")) &gt; VALUE(SUBSTITUTE($E4,"%","")))</formula>
    </cfRule>
  </conditionalFormatting>
  <conditionalFormatting sqref="A4:A16">
    <cfRule type="expression" dxfId="6" priority="135">
      <formula>AND($B4="BBSE3", VALUE(SUBSTITUTE($C4,"%","")) &gt; VALUE(SUBSTITUTE($E4,"%","")))</formula>
    </cfRule>
  </conditionalFormatting>
  <conditionalFormatting sqref="A4:A16">
    <cfRule type="expression" dxfId="6" priority="136">
      <formula>AND($B4="PETR4", VALUE(SUBSTITUTE($C4,"%","")) &gt; VALUE(SUBSTITUTE($E4,"%","")))</formula>
    </cfRule>
  </conditionalFormatting>
  <conditionalFormatting sqref="A4:A16">
    <cfRule type="expression" dxfId="6" priority="137">
      <formula>AND($B4="ITUB3", VALUE(SUBSTITUTE($C4,"%","")) &gt; VALUE(SUBSTITUTE($E4,"%","")))</formula>
    </cfRule>
  </conditionalFormatting>
  <conditionalFormatting sqref="A4:A16">
    <cfRule type="expression" dxfId="6" priority="138">
      <formula>AND($B4="VALE3", VALUE(SUBSTITUTE($C4,"%","")) &gt; VALUE(SUBSTITUTE($E4,"%","")))</formula>
    </cfRule>
  </conditionalFormatting>
  <conditionalFormatting sqref="A4:A16">
    <cfRule type="expression" dxfId="6" priority="139">
      <formula>AND($B4="CMIG3", VALUE(SUBSTITUTE($C4,"%","")) &gt; VALUE(SUBSTITUTE($E4,"%","")))</formula>
    </cfRule>
  </conditionalFormatting>
  <conditionalFormatting sqref="A4:A16">
    <cfRule type="expression" dxfId="6" priority="140">
      <formula>AND($B4="BRBI11", VALUE(SUBSTITUTE($C4,"%","")) &gt; VALUE(SUBSTITUTE($E4,"%","")))</formula>
    </cfRule>
  </conditionalFormatting>
  <conditionalFormatting sqref="A4:A16">
    <cfRule type="expression" dxfId="6" priority="141">
      <formula>AND($B4="TAEE11", VALUE(SUBSTITUTE($C4,"%","")) &gt; VALUE(SUBSTITUTE($E4,"%","")))</formula>
    </cfRule>
  </conditionalFormatting>
  <conditionalFormatting sqref="A4:A16">
    <cfRule type="expression" dxfId="6" priority="142">
      <formula>AND($B4="BBDC3", VALUE(SUBSTITUTE($C4,"%","")) &gt; VALUE(SUBSTITUTE($E4,"%","")))</formula>
    </cfRule>
  </conditionalFormatting>
  <conditionalFormatting sqref="A4:A16">
    <cfRule type="expression" dxfId="6" priority="143">
      <formula>AND($B4="CMIG4", VALUE(SUBSTITUTE($C4,"%","")) &gt; VALUE(SUBSTITUTE($E4,"%","")))</formula>
    </cfRule>
  </conditionalFormatting>
  <conditionalFormatting sqref="A4:A16">
    <cfRule type="expression" dxfId="7" priority="144">
      <formula>AND($B4="BBAS3", VALUE(SUBSTITUTE($C4,"%","")) &lt; VALUE(SUBSTITUTE($E4,"%","")))</formula>
    </cfRule>
  </conditionalFormatting>
  <conditionalFormatting sqref="A4:A16">
    <cfRule type="expression" dxfId="7" priority="145">
      <formula>AND($B4="BBSE3", VALUE(SUBSTITUTE($C4,"%","")) &lt; VALUE(SUBSTITUTE($E4,"%","")))</formula>
    </cfRule>
  </conditionalFormatting>
  <conditionalFormatting sqref="A4:A16">
    <cfRule type="expression" dxfId="7" priority="146">
      <formula>AND($B4="VALE3", VALUE(SUBSTITUTE($C4,"%","")) &lt; VALUE(SUBSTITUTE($E4,"%","")))</formula>
    </cfRule>
  </conditionalFormatting>
  <conditionalFormatting sqref="A4:A16">
    <cfRule type="expression" dxfId="7" priority="147">
      <formula>AND($B4="TAEE11", VALUE(SUBSTITUTE($C4,"%","")) &lt; VALUE(SUBSTITUTE($E4,"%","")))</formula>
    </cfRule>
  </conditionalFormatting>
  <conditionalFormatting sqref="A4:A16">
    <cfRule type="expression" dxfId="7" priority="148">
      <formula>AND($B4="PETR4", VALUE(SUBSTITUTE($C4,"%","")) &lt; VALUE(SUBSTITUTE($E4,"%","")))</formula>
    </cfRule>
  </conditionalFormatting>
  <conditionalFormatting sqref="A4:A16">
    <cfRule type="expression" dxfId="7" priority="149">
      <formula>AND($B4="BBDC3", VALUE(SUBSTITUTE($C4,"%","")) &lt; VALUE(SUBSTITUTE($E4,"%","")))</formula>
    </cfRule>
  </conditionalFormatting>
  <conditionalFormatting sqref="A4:A16">
    <cfRule type="expression" dxfId="7" priority="150">
      <formula>AND($B4="CMIG3", VALUE(SUBSTITUTE($C4,"%","")) &lt; VALUE(SUBSTITUTE($E4,"%","")))</formula>
    </cfRule>
  </conditionalFormatting>
  <conditionalFormatting sqref="A4:A16">
    <cfRule type="expression" dxfId="7" priority="151">
      <formula>AND($B4="BRBI11", VALUE(SUBSTITUTE($C4,"%","")) &lt; VALUE(SUBSTITUTE($E4,"%","")))</formula>
    </cfRule>
  </conditionalFormatting>
  <conditionalFormatting sqref="A4:A16">
    <cfRule type="expression" dxfId="7" priority="152">
      <formula>AND($B4="ITUB3", VALUE(SUBSTITUTE($C4,"%","")) &lt; VALUE(SUBSTITUTE($E4,"%","")))</formula>
    </cfRule>
  </conditionalFormatting>
  <conditionalFormatting sqref="A4:A16">
    <cfRule type="expression" dxfId="7" priority="153">
      <formula>AND($B4="CMIG4", VALUE(SUBSTITUTE($C4,"%","")) &lt; VALUE(SUBSTITUTE($E4,"%","")))</formula>
    </cfRule>
  </conditionalFormatting>
  <dataValidations>
    <dataValidation type="custom" allowBlank="1" showDropDown="1" sqref="C4:C27">
      <formula1>AND(ISNUMBER(C4),(NOT(OR(NOT(ISERROR(DATEVALUE(C4))), AND(ISNUMBER(C4), LEFT(CELL("format", C4))="D")))))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  <col customWidth="1" min="4" max="4" width="16.13"/>
    <col customWidth="1" min="5" max="5" width="16.5"/>
    <col customWidth="1" min="7" max="8" width="19.63"/>
    <col customWidth="1" min="9" max="9" width="20.75"/>
    <col customWidth="1" min="11" max="11" width="13.0"/>
    <col customWidth="1" min="12" max="12" width="16.38"/>
    <col customWidth="1" min="13" max="13" width="19.63"/>
  </cols>
  <sheetData>
    <row r="2">
      <c r="O2" s="23"/>
      <c r="P2" s="23"/>
      <c r="Q2" s="23"/>
      <c r="Y2" s="23"/>
      <c r="Z2" s="23"/>
      <c r="AA2" s="23"/>
    </row>
    <row r="3" ht="22.5" customHeight="1">
      <c r="A3" s="1" t="s">
        <v>104</v>
      </c>
      <c r="B3" s="1" t="s">
        <v>105</v>
      </c>
      <c r="C3" s="1" t="s">
        <v>106</v>
      </c>
      <c r="D3" s="1" t="s">
        <v>107</v>
      </c>
      <c r="F3" s="1" t="s">
        <v>108</v>
      </c>
      <c r="G3" s="1" t="s">
        <v>109</v>
      </c>
      <c r="H3" s="81" t="s">
        <v>110</v>
      </c>
      <c r="J3" s="1" t="s">
        <v>104</v>
      </c>
      <c r="K3" s="1" t="s">
        <v>105</v>
      </c>
      <c r="L3" s="1" t="s">
        <v>106</v>
      </c>
      <c r="M3" s="1" t="s">
        <v>107</v>
      </c>
      <c r="N3" s="23"/>
      <c r="O3" s="81" t="s">
        <v>108</v>
      </c>
      <c r="P3" s="81" t="s">
        <v>109</v>
      </c>
      <c r="Q3" s="81" t="s">
        <v>110</v>
      </c>
      <c r="T3" s="1" t="s">
        <v>104</v>
      </c>
      <c r="U3" s="1" t="s">
        <v>105</v>
      </c>
      <c r="V3" s="1" t="s">
        <v>106</v>
      </c>
      <c r="W3" s="1" t="s">
        <v>107</v>
      </c>
      <c r="Y3" s="81" t="s">
        <v>108</v>
      </c>
      <c r="Z3" s="81" t="s">
        <v>109</v>
      </c>
      <c r="AA3" s="81" t="s">
        <v>110</v>
      </c>
    </row>
    <row r="4" ht="22.5" customHeight="1">
      <c r="A4" s="82" t="s">
        <v>51</v>
      </c>
      <c r="B4" s="82" t="s">
        <v>113</v>
      </c>
      <c r="C4" s="83">
        <f t="shared" ref="C4:C15" si="1">IFERROR((D4/$B$24), 0)</f>
        <v>0.1006589702</v>
      </c>
      <c r="D4" s="84">
        <f t="array" ref="D4">IFERROR(INDEX(Ações_Nacionais[], MATCH(A4, Ações_Nacionais[Ação], 0), MATCH(Ações_Nacionais[[#HEADERS],[Financeiro]], Ações_Nacionais[#HEADERS], 0)), "")
</f>
        <v>630.56</v>
      </c>
      <c r="F4" s="82" t="s">
        <v>113</v>
      </c>
      <c r="G4" s="83">
        <f>SUMIF(Setores_Ações[setor], "Banco", Setores_Ações[peso])</f>
        <v>0.2661725455</v>
      </c>
      <c r="H4" s="84">
        <f>SUMIF(Setores_Ações[setor], "Banco", Setores_Ações[financeiro])</f>
        <v>1667.39</v>
      </c>
      <c r="J4" s="82" t="s">
        <v>51</v>
      </c>
      <c r="K4" s="82" t="s">
        <v>113</v>
      </c>
      <c r="L4" s="83">
        <f t="shared" ref="L4:L15" si="2">IFERROR((M4/$B$24), 0)</f>
        <v>0.107189935</v>
      </c>
      <c r="M4" s="84">
        <f t="array" ref="M4">IFERROR(
  INDEX(Ações_Nacionais[], MATCH(J4, Ações_Nacionais[Ação], 0), MATCH(Ações_Nacionais[[#HEADERS],[Peso Ideal]], Ações_Nacionais[#HEADERS], 0)) 
  * $B$26,
"")</f>
        <v>671.4720538</v>
      </c>
      <c r="N4" s="23"/>
      <c r="O4" s="85" t="s">
        <v>113</v>
      </c>
      <c r="P4" s="86">
        <f>SUMIF(Peso_Ideal_Ações[setor], "Banco", Peso_Ideal_Ações[peso])</f>
        <v>0.3215698051</v>
      </c>
      <c r="Q4" s="87">
        <f>SUMIF(Peso_Ideal_Ações[setor], "Banco", Peso_Ideal_Ações[financeiro])</f>
        <v>2014.416162</v>
      </c>
      <c r="T4" s="82" t="s">
        <v>51</v>
      </c>
      <c r="U4" s="82" t="s">
        <v>115</v>
      </c>
      <c r="V4" s="83">
        <f t="shared" ref="V4:V15" si="3">IFERROR((W4/$B$24), 0)</f>
        <v>0.107189935</v>
      </c>
      <c r="W4" s="84">
        <f t="array" ref="W4">IFERROR(
  INDEX(Ações_Nacionais[], MATCH(T4, Ações_Nacionais[Ação], 0), MATCH(Ações_Nacionais[[#HEADERS],[Peso Ideal]], Ações_Nacionais[#HEADERS], 0)) 
  * $B$26,
"")</f>
        <v>671.4720538</v>
      </c>
      <c r="Y4" s="88" t="s">
        <v>115</v>
      </c>
      <c r="Z4" s="86">
        <f>SUMIF(Peso_Setores_Ideal[setor], "Financeiro", Peso_Setores_Ideal[peso])</f>
        <v>0.4287597401</v>
      </c>
      <c r="AA4" s="87">
        <f>SUMIF(Peso_Setores_Ideal[setor], "Financeiro", Peso_Setores_Ideal[financeiro])</f>
        <v>2685.888215</v>
      </c>
    </row>
    <row r="5" ht="22.5" customHeight="1">
      <c r="A5" s="91" t="s">
        <v>55</v>
      </c>
      <c r="B5" s="82" t="s">
        <v>117</v>
      </c>
      <c r="C5" s="83">
        <f t="shared" si="1"/>
        <v>0.2286840391</v>
      </c>
      <c r="D5" s="84">
        <f t="array" ref="D5">IFERROR(INDEX(Ações_Nacionais[], MATCH(A5, Ações_Nacionais[Ação], 0), MATCH(Ações_Nacionais[[#HEADERS],[Financeiro]], Ações_Nacionais[#HEADERS], 0)), "")
</f>
        <v>1432.55</v>
      </c>
      <c r="F5" s="82" t="s">
        <v>118</v>
      </c>
      <c r="G5" s="83">
        <f>SUMIF(Setores_Ações[setor], "Energia", Setores_Ações[peso])</f>
        <v>0.2052992184</v>
      </c>
      <c r="H5" s="84">
        <f>SUMIF(Setores_Ações[setor], "Energia", Setores_Ações[financeiro])</f>
        <v>1286.06</v>
      </c>
      <c r="J5" s="91" t="s">
        <v>55</v>
      </c>
      <c r="K5" s="82" t="s">
        <v>117</v>
      </c>
      <c r="L5" s="83">
        <f t="shared" si="2"/>
        <v>0.107189935</v>
      </c>
      <c r="M5" s="84">
        <f t="array" ref="M5">IFERROR(
  INDEX(Ações_Nacionais[], MATCH(J5, Ações_Nacionais[Ação], 0), MATCH(Ações_Nacionais[[#HEADERS],[Peso Ideal]], Ações_Nacionais[#HEADERS], 0)) 
  * $B$26,
"")</f>
        <v>671.4720538</v>
      </c>
      <c r="N5" s="23"/>
      <c r="O5" s="85" t="s">
        <v>118</v>
      </c>
      <c r="P5" s="86">
        <f>SUMIF(Peso_Ideal_Ações[setor], "Energia", Peso_Ideal_Ações[peso])</f>
        <v>0.2143798701</v>
      </c>
      <c r="Q5" s="87">
        <f>SUMIF(Peso_Ideal_Ações[setor], "Energia", Peso_Ideal_Ações[financeiro])</f>
        <v>1342.944108</v>
      </c>
      <c r="T5" s="91" t="s">
        <v>55</v>
      </c>
      <c r="U5" s="82" t="s">
        <v>115</v>
      </c>
      <c r="V5" s="83">
        <f t="shared" si="3"/>
        <v>0.107189935</v>
      </c>
      <c r="W5" s="84">
        <f t="array" ref="W5">IFERROR(
  INDEX(Ações_Nacionais[], MATCH(T5, Ações_Nacionais[Ação], 0), MATCH(Ações_Nacionais[[#HEADERS],[Peso Ideal]], Ações_Nacionais[#HEADERS], 0)) 
  * $B$26,
"")</f>
        <v>671.4720538</v>
      </c>
      <c r="Y5" s="85" t="s">
        <v>118</v>
      </c>
      <c r="Z5" s="86">
        <f>SUMIF(Peso_Setores_Ideal[setor], "Energia", Peso_Setores_Ideal[peso])</f>
        <v>0.2143798701</v>
      </c>
      <c r="AA5" s="87">
        <f>SUMIF(Peso_Setores_Ideal[setor], "Energia", Peso_Setores_Ideal[financeiro])</f>
        <v>1342.944108</v>
      </c>
    </row>
    <row r="6" ht="22.5" customHeight="1">
      <c r="A6" s="91" t="s">
        <v>57</v>
      </c>
      <c r="B6" s="82" t="s">
        <v>121</v>
      </c>
      <c r="C6" s="83">
        <f t="shared" si="1"/>
        <v>0.08705972875</v>
      </c>
      <c r="D6" s="84">
        <f t="array" ref="D6">IFERROR(INDEX(Ações_Nacionais[], MATCH(A6, Ações_Nacionais[Ação], 0), MATCH(Ações_Nacionais[[#HEADERS],[Financeiro]], Ações_Nacionais[#HEADERS], 0)), "")
</f>
        <v>545.37</v>
      </c>
      <c r="F6" s="82" t="s">
        <v>123</v>
      </c>
      <c r="G6" s="83">
        <f>SUMIF(Setores_Ações[setor], "Cresc.", Setores_Ações[peso])</f>
        <v>0.04694523907</v>
      </c>
      <c r="H6" s="84">
        <f>SUMIF(Setores_Ações[setor], "Cresc.", Setores_Ações[financeiro])</f>
        <v>294.08</v>
      </c>
      <c r="J6" s="91" t="s">
        <v>57</v>
      </c>
      <c r="K6" s="82" t="s">
        <v>121</v>
      </c>
      <c r="L6" s="83">
        <f t="shared" si="2"/>
        <v>0.107189935</v>
      </c>
      <c r="M6" s="84">
        <f t="array" ref="M6">IFERROR(
  INDEX(Ações_Nacionais[], MATCH(J6, Ações_Nacionais[Ação], 0), MATCH(Ações_Nacionais[[#HEADERS],[Peso Ideal]], Ações_Nacionais[#HEADERS], 0)) 
  * $B$26,
"")</f>
        <v>671.4720538</v>
      </c>
      <c r="N6" s="23"/>
      <c r="O6" s="85" t="s">
        <v>123</v>
      </c>
      <c r="P6" s="86">
        <f>SUMIF(Peso_Ideal_Ações[setor], "Cresc.", Peso_Ideal_Ações[peso])</f>
        <v>0.107189935</v>
      </c>
      <c r="Q6" s="87">
        <f>SUMIF(Peso_Ideal_Ações[setor], "Cresc.", Peso_Ideal_Ações[financeiro])</f>
        <v>671.4720538</v>
      </c>
      <c r="T6" s="91" t="s">
        <v>57</v>
      </c>
      <c r="U6" s="82" t="s">
        <v>121</v>
      </c>
      <c r="V6" s="83">
        <f t="shared" si="3"/>
        <v>0.107189935</v>
      </c>
      <c r="W6" s="84">
        <f t="array" ref="W6">IFERROR(
  INDEX(Ações_Nacionais[], MATCH(T6, Ações_Nacionais[Ação], 0), MATCH(Ações_Nacionais[[#HEADERS],[Peso Ideal]], Ações_Nacionais[#HEADERS], 0)) 
  * $B$26,
"")</f>
        <v>671.4720538</v>
      </c>
      <c r="Y6" s="88" t="s">
        <v>121</v>
      </c>
      <c r="Z6" s="86">
        <f>SUMIF(Peso_Setores_Ideal[setor], "Commodities", Peso_Setores_Ideal[peso])</f>
        <v>0.2143798701</v>
      </c>
      <c r="AA6" s="87">
        <f>SUMIF(Peso_Setores_Ideal[setor], "Commodities", Peso_Setores_Ideal[financeiro])</f>
        <v>1342.944108</v>
      </c>
    </row>
    <row r="7" ht="22.5" customHeight="1">
      <c r="A7" s="114" t="s">
        <v>58</v>
      </c>
      <c r="B7" s="82" t="s">
        <v>118</v>
      </c>
      <c r="C7" s="83">
        <f t="shared" si="1"/>
        <v>0.1178962761</v>
      </c>
      <c r="D7" s="84">
        <f t="array" ref="D7">IFERROR(INDEX(Ações_Nacionais[], MATCH(A7, Ações_Nacionais[Ação], 0), MATCH(Ações_Nacionais[[#HEADERS],[Financeiro]], Ações_Nacionais[#HEADERS], 0)), "")
</f>
        <v>738.54</v>
      </c>
      <c r="F7" s="82" t="s">
        <v>117</v>
      </c>
      <c r="G7" s="83">
        <f>SUMIF(Setores_Ações[setor], "Seguradora", Setores_Ações[peso])</f>
        <v>0.2286840391</v>
      </c>
      <c r="H7" s="84">
        <f>SUMIF(Setores_Ações[setor], "Seguradora", Setores_Ações[financeiro])</f>
        <v>1432.55</v>
      </c>
      <c r="J7" s="114" t="s">
        <v>58</v>
      </c>
      <c r="K7" s="82" t="s">
        <v>118</v>
      </c>
      <c r="L7" s="83">
        <f t="shared" si="2"/>
        <v>0.107189935</v>
      </c>
      <c r="M7" s="84">
        <f t="array" ref="M7">IFERROR(
  INDEX(Ações_Nacionais[], MATCH(J7, Ações_Nacionais[Ação], 0), MATCH(Ações_Nacionais[[#HEADERS],[Peso Ideal]], Ações_Nacionais[#HEADERS], 0)) 
  * $B$26,
"")</f>
        <v>671.4720538</v>
      </c>
      <c r="N7" s="23"/>
      <c r="O7" s="85" t="s">
        <v>117</v>
      </c>
      <c r="P7" s="86">
        <f>SUMIF(Peso_Ideal_Ações[setor], "Seguradora", Peso_Ideal_Ações[peso])</f>
        <v>0.107189935</v>
      </c>
      <c r="Q7" s="87">
        <f>SUMIF(Peso_Ideal_Ações[setor], "Seguradora", Peso_Ideal_Ações[financeiro])</f>
        <v>671.4720538</v>
      </c>
      <c r="T7" s="114" t="s">
        <v>58</v>
      </c>
      <c r="U7" s="82" t="s">
        <v>118</v>
      </c>
      <c r="V7" s="83">
        <f t="shared" si="3"/>
        <v>0.107189935</v>
      </c>
      <c r="W7" s="84">
        <f t="array" ref="W7">IFERROR(
  INDEX(Ações_Nacionais[], MATCH(T7, Ações_Nacionais[Ação], 0), MATCH(Ações_Nacionais[[#HEADERS],[Peso Ideal]], Ações_Nacionais[#HEADERS], 0)) 
  * $B$26,
"")</f>
        <v>671.4720538</v>
      </c>
      <c r="Y7" s="85" t="s">
        <v>146</v>
      </c>
      <c r="Z7" s="86">
        <f>SUMIF(Peso_Setores_Ideal[setor], "Saneamento", Peso_Setores_Ideal[peso])</f>
        <v>0.107189935</v>
      </c>
      <c r="AA7" s="87">
        <f>SUMIF(Peso_Setores_Ideal[setor], "Saneamento", Peso_Setores_Ideal[financeiro])</f>
        <v>671.4720538</v>
      </c>
    </row>
    <row r="8" ht="22.5" customHeight="1">
      <c r="A8" s="114" t="s">
        <v>63</v>
      </c>
      <c r="B8" s="82" t="s">
        <v>113</v>
      </c>
      <c r="C8" s="83">
        <f t="shared" si="1"/>
        <v>0.1207202059</v>
      </c>
      <c r="D8" s="84">
        <f t="array" ref="D8">IFERROR(INDEX(Ações_Nacionais[], MATCH(A8, Ações_Nacionais[Ação], 0), MATCH(Ações_Nacionais[[#HEADERS],[Financeiro]], Ações_Nacionais[#HEADERS], 0)) + INDEX(Ações_Nacionais[], MATCH("ITUB4", Ações_Nacionais[Ação], 0), MATCH(Ações_Nacionais[[#HEADERS],[Financeiro]], Ações_Nacionais[#HEADERS], 0)), "")
</f>
        <v>756.23</v>
      </c>
      <c r="F8" s="82" t="s">
        <v>146</v>
      </c>
      <c r="G8" s="83">
        <f>SUMIF(Setores_Ações[setor], "Saneamento", Setores_Ações[peso])</f>
        <v>0.06442199632</v>
      </c>
      <c r="H8" s="84">
        <f>SUMIF(Setores_Ações[setor], "Saneamento", Setores_Ações[financeiro])</f>
        <v>403.56</v>
      </c>
      <c r="J8" s="114" t="s">
        <v>63</v>
      </c>
      <c r="K8" s="82" t="s">
        <v>113</v>
      </c>
      <c r="L8" s="83">
        <f t="shared" si="2"/>
        <v>0.107189935</v>
      </c>
      <c r="M8" s="84">
        <f t="array" ref="M8">IFERROR(
  INDEX(Ações_Nacionais[], MATCH(J8, Ações_Nacionais[Ação], 0), MATCH(Ações_Nacionais[[#HEADERS],[Peso Ideal]], Ações_Nacionais[#HEADERS], 0)) 
  * $B$26,
"")</f>
        <v>671.4720538</v>
      </c>
      <c r="N8" s="23"/>
      <c r="O8" s="85" t="s">
        <v>146</v>
      </c>
      <c r="P8" s="86">
        <f>SUMIF(Peso_Ideal_Ações[setor], "Saneamento", Peso_Ideal_Ações[peso])</f>
        <v>0.107189935</v>
      </c>
      <c r="Q8" s="87">
        <f>SUMIF(Peso_Ideal_Ações[setor], "Saneamento", Peso_Ideal_Ações[financeiro])</f>
        <v>671.4720538</v>
      </c>
      <c r="T8" s="114" t="s">
        <v>63</v>
      </c>
      <c r="U8" s="82" t="s">
        <v>115</v>
      </c>
      <c r="V8" s="83">
        <f t="shared" si="3"/>
        <v>0.107189935</v>
      </c>
      <c r="W8" s="84">
        <f t="array" ref="W8">IFERROR(
  INDEX(Ações_Nacionais[], MATCH(T8, Ações_Nacionais[Ação], 0), MATCH(Ações_Nacionais[[#HEADERS],[Peso Ideal]], Ações_Nacionais[#HEADERS], 0)) 
  * $B$26,
"")</f>
        <v>671.4720538</v>
      </c>
      <c r="Y8" s="88" t="s">
        <v>157</v>
      </c>
      <c r="Z8" s="86">
        <f>SUMIF(Peso_Setores_Ideal[setor], "Industria", Peso_Setores_Ideal[peso])</f>
        <v>0.107189935</v>
      </c>
      <c r="AA8" s="87">
        <f>SUMIF(Peso_Setores_Ideal[setor], "Industria", Peso_Setores_Ideal[financeiro])</f>
        <v>671.4720538</v>
      </c>
    </row>
    <row r="9" ht="22.5" customHeight="1">
      <c r="A9" s="114" t="s">
        <v>73</v>
      </c>
      <c r="B9" s="82" t="s">
        <v>121</v>
      </c>
      <c r="C9" s="83">
        <f t="shared" si="1"/>
        <v>0.1014172328</v>
      </c>
      <c r="D9" s="84">
        <f t="array" ref="D9">IFERROR(INDEX(Ações_Nacionais[], MATCH(A9, Ações_Nacionais[Ação], 0), MATCH(Ações_Nacionais[[#HEADERS],[Financeiro]], Ações_Nacionais[#HEADERS], 0)), "")
</f>
        <v>635.31</v>
      </c>
      <c r="F9" s="82" t="s">
        <v>121</v>
      </c>
      <c r="G9" s="83">
        <f>SUMIF(Setores_Ações[setor], "Commodities", Setores_Ações[peso])</f>
        <v>0.1884769616</v>
      </c>
      <c r="H9" s="84">
        <f>SUMIF(Setores_Ações[setor], "Commodities", Setores_Ações[financeiro])</f>
        <v>1180.68</v>
      </c>
      <c r="J9" s="114" t="s">
        <v>73</v>
      </c>
      <c r="K9" s="82" t="s">
        <v>121</v>
      </c>
      <c r="L9" s="83">
        <f t="shared" si="2"/>
        <v>0.107189935</v>
      </c>
      <c r="M9" s="84">
        <f t="array" ref="M9">IFERROR(
  INDEX(Ações_Nacionais[], MATCH(J9, Ações_Nacionais[Ação], 0), MATCH(Ações_Nacionais[[#HEADERS],[Peso Ideal]], Ações_Nacionais[#HEADERS], 0)) 
  * $B$26,
"")</f>
        <v>671.4720538</v>
      </c>
      <c r="N9" s="23"/>
      <c r="O9" s="88" t="s">
        <v>121</v>
      </c>
      <c r="P9" s="86">
        <f>SUMIF(Peso_Ideal_Ações[setor], "Commodities", Peso_Ideal_Ações[peso])</f>
        <v>0.2143798701</v>
      </c>
      <c r="Q9" s="87">
        <f>SUMIF(Peso_Ideal_Ações[setor], "Commodities", Peso_Ideal_Ações[financeiro])</f>
        <v>1342.944108</v>
      </c>
      <c r="T9" s="114" t="s">
        <v>73</v>
      </c>
      <c r="U9" s="82" t="s">
        <v>121</v>
      </c>
      <c r="V9" s="83">
        <f t="shared" si="3"/>
        <v>0.107189935</v>
      </c>
      <c r="W9" s="84">
        <f t="array" ref="W9">IFERROR(
  INDEX(Ações_Nacionais[], MATCH(T9, Ações_Nacionais[Ação], 0), MATCH(Ações_Nacionais[[#HEADERS],[Peso Ideal]], Ações_Nacionais[#HEADERS], 0)) 
  * $B$26,
"")</f>
        <v>671.4720538</v>
      </c>
    </row>
    <row r="10" ht="22.5" customHeight="1">
      <c r="A10" s="114" t="s">
        <v>91</v>
      </c>
      <c r="B10" s="82" t="s">
        <v>123</v>
      </c>
      <c r="C10" s="83">
        <f t="shared" si="1"/>
        <v>0.008273842971</v>
      </c>
      <c r="D10" s="84">
        <f t="array" ref="D10">IFERROR(INDEX(Ações_Nacionais[], MATCH(A10, Ações_Nacionais[Ação], 0), MATCH(Ações_Nacionais[[#HEADERS],[Financeiro]], Ações_Nacionais[#HEADERS], 0)), "")
</f>
        <v>51.83</v>
      </c>
      <c r="J10" s="114" t="s">
        <v>91</v>
      </c>
      <c r="K10" s="82" t="s">
        <v>123</v>
      </c>
      <c r="L10" s="83">
        <f t="shared" si="2"/>
        <v>0.107189935</v>
      </c>
      <c r="M10" s="84">
        <f t="array" ref="M10">IFERROR(
  INDEX(Ações_Nacionais[], MATCH(J10, Ações_Nacionais[Ação], 0), MATCH(Ações_Nacionais[[#HEADERS],[Peso Ideal]], Ações_Nacionais[#HEADERS], 0)) 
  * $B$26,
"")</f>
        <v>671.4720538</v>
      </c>
      <c r="T10" s="114" t="s">
        <v>91</v>
      </c>
      <c r="U10" s="82" t="s">
        <v>157</v>
      </c>
      <c r="V10" s="83">
        <f t="shared" si="3"/>
        <v>0.107189935</v>
      </c>
      <c r="W10" s="84">
        <f t="array" ref="W10">IFERROR(
  INDEX(Ações_Nacionais[], MATCH(T10, Ações_Nacionais[Ação], 0), MATCH(Ações_Nacionais[[#HEADERS],[Peso Ideal]], Ações_Nacionais[#HEADERS], 0)) 
  * $B$26,
"")</f>
        <v>671.4720538</v>
      </c>
    </row>
    <row r="11" ht="22.5" customHeight="1">
      <c r="A11" s="114" t="s">
        <v>94</v>
      </c>
      <c r="B11" s="82" t="s">
        <v>123</v>
      </c>
      <c r="C11" s="83">
        <f t="shared" si="1"/>
        <v>0.0386713961</v>
      </c>
      <c r="D11" s="84">
        <f t="array" ref="D11">IFERROR(INDEX(Ações_Nacionais[], MATCH(A11, Ações_Nacionais[Ação], 0), MATCH(Ações_Nacionais[[#HEADERS],[Financeiro]], Ações_Nacionais[#HEADERS], 0)), "")
</f>
        <v>242.25</v>
      </c>
      <c r="J11" s="114" t="s">
        <v>94</v>
      </c>
      <c r="K11" s="82" t="s">
        <v>123</v>
      </c>
      <c r="L11" s="83">
        <f t="shared" si="2"/>
        <v>0</v>
      </c>
      <c r="M11" s="84">
        <f t="array" ref="M11">IFERROR(
  INDEX(Ações_Nacionais[], MATCH(J11, Ações_Nacionais[Ação], 0), MATCH(Ações_Nacionais[[#HEADERS],[Peso Ideal]], Ações_Nacionais[#HEADERS], 0)) 
  * $B$26,
"")</f>
        <v>0</v>
      </c>
      <c r="T11" s="114" t="s">
        <v>94</v>
      </c>
      <c r="U11" s="82" t="s">
        <v>115</v>
      </c>
      <c r="V11" s="83">
        <f t="shared" si="3"/>
        <v>0</v>
      </c>
      <c r="W11" s="84">
        <f t="array" ref="W11">IFERROR(
  INDEX(Ações_Nacionais[], MATCH(T11, Ações_Nacionais[Ação], 0), MATCH(Ações_Nacionais[[#HEADERS],[Peso Ideal]], Ações_Nacionais[#HEADERS], 0)) 
  * $B$26,
"")</f>
        <v>0</v>
      </c>
    </row>
    <row r="12" ht="22.5" customHeight="1">
      <c r="A12" s="114" t="s">
        <v>95</v>
      </c>
      <c r="B12" s="82" t="s">
        <v>118</v>
      </c>
      <c r="C12" s="83">
        <f t="shared" si="1"/>
        <v>0.08297788108</v>
      </c>
      <c r="D12" s="84">
        <f t="array" ref="D12">IFERROR(INDEX(Ações_Nacionais[], MATCH(A12, Ações_Nacionais[Ação], 0), MATCH(Ações_Nacionais[[#HEADERS],[Financeiro]], Ações_Nacionais[#HEADERS], 0)), "")
</f>
        <v>519.8</v>
      </c>
      <c r="J12" s="114" t="s">
        <v>95</v>
      </c>
      <c r="K12" s="82" t="s">
        <v>118</v>
      </c>
      <c r="L12" s="83">
        <f t="shared" si="2"/>
        <v>0.107189935</v>
      </c>
      <c r="M12" s="84">
        <f t="array" ref="M12">IFERROR(
  INDEX(Ações_Nacionais[], MATCH(J12, Ações_Nacionais[Ação], 0), MATCH(Ações_Nacionais[[#HEADERS],[Peso Ideal]], Ações_Nacionais[#HEADERS], 0)) 
  * $B$26,
"")</f>
        <v>671.4720538</v>
      </c>
      <c r="T12" s="114" t="s">
        <v>95</v>
      </c>
      <c r="U12" s="82" t="s">
        <v>118</v>
      </c>
      <c r="V12" s="83">
        <f t="shared" si="3"/>
        <v>0.107189935</v>
      </c>
      <c r="W12" s="84">
        <f t="array" ref="W12">IFERROR(
  INDEX(Ações_Nacionais[], MATCH(T12, Ações_Nacionais[Ação], 0), MATCH(Ações_Nacionais[[#HEADERS],[Peso Ideal]], Ações_Nacionais[#HEADERS], 0)) 
  * $B$26,
"")</f>
        <v>671.4720538</v>
      </c>
    </row>
    <row r="13" ht="22.5" customHeight="1">
      <c r="A13" s="114" t="s">
        <v>100</v>
      </c>
      <c r="B13" s="82" t="s">
        <v>118</v>
      </c>
      <c r="C13" s="83">
        <f t="shared" si="1"/>
        <v>0.0044250613</v>
      </c>
      <c r="D13" s="84">
        <f t="array" ref="D13">IFERROR(INDEX(Ações_Nacionais[], MATCH(A13, Ações_Nacionais[Ação], 0), MATCH(Ações_Nacionais[[#HEADERS],[Financeiro]], Ações_Nacionais[#HEADERS], 0)), "")
</f>
        <v>27.72</v>
      </c>
      <c r="J13" s="114" t="s">
        <v>100</v>
      </c>
      <c r="K13" s="82" t="s">
        <v>118</v>
      </c>
      <c r="L13" s="83">
        <f t="shared" si="2"/>
        <v>0</v>
      </c>
      <c r="M13" s="84">
        <f t="array" ref="M13">IFERROR(
  INDEX(Ações_Nacionais[], MATCH(J13, Ações_Nacionais[Ação], 0), MATCH(Ações_Nacionais[[#HEADERS],[Peso Ideal]], Ações_Nacionais[#HEADERS], 0)) 
  * $B$26,
"")</f>
        <v>0</v>
      </c>
      <c r="T13" s="114" t="s">
        <v>100</v>
      </c>
      <c r="U13" s="82" t="s">
        <v>118</v>
      </c>
      <c r="V13" s="83">
        <f t="shared" si="3"/>
        <v>0</v>
      </c>
      <c r="W13" s="84">
        <f t="array" ref="W13">IFERROR(
  INDEX(Ações_Nacionais[], MATCH(T13, Ações_Nacionais[Ação], 0), MATCH(Ações_Nacionais[[#HEADERS],[Peso Ideal]], Ações_Nacionais[#HEADERS], 0)) 
  * $B$26,
"")</f>
        <v>0</v>
      </c>
    </row>
    <row r="14" ht="22.5" customHeight="1">
      <c r="A14" s="114" t="s">
        <v>101</v>
      </c>
      <c r="B14" s="82" t="s">
        <v>146</v>
      </c>
      <c r="C14" s="83">
        <f t="shared" si="1"/>
        <v>0.06442199632</v>
      </c>
      <c r="D14" s="84">
        <f t="array" ref="D14">IFERROR(INDEX(Ações_Nacionais[], MATCH(A14, Ações_Nacionais[Ação], 0), MATCH(Ações_Nacionais[[#HEADERS],[Financeiro]], Ações_Nacionais[#HEADERS], 0)), "")
</f>
        <v>403.56</v>
      </c>
      <c r="J14" s="114" t="s">
        <v>101</v>
      </c>
      <c r="K14" s="82" t="s">
        <v>146</v>
      </c>
      <c r="L14" s="83">
        <f t="shared" si="2"/>
        <v>0.107189935</v>
      </c>
      <c r="M14" s="84">
        <f t="array" ref="M14">IFERROR(
  INDEX(Ações_Nacionais[], MATCH(J14, Ações_Nacionais[Ação], 0), MATCH(Ações_Nacionais[[#HEADERS],[Peso Ideal]], Ações_Nacionais[#HEADERS], 0)) 
  * $B$26,
"")</f>
        <v>671.4720538</v>
      </c>
      <c r="T14" s="114" t="s">
        <v>101</v>
      </c>
      <c r="U14" s="82" t="s">
        <v>146</v>
      </c>
      <c r="V14" s="83">
        <f t="shared" si="3"/>
        <v>0.107189935</v>
      </c>
      <c r="W14" s="84">
        <f t="array" ref="W14">IFERROR(
  INDEX(Ações_Nacionais[], MATCH(T14, Ações_Nacionais[Ação], 0), MATCH(Ações_Nacionais[[#HEADERS],[Peso Ideal]], Ações_Nacionais[#HEADERS], 0)) 
  * $B$26,
"")</f>
        <v>671.4720538</v>
      </c>
    </row>
    <row r="15" ht="22.5" customHeight="1">
      <c r="A15" s="114" t="s">
        <v>158</v>
      </c>
      <c r="B15" s="82" t="s">
        <v>113</v>
      </c>
      <c r="C15" s="83">
        <f t="shared" si="1"/>
        <v>0.04479336943</v>
      </c>
      <c r="D15" s="84">
        <f t="array" ref="D15">IFERROR(INDEX(Ações_Nacionais[], MATCH(A15, Ações_Nacionais[Ação], 0), MATCH(Ações_Nacionais[[#HEADERS],[Financeiro]], Ações_Nacionais[#HEADERS], 0)), "")
</f>
        <v>280.6</v>
      </c>
      <c r="J15" s="114" t="s">
        <v>158</v>
      </c>
      <c r="K15" s="82" t="s">
        <v>113</v>
      </c>
      <c r="L15" s="83">
        <f t="shared" si="2"/>
        <v>0.107189935</v>
      </c>
      <c r="M15" s="84">
        <f t="array" ref="M15">IFERROR(
  INDEX(Ações_Nacionais[], MATCH(J15, Ações_Nacionais[Ação], 0), MATCH(Ações_Nacionais[[#HEADERS],[Peso Ideal]], Ações_Nacionais[#HEADERS], 0)) 
  * $B$26,
"")</f>
        <v>671.4720538</v>
      </c>
      <c r="T15" s="114" t="s">
        <v>158</v>
      </c>
      <c r="U15" s="82" t="s">
        <v>115</v>
      </c>
      <c r="V15" s="83">
        <f t="shared" si="3"/>
        <v>0.107189935</v>
      </c>
      <c r="W15" s="84">
        <f t="array" ref="W15">IFERROR(
  INDEX(Ações_Nacionais[], MATCH(T15, Ações_Nacionais[Ação], 0), MATCH(Ações_Nacionais[[#HEADERS],[Peso Ideal]], Ações_Nacionais[#HEADERS], 0)) 
  * $B$26,
"")</f>
        <v>671.4720538</v>
      </c>
    </row>
    <row r="24">
      <c r="A24" s="122" t="s">
        <v>159</v>
      </c>
      <c r="B24" s="123">
        <f>SUM(HOME!B3)</f>
        <v>6264.32</v>
      </c>
      <c r="K24" s="5"/>
      <c r="L24" s="5"/>
      <c r="M24" s="5"/>
    </row>
    <row r="25">
      <c r="A25" s="122" t="s">
        <v>160</v>
      </c>
      <c r="B25" s="123">
        <f>HOME!B4</f>
        <v>5656.11</v>
      </c>
    </row>
    <row r="26">
      <c r="A26" s="7" t="s">
        <v>161</v>
      </c>
      <c r="B26" s="115">
        <f>HOME!B9</f>
        <v>16413.76132</v>
      </c>
    </row>
    <row r="29" ht="22.5" customHeight="1">
      <c r="F29" s="1" t="s">
        <v>162</v>
      </c>
      <c r="G29" s="1" t="s">
        <v>163</v>
      </c>
      <c r="H29" s="1" t="s">
        <v>110</v>
      </c>
    </row>
    <row r="30" ht="22.5" customHeight="1">
      <c r="A30" s="1" t="s">
        <v>104</v>
      </c>
      <c r="B30" s="1" t="s">
        <v>105</v>
      </c>
      <c r="C30" s="1" t="s">
        <v>106</v>
      </c>
      <c r="D30" s="1" t="s">
        <v>107</v>
      </c>
      <c r="F30" s="82" t="s">
        <v>164</v>
      </c>
      <c r="G30" s="83">
        <f>SUMIF(Grafico_Total[setor], F30, Grafico_Total[peso])</f>
        <v>0.1543460972</v>
      </c>
      <c r="H30" s="84">
        <f>SUMIF(Grafico_Total[setor], F30, Grafico_Total[financeiro])</f>
        <v>2533.4</v>
      </c>
    </row>
    <row r="31" ht="22.5" customHeight="1">
      <c r="A31" s="82" t="s">
        <v>51</v>
      </c>
      <c r="B31" s="82" t="s">
        <v>115</v>
      </c>
      <c r="C31" s="83">
        <f t="shared" ref="C31:C56" si="4">IFERROR((D31/$B$26), 0)</f>
        <v>0.03841654499</v>
      </c>
      <c r="D31" s="84">
        <f t="array" ref="D31">IFERROR(INDEX(Ações_Nacionais[], MATCH(A31, Ações_Nacionais[Ação], 0), MATCH(Ações_Nacionais[[#HEADERS],[Financeiro]], Ações_Nacionais[#HEADERS], 0)), "")
</f>
        <v>630.56</v>
      </c>
      <c r="F31" s="82" t="s">
        <v>165</v>
      </c>
      <c r="G31" s="83">
        <f>SUMIF(Grafico_Total[setor], F31, Grafico_Total[peso])</f>
        <v>0.06029574702</v>
      </c>
      <c r="H31" s="84">
        <f>SUMIF(Grafico_Total[setor], F31, Grafico_Total[financeiro])</f>
        <v>989.68</v>
      </c>
    </row>
    <row r="32" ht="22.5" customHeight="1">
      <c r="A32" s="91" t="s">
        <v>55</v>
      </c>
      <c r="B32" s="82" t="s">
        <v>115</v>
      </c>
      <c r="C32" s="83">
        <f t="shared" si="4"/>
        <v>0.08727737491</v>
      </c>
      <c r="D32" s="84">
        <f t="array" ref="D32">IFERROR(INDEX(Ações_Nacionais[], MATCH(A32, Ações_Nacionais[Ação], 0), MATCH(Ações_Nacionais[[#HEADERS],[Financeiro]], Ações_Nacionais[#HEADERS], 0)), "")
</f>
        <v>1432.55</v>
      </c>
      <c r="F32" s="82" t="s">
        <v>166</v>
      </c>
      <c r="G32" s="83">
        <f>SUMIF(Grafico_Total[setor], F32, Grafico_Total[peso])</f>
        <v>0.01875088799</v>
      </c>
      <c r="H32" s="84">
        <f>SUMIF(Grafico_Total[setor], F32, Grafico_Total[financeiro])</f>
        <v>307.7726</v>
      </c>
    </row>
    <row r="33" ht="22.5" customHeight="1">
      <c r="A33" s="91" t="s">
        <v>57</v>
      </c>
      <c r="B33" s="82" t="s">
        <v>121</v>
      </c>
      <c r="C33" s="83">
        <f t="shared" si="4"/>
        <v>0.03322638788</v>
      </c>
      <c r="D33" s="84">
        <f t="array" ref="D33">IFERROR(INDEX(Ações_Nacionais[], MATCH(A33, Ações_Nacionais[Ação], 0), MATCH(Ações_Nacionais[[#HEADERS],[Financeiro]], Ações_Nacionais[#HEADERS], 0)), "")
</f>
        <v>545.37</v>
      </c>
      <c r="F33" s="82" t="s">
        <v>167</v>
      </c>
      <c r="G33" s="83">
        <f>SUMIF(Grafico_Total[setor], F33, Grafico_Total[peso])</f>
        <v>0.1042905381</v>
      </c>
      <c r="H33" s="84">
        <f>SUMIF(Grafico_Total[setor], F33, Grafico_Total[financeiro])</f>
        <v>1711.8</v>
      </c>
    </row>
    <row r="34" ht="22.5" customHeight="1">
      <c r="A34" s="114" t="s">
        <v>58</v>
      </c>
      <c r="B34" s="82" t="s">
        <v>118</v>
      </c>
      <c r="C34" s="83">
        <f t="shared" si="4"/>
        <v>0.04499517117</v>
      </c>
      <c r="D34" s="84">
        <f t="array" ref="D34">IFERROR(INDEX(Ações_Nacionais[], MATCH(A34, Ações_Nacionais[Ação], 0), MATCH(Ações_Nacionais[[#HEADERS],[Financeiro]], Ações_Nacionais[#HEADERS], 0)), "")
</f>
        <v>738.54</v>
      </c>
      <c r="F34" s="82" t="s">
        <v>168</v>
      </c>
      <c r="G34" s="83">
        <f>SUMIF(Grafico_Total[setor], F34, Grafico_Total[peso])</f>
        <v>0.0117322286</v>
      </c>
      <c r="H34" s="84">
        <f>SUMIF(Grafico_Total[setor], F34, Grafico_Total[financeiro])</f>
        <v>192.57</v>
      </c>
    </row>
    <row r="35" ht="22.5" customHeight="1">
      <c r="A35" s="114" t="s">
        <v>63</v>
      </c>
      <c r="B35" s="82" t="s">
        <v>115</v>
      </c>
      <c r="C35" s="83">
        <f t="shared" si="4"/>
        <v>0.002800698701</v>
      </c>
      <c r="D35" s="84">
        <f t="array" ref="D35">IFERROR(INDEX(Ações_Nacionais[], MATCH(A35, Ações_Nacionais[Ação], 0), MATCH(Ações_Nacionais[[#HEADERS],[Financeiro]], Ações_Nacionais[#HEADERS], 0)), "")
</f>
        <v>45.97</v>
      </c>
      <c r="F35" s="82" t="s">
        <v>115</v>
      </c>
      <c r="G35" s="83">
        <f>SUMIF(Grafico_Total[setor], F35, Grafico_Total[peso])</f>
        <v>0.1432535757</v>
      </c>
      <c r="H35" s="84">
        <f>SUMIF(Grafico_Total[setor], F35, Grafico_Total[financeiro])</f>
        <v>2351.33</v>
      </c>
    </row>
    <row r="36" ht="22.5" customHeight="1">
      <c r="A36" s="114" t="s">
        <v>73</v>
      </c>
      <c r="B36" s="82" t="s">
        <v>121</v>
      </c>
      <c r="C36" s="83">
        <f t="shared" si="4"/>
        <v>0.0387059363</v>
      </c>
      <c r="D36" s="84">
        <f t="array" ref="D36">IFERROR(INDEX(Ações_Nacionais[], MATCH(A36, Ações_Nacionais[Ação], 0), MATCH(Ações_Nacionais[[#HEADERS],[Financeiro]], Ações_Nacionais[#HEADERS], 0)), "")
</f>
        <v>635.31</v>
      </c>
      <c r="F36" s="124" t="s">
        <v>118</v>
      </c>
      <c r="G36" s="83">
        <f>SUMIF(Grafico_Total[setor], F36, Grafico_Total[peso])</f>
        <v>0.0783525467</v>
      </c>
      <c r="H36" s="84">
        <f>SUMIF(Grafico_Total[setor], F36, Grafico_Total[financeiro])</f>
        <v>1286.06</v>
      </c>
    </row>
    <row r="37" ht="22.5" customHeight="1">
      <c r="A37" s="114" t="s">
        <v>91</v>
      </c>
      <c r="B37" s="82" t="s">
        <v>157</v>
      </c>
      <c r="C37" s="83">
        <f t="shared" si="4"/>
        <v>0.003157716199</v>
      </c>
      <c r="D37" s="84">
        <f t="array" ref="D37">IFERROR(INDEX(Ações_Nacionais[], MATCH(A37, Ações_Nacionais[Ação], 0), MATCH(Ações_Nacionais[[#HEADERS],[Financeiro]], Ações_Nacionais[#HEADERS], 0)), "")
</f>
        <v>51.83</v>
      </c>
      <c r="F37" s="82" t="s">
        <v>121</v>
      </c>
      <c r="G37" s="83">
        <f>SUMIF(Grafico_Total[setor], F37, Grafico_Total[peso])</f>
        <v>0.07193232418</v>
      </c>
      <c r="H37" s="84">
        <f>SUMIF(Grafico_Total[setor], F37, Grafico_Total[financeiro])</f>
        <v>1180.68</v>
      </c>
    </row>
    <row r="38" ht="22.5" customHeight="1">
      <c r="A38" s="114" t="s">
        <v>94</v>
      </c>
      <c r="B38" s="82" t="s">
        <v>115</v>
      </c>
      <c r="C38" s="83">
        <f t="shared" si="4"/>
        <v>0.01475895715</v>
      </c>
      <c r="D38" s="84">
        <f t="array" ref="D38">IFERROR(INDEX(Ações_Nacionais[], MATCH(A38, Ações_Nacionais[Ação], 0), MATCH(Ações_Nacionais[[#HEADERS],[Financeiro]], Ações_Nacionais[#HEADERS], 0)), "")
</f>
        <v>242.25</v>
      </c>
      <c r="F38" s="124" t="s">
        <v>146</v>
      </c>
      <c r="G38" s="83">
        <f>SUMIF(Grafico_Total[setor], F38, Grafico_Total[peso])</f>
        <v>0.02458668627</v>
      </c>
      <c r="H38" s="84">
        <f>SUMIF(Grafico_Total[setor], F38, Grafico_Total[financeiro])</f>
        <v>403.56</v>
      </c>
    </row>
    <row r="39" ht="22.5" customHeight="1">
      <c r="A39" s="114" t="s">
        <v>95</v>
      </c>
      <c r="B39" s="82" t="s">
        <v>118</v>
      </c>
      <c r="C39" s="83">
        <f t="shared" si="4"/>
        <v>0.03166854873</v>
      </c>
      <c r="D39" s="84">
        <f t="array" ref="D39">IFERROR(INDEX(Ações_Nacionais[], MATCH(A39, Ações_Nacionais[Ação], 0), MATCH(Ações_Nacionais[[#HEADERS],[Financeiro]], Ações_Nacionais[#HEADERS], 0)), "")
</f>
        <v>519.8</v>
      </c>
      <c r="F39" s="82" t="s">
        <v>157</v>
      </c>
      <c r="G39" s="83">
        <f>SUMIF(Grafico_Total[setor], F39, Grafico_Total[peso])</f>
        <v>0.003157716199</v>
      </c>
      <c r="H39" s="84">
        <f>SUMIF(Grafico_Total[setor], F39, Grafico_Total[financeiro])</f>
        <v>51.83</v>
      </c>
    </row>
    <row r="40" ht="22.5" customHeight="1">
      <c r="A40" s="114" t="s">
        <v>100</v>
      </c>
      <c r="B40" s="82" t="s">
        <v>118</v>
      </c>
      <c r="C40" s="83">
        <f t="shared" si="4"/>
        <v>0.0016888268</v>
      </c>
      <c r="D40" s="84">
        <f t="array" ref="D40">IFERROR(INDEX(Ações_Nacionais[], MATCH(A40, Ações_Nacionais[Ação], 0), MATCH(Ações_Nacionais[[#HEADERS],[Financeiro]], Ações_Nacionais[#HEADERS], 0)), "")
</f>
        <v>27.72</v>
      </c>
      <c r="F40" s="82" t="s">
        <v>169</v>
      </c>
      <c r="G40" s="83">
        <f>SUMIF(Grafico_Total[setor], F40, Grafico_Total[peso])</f>
        <v>0.08705414017</v>
      </c>
      <c r="H40" s="84">
        <f>SUMIF(Grafico_Total[setor], F40, Grafico_Total[financeiro])</f>
        <v>1428.885878</v>
      </c>
    </row>
    <row r="41" ht="22.5" customHeight="1">
      <c r="A41" s="114" t="s">
        <v>101</v>
      </c>
      <c r="B41" s="82" t="s">
        <v>146</v>
      </c>
      <c r="C41" s="83">
        <f t="shared" si="4"/>
        <v>0.02458668627</v>
      </c>
      <c r="D41" s="84">
        <f t="array" ref="D41">IFERROR(INDEX(Ações_Nacionais[], MATCH(A41, Ações_Nacionais[Ação], 0), MATCH(Ações_Nacionais[[#HEADERS],[Financeiro]], Ações_Nacionais[#HEADERS], 0)), "")
</f>
        <v>403.56</v>
      </c>
      <c r="F41" s="82" t="s">
        <v>170</v>
      </c>
      <c r="G41" s="83">
        <f>SUMIF(Grafico_Total[setor], F41, Grafico_Total[peso])</f>
        <v>0.1415304726</v>
      </c>
      <c r="H41" s="84">
        <f>SUMIF(Grafico_Total[setor], F41, Grafico_Total[financeiro])</f>
        <v>2323.047397</v>
      </c>
    </row>
    <row r="42" ht="22.5" customHeight="1">
      <c r="A42" s="125" t="s">
        <v>32</v>
      </c>
      <c r="B42" s="82" t="s">
        <v>164</v>
      </c>
      <c r="C42" s="83">
        <f t="shared" si="4"/>
        <v>0.04464059065</v>
      </c>
      <c r="D42" s="84">
        <f t="array" ref="D42">IFERROR(INDEX(Fiis[], MATCH(A42, Fiis[Fii], 0), MATCH(Fiis[[#HEADERS],[Financeiro]], Fiis[#HEADERS], 0)), "")
</f>
        <v>732.72</v>
      </c>
      <c r="F42" s="126" t="s">
        <v>171</v>
      </c>
      <c r="G42" s="83">
        <f>SUMIF(Grafico_Total[setor], F42, Grafico_Total[peso])</f>
        <v>0.02641840788</v>
      </c>
      <c r="H42" s="84">
        <f>SUMIF(Grafico_Total[setor], F42, Grafico_Total[financeiro])</f>
        <v>433.6254412</v>
      </c>
    </row>
    <row r="43" ht="22.5" customHeight="1">
      <c r="A43" s="125" t="s">
        <v>42</v>
      </c>
      <c r="B43" s="82" t="s">
        <v>165</v>
      </c>
      <c r="C43" s="83">
        <f t="shared" si="4"/>
        <v>0.02276138862</v>
      </c>
      <c r="D43" s="84">
        <f t="array" ref="D43">IFERROR(INDEX(Fiis[], MATCH(A43, Fiis[Fii], 0), MATCH(Fiis[[#HEADERS],[Financeiro]], Fiis[#HEADERS], 0)), "")
</f>
        <v>373.6</v>
      </c>
    </row>
    <row r="44" ht="22.5" customHeight="1">
      <c r="A44" s="82" t="s">
        <v>173</v>
      </c>
      <c r="B44" s="82" t="s">
        <v>166</v>
      </c>
      <c r="C44" s="83">
        <f t="shared" si="4"/>
        <v>0.01875088799</v>
      </c>
      <c r="D44" s="84">
        <f t="array" ref="D44">IFERROR(INDEX(Carteira[], MATCH(A44, Carteira[Tipo], 0), MATCH(Carteira[[#HEADERS],[Capital]], Carteira[#HEADERS], 0)), "")
</f>
        <v>307.7726</v>
      </c>
    </row>
    <row r="45" ht="22.5" customHeight="1">
      <c r="A45" s="125" t="s">
        <v>47</v>
      </c>
      <c r="B45" s="82" t="s">
        <v>164</v>
      </c>
      <c r="C45" s="83">
        <f t="shared" si="4"/>
        <v>0.02013249697</v>
      </c>
      <c r="D45" s="84">
        <f t="array" ref="D45">IFERROR(INDEX(Fiis[], MATCH(A45, Fiis[Fii], 0), MATCH(Fiis[[#HEADERS],[Financeiro]], Fiis[#HEADERS], 0)), "")
</f>
        <v>330.45</v>
      </c>
    </row>
    <row r="46" ht="22.5" customHeight="1">
      <c r="A46" s="125" t="s">
        <v>53</v>
      </c>
      <c r="B46" s="82" t="s">
        <v>164</v>
      </c>
      <c r="C46" s="83">
        <f t="shared" si="4"/>
        <v>0</v>
      </c>
      <c r="D46" s="84">
        <f t="array" ref="D46">IFERROR(INDEX(Fiis[], MATCH(A46, Fiis[Fii], 0), MATCH(Fiis[[#HEADERS],[Financeiro]], Fiis[#HEADERS], 0)), "")
</f>
        <v>0</v>
      </c>
    </row>
    <row r="47" ht="22.5" customHeight="1">
      <c r="A47" s="125" t="s">
        <v>98</v>
      </c>
      <c r="B47" s="82" t="s">
        <v>164</v>
      </c>
      <c r="C47" s="83">
        <f t="shared" si="4"/>
        <v>0.06514716398</v>
      </c>
      <c r="D47" s="84">
        <f t="array" ref="D47">IFERROR(INDEX(Fiis[], MATCH(A47, Fiis[Fii], 0), MATCH(Fiis[[#HEADERS],[Financeiro]], Fiis[#HEADERS], 0)), "")
</f>
        <v>1069.31</v>
      </c>
    </row>
    <row r="48" ht="22.5" customHeight="1">
      <c r="A48" s="125" t="s">
        <v>40</v>
      </c>
      <c r="B48" s="82" t="s">
        <v>164</v>
      </c>
      <c r="C48" s="83">
        <f t="shared" si="4"/>
        <v>0.02442584562</v>
      </c>
      <c r="D48" s="84">
        <f t="array" ref="D48">IFERROR(INDEX(Fiis[], MATCH(A48, Fiis[Fii], 0), MATCH(Fiis[[#HEADERS],[Financeiro]], Fiis[#HEADERS], 0)), "")
</f>
        <v>400.92</v>
      </c>
    </row>
    <row r="49" ht="22.5" customHeight="1">
      <c r="A49" s="125" t="s">
        <v>44</v>
      </c>
      <c r="B49" s="82" t="s">
        <v>167</v>
      </c>
      <c r="C49" s="83">
        <f t="shared" si="4"/>
        <v>0.05976692247</v>
      </c>
      <c r="D49" s="84">
        <f t="array" ref="D49">IFERROR(INDEX(Fiis[], MATCH(A49, Fiis[Fii], 0), MATCH(Fiis[[#HEADERS],[Financeiro]], Fiis[#HEADERS], 0)), "")
</f>
        <v>981</v>
      </c>
    </row>
    <row r="50" ht="22.5" customHeight="1">
      <c r="A50" s="125" t="s">
        <v>50</v>
      </c>
      <c r="B50" s="82" t="s">
        <v>167</v>
      </c>
      <c r="C50" s="83">
        <f t="shared" si="4"/>
        <v>0.04452361564</v>
      </c>
      <c r="D50" s="84">
        <f t="array" ref="D50">IFERROR(INDEX(Fiis[], MATCH(A50, Fiis[Fii], 0), MATCH(Fiis[[#HEADERS],[Financeiro]], Fiis[#HEADERS], 0)), "")
</f>
        <v>730.8</v>
      </c>
    </row>
    <row r="51" ht="22.5" customHeight="1">
      <c r="A51" s="125" t="s">
        <v>29</v>
      </c>
      <c r="B51" s="82" t="s">
        <v>165</v>
      </c>
      <c r="C51" s="83">
        <f t="shared" si="4"/>
        <v>0.0375343584</v>
      </c>
      <c r="D51" s="84">
        <f t="array" ref="D51">IFERROR(INDEX(Fiis[], MATCH(A51, Fiis[Fii], 0), MATCH(Fiis[[#HEADERS],[Financeiro]], Fiis[#HEADERS], 0)), "")
</f>
        <v>616.08</v>
      </c>
    </row>
    <row r="52" ht="22.5" customHeight="1">
      <c r="A52" s="125"/>
      <c r="B52" s="82"/>
      <c r="C52" s="83">
        <f t="shared" si="4"/>
        <v>0</v>
      </c>
      <c r="D52" s="84"/>
    </row>
    <row r="53" ht="22.5" customHeight="1">
      <c r="A53" s="125" t="s">
        <v>52</v>
      </c>
      <c r="B53" s="82" t="s">
        <v>168</v>
      </c>
      <c r="C53" s="83">
        <f t="shared" si="4"/>
        <v>0.0117322286</v>
      </c>
      <c r="D53" s="84">
        <f t="array" ref="D53">IFERROR(INDEX(Fiis[], MATCH(A53, Fiis[Fii], 0), MATCH(Fiis[[#HEADERS],[Financeiro]], Fiis[#HEADERS], 0)), "")
</f>
        <v>192.57</v>
      </c>
    </row>
    <row r="54" ht="22.5" customHeight="1">
      <c r="A54" s="82" t="s">
        <v>169</v>
      </c>
      <c r="B54" s="82" t="s">
        <v>169</v>
      </c>
      <c r="C54" s="83">
        <f t="shared" si="4"/>
        <v>0.08705414017</v>
      </c>
      <c r="D54" s="84">
        <f t="array" ref="D54">IFERROR(INDEX(Carteira[], MATCH(A54, Carteira[Tipo], 0), MATCH(Carteira[[#HEADERS],[Capital]], Carteira[#HEADERS], 0)), "")
</f>
        <v>1428.885878</v>
      </c>
    </row>
    <row r="55" ht="22.5" customHeight="1">
      <c r="A55" s="82" t="s">
        <v>180</v>
      </c>
      <c r="B55" s="82" t="s">
        <v>170</v>
      </c>
      <c r="C55" s="83">
        <f t="shared" si="4"/>
        <v>0.1415304726</v>
      </c>
      <c r="D55" s="84">
        <f t="array" ref="D55">IFERROR(INDEX(Carteira[], MATCH(A55, Carteira[Tipo], 0), MATCH(Carteira[[#HEADERS],[Capital]], Carteira[#HEADERS], 0)), "")
</f>
        <v>2323.047397</v>
      </c>
    </row>
    <row r="56" ht="22.5" customHeight="1">
      <c r="A56" s="126" t="s">
        <v>171</v>
      </c>
      <c r="B56" s="126" t="s">
        <v>171</v>
      </c>
      <c r="C56" s="83">
        <f t="shared" si="4"/>
        <v>0.02641840788</v>
      </c>
      <c r="D56" s="84">
        <f t="array" ref="D56">IFERROR(INDEX(Carteira[], MATCH(A56, Carteira[Tipo], 0), MATCH(Carteira[[#HEADERS],[Capital]], Carteira[#HEADERS], 0)), "")
</f>
        <v>433.6254412</v>
      </c>
    </row>
    <row r="60" ht="22.5" customHeight="1">
      <c r="A60" s="130" t="s">
        <v>79</v>
      </c>
      <c r="B60" s="130" t="s">
        <v>80</v>
      </c>
      <c r="C60" s="130" t="s">
        <v>81</v>
      </c>
      <c r="D60" s="130" t="s">
        <v>82</v>
      </c>
      <c r="E60" s="130" t="s">
        <v>84</v>
      </c>
      <c r="F60" s="130" t="s">
        <v>181</v>
      </c>
      <c r="G60" s="130" t="s">
        <v>182</v>
      </c>
      <c r="N60" s="131"/>
      <c r="O60" s="132"/>
    </row>
    <row r="61" ht="22.5" customHeight="1">
      <c r="A61" s="133" t="s">
        <v>44</v>
      </c>
      <c r="B61" s="134" t="s">
        <v>92</v>
      </c>
      <c r="C61" s="135" t="s">
        <v>93</v>
      </c>
      <c r="D61" s="136">
        <f t="array" ref="D61">IFERROR(INDEX(Fiis[], MATCH(A61, Fiis[Fii], 0), MATCH(Fiis[[#HEADERS],[QTD]], Fiis[#HEADERS], 0)), "")
</f>
        <v>109</v>
      </c>
      <c r="E61" s="137">
        <f>IFERROR(__xludf.DUMMYFUNCTION("GOOGLEFINANCE(A61)"),9.0)</f>
        <v>9</v>
      </c>
      <c r="F61" s="138">
        <f t="shared" ref="F61:F73" si="5">D61*E61</f>
        <v>981</v>
      </c>
      <c r="G61" s="139">
        <f>IFERROR((F61/grafico!$B$25), 0)</f>
        <v>0.173440757</v>
      </c>
      <c r="N61" s="131"/>
      <c r="O61" s="132"/>
    </row>
    <row r="62" ht="22.5" customHeight="1">
      <c r="A62" s="133" t="s">
        <v>98</v>
      </c>
      <c r="B62" s="134" t="s">
        <v>92</v>
      </c>
      <c r="C62" s="135" t="s">
        <v>99</v>
      </c>
      <c r="D62" s="136">
        <f t="array" ref="D62">IFERROR(INDEX(Fiis[], MATCH(A62, Fiis[Fii], 0), MATCH(Fiis[[#HEADERS],[QTD]], Fiis[#HEADERS], 0)), "")
</f>
        <v>11</v>
      </c>
      <c r="E62" s="140">
        <f>IFERROR(__xludf.DUMMYFUNCTION("GOOGLEFINANCE(A62)"),97.21)</f>
        <v>97.21</v>
      </c>
      <c r="F62" s="138">
        <f t="shared" si="5"/>
        <v>1069.31</v>
      </c>
      <c r="G62" s="139">
        <f>IFERROR((F62/grafico!$B$25), 0)</f>
        <v>0.1890539611</v>
      </c>
      <c r="N62" s="131"/>
      <c r="O62" s="132"/>
    </row>
    <row r="63" ht="22.5" customHeight="1">
      <c r="A63" s="133" t="s">
        <v>50</v>
      </c>
      <c r="B63" s="134" t="s">
        <v>183</v>
      </c>
      <c r="C63" s="135" t="s">
        <v>93</v>
      </c>
      <c r="D63" s="136">
        <f t="array" ref="D63">IFERROR(INDEX(Fiis[], MATCH(A63, Fiis[Fii], 0), MATCH(Fiis[[#HEADERS],[QTD]], Fiis[#HEADERS], 0)), "")
</f>
        <v>87</v>
      </c>
      <c r="E63" s="140">
        <f>IFERROR(__xludf.DUMMYFUNCTION("GOOGLEFINANCE(A63)"),8.4)</f>
        <v>8.4</v>
      </c>
      <c r="F63" s="138">
        <f t="shared" si="5"/>
        <v>730.8</v>
      </c>
      <c r="G63" s="139">
        <f>IFERROR((F63/grafico!$B$25), 0)</f>
        <v>0.129205408</v>
      </c>
      <c r="N63" s="131"/>
      <c r="O63" s="132"/>
    </row>
    <row r="64" ht="22.5" customHeight="1">
      <c r="A64" s="133" t="s">
        <v>32</v>
      </c>
      <c r="B64" s="134" t="s">
        <v>92</v>
      </c>
      <c r="C64" s="135" t="s">
        <v>93</v>
      </c>
      <c r="D64" s="136">
        <f t="array" ref="D64">IFERROR(INDEX(Fiis[], MATCH(A64, Fiis[Fii], 0), MATCH(Fiis[[#HEADERS],[QTD]], Fiis[#HEADERS], 0)), "")
</f>
        <v>8</v>
      </c>
      <c r="E64" s="140">
        <f>IFERROR(__xludf.DUMMYFUNCTION("GOOGLEFINANCE(A64)"),91.59)</f>
        <v>91.59</v>
      </c>
      <c r="F64" s="138">
        <f t="shared" si="5"/>
        <v>732.72</v>
      </c>
      <c r="G64" s="139">
        <f>IFERROR((F64/grafico!$B$25), 0)</f>
        <v>0.1295448639</v>
      </c>
      <c r="N64" s="131"/>
      <c r="O64" s="132"/>
    </row>
    <row r="65" ht="22.5" customHeight="1">
      <c r="A65" s="133" t="s">
        <v>29</v>
      </c>
      <c r="B65" s="134" t="s">
        <v>112</v>
      </c>
      <c r="C65" s="135" t="s">
        <v>93</v>
      </c>
      <c r="D65" s="136">
        <f t="array" ref="D65">IFERROR(INDEX(Fiis[], MATCH(A65, Fiis[Fii], 0), MATCH(Fiis[[#HEADERS],[QTD]], Fiis[#HEADERS], 0)), "")
</f>
        <v>6</v>
      </c>
      <c r="E65" s="140">
        <f>IFERROR(__xludf.DUMMYFUNCTION("GOOGLEFINANCE(A65)"),102.68)</f>
        <v>102.68</v>
      </c>
      <c r="F65" s="138">
        <f t="shared" si="5"/>
        <v>616.08</v>
      </c>
      <c r="G65" s="139">
        <f>IFERROR((F65/grafico!$B$25), 0)</f>
        <v>0.108922917</v>
      </c>
      <c r="N65" s="131"/>
      <c r="O65" s="132"/>
    </row>
    <row r="66" ht="22.5" customHeight="1">
      <c r="A66" s="133" t="s">
        <v>40</v>
      </c>
      <c r="B66" s="134" t="s">
        <v>92</v>
      </c>
      <c r="C66" s="135" t="s">
        <v>99</v>
      </c>
      <c r="D66" s="136">
        <f t="array" ref="D66">IFERROR(INDEX(Fiis[], MATCH(A66, Fiis[Fii], 0), MATCH(Fiis[[#HEADERS],[QTD]], Fiis[#HEADERS], 0)), "")
</f>
        <v>4</v>
      </c>
      <c r="E66" s="140">
        <f>IFERROR(__xludf.DUMMYFUNCTION("GOOGLEFINANCE(A66)"),100.23)</f>
        <v>100.23</v>
      </c>
      <c r="F66" s="138">
        <f t="shared" si="5"/>
        <v>400.92</v>
      </c>
      <c r="G66" s="139">
        <f>IFERROR((F66/grafico!$B$25), 0)</f>
        <v>0.07088263842</v>
      </c>
      <c r="N66" s="131"/>
      <c r="O66" s="132"/>
    </row>
    <row r="67" ht="22.5" customHeight="1">
      <c r="A67" s="133" t="s">
        <v>42</v>
      </c>
      <c r="B67" s="134" t="s">
        <v>112</v>
      </c>
      <c r="C67" s="135" t="s">
        <v>93</v>
      </c>
      <c r="D67" s="136">
        <f t="array" ref="D67">IFERROR(INDEX(Fiis[], MATCH(A67, Fiis[Fii], 0), MATCH(Fiis[[#HEADERS],[QTD]], Fiis[#HEADERS], 0)), "")
</f>
        <v>20</v>
      </c>
      <c r="E67" s="140">
        <f>IFERROR(__xludf.DUMMYFUNCTION("GOOGLEFINANCE(A67)"),18.68)</f>
        <v>18.68</v>
      </c>
      <c r="F67" s="138">
        <f t="shared" si="5"/>
        <v>373.6</v>
      </c>
      <c r="G67" s="139">
        <f>IFERROR((F67/grafico!$B$25), 0)</f>
        <v>0.06605246362</v>
      </c>
      <c r="N67" s="131"/>
      <c r="O67" s="132"/>
    </row>
    <row r="68" ht="22.5" customHeight="1">
      <c r="A68" s="133" t="s">
        <v>47</v>
      </c>
      <c r="B68" s="134" t="s">
        <v>92</v>
      </c>
      <c r="C68" s="135" t="s">
        <v>93</v>
      </c>
      <c r="D68" s="136">
        <f t="array" ref="D68">IFERROR(INDEX(Fiis[], MATCH(A68, Fiis[Fii], 0), MATCH(Fiis[[#HEADERS],[QTD]], Fiis[#HEADERS], 0)), "")
</f>
        <v>3</v>
      </c>
      <c r="E68" s="140">
        <f>IFERROR(__xludf.DUMMYFUNCTION("GOOGLEFINANCE(A68)"),110.15)</f>
        <v>110.15</v>
      </c>
      <c r="F68" s="138">
        <f t="shared" si="5"/>
        <v>330.45</v>
      </c>
      <c r="G68" s="139">
        <f>IFERROR((F68/grafico!$B$25), 0)</f>
        <v>0.05842354551</v>
      </c>
      <c r="N68" s="131"/>
      <c r="O68" s="132"/>
    </row>
    <row r="69" ht="22.5" customHeight="1">
      <c r="A69" s="133" t="s">
        <v>52</v>
      </c>
      <c r="B69" s="134" t="s">
        <v>114</v>
      </c>
      <c r="C69" s="135" t="s">
        <v>99</v>
      </c>
      <c r="D69" s="136">
        <f t="array" ref="D69">IFERROR(INDEX(Fiis[], MATCH(A69, Fiis[Fii], 0), MATCH(Fiis[[#HEADERS],[QTD]], Fiis[#HEADERS], 0)), "")
</f>
        <v>21</v>
      </c>
      <c r="E69" s="140">
        <f>IFERROR(__xludf.DUMMYFUNCTION("GOOGLEFINANCE(A69)"),9.17)</f>
        <v>9.17</v>
      </c>
      <c r="F69" s="138">
        <f t="shared" si="5"/>
        <v>192.57</v>
      </c>
      <c r="G69" s="139">
        <f>IFERROR((F69/grafico!$B$25), 0)</f>
        <v>0.03404636756</v>
      </c>
      <c r="N69" s="131"/>
      <c r="O69" s="132"/>
    </row>
    <row r="70" ht="22.5" customHeight="1">
      <c r="A70" s="133" t="s">
        <v>53</v>
      </c>
      <c r="B70" s="134" t="s">
        <v>92</v>
      </c>
      <c r="C70" s="135" t="s">
        <v>93</v>
      </c>
      <c r="D70" s="136">
        <f t="array" ref="D70">IFERROR(INDEX(Fiis[], MATCH(A70, Fiis[Fii], 0), MATCH(Fiis[[#HEADERS],[QTD]], Fiis[#HEADERS], 0)), "")
</f>
        <v>0</v>
      </c>
      <c r="E70" s="140">
        <f>IFERROR(__xludf.DUMMYFUNCTION("GOOGLEFINANCE(A70)"),146.45)</f>
        <v>146.45</v>
      </c>
      <c r="F70" s="138">
        <f t="shared" si="5"/>
        <v>0</v>
      </c>
      <c r="G70" s="139">
        <f>IFERROR((F70/grafico!$B$25), 0)</f>
        <v>0</v>
      </c>
    </row>
    <row r="71" ht="22.5" customHeight="1">
      <c r="A71" s="133" t="s">
        <v>24</v>
      </c>
      <c r="B71" s="134" t="s">
        <v>184</v>
      </c>
      <c r="C71" s="135" t="s">
        <v>99</v>
      </c>
      <c r="D71" s="136">
        <f t="array" ref="D71">IFERROR(INDEX(Fiis[], MATCH(A71, Fiis[Fii], 0), MATCH(Fiis[[#HEADERS],[QTD]], Fiis[#HEADERS], 0)), "")
</f>
        <v>0</v>
      </c>
      <c r="E71" s="140">
        <f>IFERROR(__xludf.DUMMYFUNCTION("GOOGLEFINANCE(A71)"),157.0)</f>
        <v>157</v>
      </c>
      <c r="F71" s="138">
        <f t="shared" si="5"/>
        <v>0</v>
      </c>
      <c r="G71" s="139">
        <f>IFERROR((F71/grafico!$B$25), 0)</f>
        <v>0</v>
      </c>
    </row>
    <row r="72" ht="22.5" customHeight="1">
      <c r="A72" s="133" t="s">
        <v>54</v>
      </c>
      <c r="B72" s="134" t="s">
        <v>102</v>
      </c>
      <c r="C72" s="135" t="s">
        <v>99</v>
      </c>
      <c r="D72" s="136">
        <f t="array" ref="D72">IFERROR(INDEX(Fiis[], MATCH(A72, Fiis[Fii], 0), MATCH(Fiis[[#HEADERS],[QTD]], Fiis[#HEADERS], 0)), "")
</f>
        <v>2</v>
      </c>
      <c r="E72" s="140">
        <f>IFERROR(__xludf.DUMMYFUNCTION("GOOGLEFINANCE(A72)"),114.33)</f>
        <v>114.33</v>
      </c>
      <c r="F72" s="138">
        <f t="shared" si="5"/>
        <v>228.66</v>
      </c>
      <c r="G72" s="139">
        <f>IFERROR((F72/grafico!$B$25), 0)</f>
        <v>0.04042707797</v>
      </c>
    </row>
    <row r="73" ht="22.5" customHeight="1">
      <c r="A73" s="133" t="s">
        <v>56</v>
      </c>
      <c r="B73" s="134" t="s">
        <v>114</v>
      </c>
      <c r="C73" s="135" t="s">
        <v>93</v>
      </c>
      <c r="D73" s="136">
        <f t="array" ref="D73">IFERROR(INDEX(Fiis[], MATCH(A73, Fiis[Fii], 0), MATCH(Fiis[[#HEADERS],[QTD]], Fiis[#HEADERS], 0)), "")
</f>
        <v>0</v>
      </c>
      <c r="E73" s="140">
        <f>IFERROR(__xludf.DUMMYFUNCTION("GOOGLEFINANCE(A73)"),73.79)</f>
        <v>73.79</v>
      </c>
      <c r="F73" s="138">
        <f t="shared" si="5"/>
        <v>0</v>
      </c>
      <c r="G73" s="139">
        <f>IFERROR((F73/grafico!$B$25), 0)</f>
        <v>0</v>
      </c>
    </row>
  </sheetData>
  <conditionalFormatting sqref="A71:A73">
    <cfRule type="expression" dxfId="5" priority="1">
      <formula>AND($B71="RZTR11", VALUE(SUBSTITUTE($C71,"%","")) &gt; VALUE(SUBSTITUTE($E71,"%",""))*2)</formula>
    </cfRule>
  </conditionalFormatting>
  <conditionalFormatting sqref="A71:A73">
    <cfRule type="expression" dxfId="5" priority="2">
      <formula>AND($B71="BRCO11", VALUE(SUBSTITUTE($C71,"%","")) &gt; VALUE(SUBSTITUTE($E71,"%",""))*2)</formula>
    </cfRule>
  </conditionalFormatting>
  <conditionalFormatting sqref="A71:A73">
    <cfRule type="expression" dxfId="5" priority="3">
      <formula>AND($B71="BTLG11", VALUE(SUBSTITUTE($C71,"%","")) &gt; VALUE(SUBSTITUTE($E71,"%",""))*2)</formula>
    </cfRule>
  </conditionalFormatting>
  <conditionalFormatting sqref="A71:A73">
    <cfRule type="expression" dxfId="5" priority="4">
      <formula>AND($B71="XPLG11", VALUE(SUBSTITUTE($C71,"%","")) &gt; VALUE(SUBSTITUTE($E71,"%",""))*2)</formula>
    </cfRule>
  </conditionalFormatting>
  <conditionalFormatting sqref="A71:A73">
    <cfRule type="expression" dxfId="5" priority="5">
      <formula>AND($B71="GGRC11", VALUE(SUBSTITUTE($C71,"%","")) &gt; VALUE(SUBSTITUTE($E71,"%",""))*2)</formula>
    </cfRule>
  </conditionalFormatting>
  <conditionalFormatting sqref="A71:A73">
    <cfRule type="expression" dxfId="5" priority="6">
      <formula>AND($B71="GARE11", VALUE(SUBSTITUTE($C71,"%","")) &gt; VALUE(SUBSTITUTE($E71,"%",""))*2)</formula>
    </cfRule>
  </conditionalFormatting>
  <conditionalFormatting sqref="A71:A73">
    <cfRule type="expression" dxfId="5" priority="7">
      <formula>AND($B71="HGLG11", VALUE(SUBSTITUTE($C71,"%","")) &gt; VALUE(SUBSTITUTE($E71,"%",""))*2)</formula>
    </cfRule>
  </conditionalFormatting>
  <conditionalFormatting sqref="A71:A73">
    <cfRule type="expression" dxfId="5" priority="8">
      <formula>AND($B71="HGBS11", VALUE(SUBSTITUTE($C71,"%","")) &gt; VALUE(SUBSTITUTE($E71,"%",""))*2)</formula>
    </cfRule>
  </conditionalFormatting>
  <conditionalFormatting sqref="A71:A73">
    <cfRule type="expression" dxfId="5" priority="9">
      <formula>AND($B71="PMLL11", VALUE(SUBSTITUTE($C71,"%","")) &gt; VALUE(SUBSTITUTE($E71,"%",""))*2)</formula>
    </cfRule>
  </conditionalFormatting>
  <conditionalFormatting sqref="A71:A73">
    <cfRule type="expression" dxfId="5" priority="10">
      <formula>AND($B71="LVBI11", VALUE(SUBSTITUTE($C71,"%","")) &gt; VALUE(SUBSTITUTE($E71,"%",""))*2)</formula>
    </cfRule>
  </conditionalFormatting>
  <conditionalFormatting sqref="A71:A73">
    <cfRule type="expression" dxfId="5" priority="11">
      <formula>AND($B71="RBRF11", VALUE(SUBSTITUTE($C71,"%","")) &gt; VALUE(SUBSTITUTE($E71,"%",""))*2)</formula>
    </cfRule>
  </conditionalFormatting>
  <conditionalFormatting sqref="A71:A73">
    <cfRule type="expression" dxfId="5" priority="12">
      <formula>AND($B71="BTCI11", VALUE(SUBSTITUTE($C71,"%","")) &gt; VALUE(SUBSTITUTE($E71,"%",""))*2)</formula>
    </cfRule>
  </conditionalFormatting>
  <conditionalFormatting sqref="A71:A73">
    <cfRule type="expression" dxfId="5" priority="13">
      <formula>AND($B71="RBRX11", VALUE(SUBSTITUTE($C71,"%","")) &gt; VALUE(SUBSTITUTE($E71,"%",""))*2)</formula>
    </cfRule>
  </conditionalFormatting>
  <conditionalFormatting sqref="A71:A73">
    <cfRule type="expression" dxfId="5" priority="14">
      <formula>AND($B71="MXRF11", VALUE(SUBSTITUTE($C71,"%","")) &gt; VALUE(SUBSTITUTE($E71,"%",""))*2)</formula>
    </cfRule>
  </conditionalFormatting>
  <conditionalFormatting sqref="A71:A73">
    <cfRule type="expression" dxfId="5" priority="15">
      <formula>AND($B71="RECR11", VALUE(SUBSTITUTE($C71,"%","")) &gt; VALUE(SUBSTITUTE($E71,"%",""))*2)</formula>
    </cfRule>
  </conditionalFormatting>
  <conditionalFormatting sqref="A71:A73">
    <cfRule type="expression" dxfId="6" priority="16">
      <formula>AND($B71="RZTR11", VALUE(SUBSTITUTE($C71,"%","")) &gt; VALUE(SUBSTITUTE($E71,"%","")))</formula>
    </cfRule>
  </conditionalFormatting>
  <conditionalFormatting sqref="A71:A73">
    <cfRule type="expression" dxfId="6" priority="17">
      <formula>AND($B71="BRCO11", VALUE(SUBSTITUTE($C71,"%","")) &gt; VALUE(SUBSTITUTE($E71,"%","")))</formula>
    </cfRule>
  </conditionalFormatting>
  <conditionalFormatting sqref="A71:A73">
    <cfRule type="expression" dxfId="6" priority="18">
      <formula>AND($B71="BTLG11", VALUE(SUBSTITUTE($C71,"%","")) &gt; VALUE(SUBSTITUTE($E71,"%","")))</formula>
    </cfRule>
  </conditionalFormatting>
  <conditionalFormatting sqref="A71:A73">
    <cfRule type="expression" dxfId="6" priority="19">
      <formula>AND($B71="XPLG11", VALUE(SUBSTITUTE($C71,"%","")) &gt; VALUE(SUBSTITUTE($E71,"%","")))</formula>
    </cfRule>
  </conditionalFormatting>
  <conditionalFormatting sqref="A71:A73">
    <cfRule type="expression" dxfId="6" priority="20">
      <formula>AND($B71="GGRC11", VALUE(SUBSTITUTE($C71,"%","")) &gt; VALUE(SUBSTITUTE($E71,"%","")))</formula>
    </cfRule>
  </conditionalFormatting>
  <conditionalFormatting sqref="A71:A73">
    <cfRule type="expression" dxfId="6" priority="21">
      <formula>AND($B71="GARE11", VALUE(SUBSTITUTE($C71,"%","")) &gt; VALUE(SUBSTITUTE($E71,"%","")))</formula>
    </cfRule>
  </conditionalFormatting>
  <conditionalFormatting sqref="A71:A73">
    <cfRule type="expression" dxfId="6" priority="22">
      <formula>AND($B71="HGBS11", VALUE(SUBSTITUTE($C71,"%","")) &gt; VALUE(SUBSTITUTE($E71,"%","")))</formula>
    </cfRule>
  </conditionalFormatting>
  <conditionalFormatting sqref="A71:A73">
    <cfRule type="expression" dxfId="6" priority="23">
      <formula>AND($B71="PMLL11", VALUE(SUBSTITUTE($C71,"%","")) &gt; VALUE(SUBSTITUTE($E71,"%","")))</formula>
    </cfRule>
  </conditionalFormatting>
  <conditionalFormatting sqref="A71:A73">
    <cfRule type="expression" dxfId="6" priority="24">
      <formula>AND($B71="LVBI11", VALUE(SUBSTITUTE($C71,"%","")) &gt; VALUE(SUBSTITUTE($E71,"%","")))</formula>
    </cfRule>
  </conditionalFormatting>
  <conditionalFormatting sqref="A71:A73">
    <cfRule type="expression" dxfId="6" priority="25">
      <formula>AND($B71="RBRF11", VALUE(SUBSTITUTE($C71,"%","")) &gt; VALUE(SUBSTITUTE($E71,"%","")))</formula>
    </cfRule>
  </conditionalFormatting>
  <conditionalFormatting sqref="A71:A73">
    <cfRule type="expression" dxfId="6" priority="26">
      <formula>AND($B71="BTCI11", VALUE(SUBSTITUTE($C71,"%","")) &gt; VALUE(SUBSTITUTE($E71,"%","")))</formula>
    </cfRule>
  </conditionalFormatting>
  <conditionalFormatting sqref="A71:A73">
    <cfRule type="expression" dxfId="6" priority="27">
      <formula>AND($B71="RBRX11", VALUE(SUBSTITUTE($C71,"%","")) &gt; VALUE(SUBSTITUTE($E71,"%","")))</formula>
    </cfRule>
  </conditionalFormatting>
  <conditionalFormatting sqref="A71:A73">
    <cfRule type="expression" dxfId="6" priority="28">
      <formula>AND($B71="RECR11", VALUE(SUBSTITUTE($C71,"%","")) &gt; VALUE(SUBSTITUTE($E71,"%","")))</formula>
    </cfRule>
  </conditionalFormatting>
  <conditionalFormatting sqref="A71:A73">
    <cfRule type="expression" dxfId="6" priority="29">
      <formula>AND($B71="MXRF11", VALUE(SUBSTITUTE($C71,"%","")) &gt; VALUE(SUBSTITUTE($E71,"%","")))</formula>
    </cfRule>
  </conditionalFormatting>
  <conditionalFormatting sqref="A71:A73">
    <cfRule type="expression" dxfId="6" priority="30">
      <formula>AND($B71="HGLG11", VALUE(SUBSTITUTE($C71,"%","")) &gt; VALUE(SUBSTITUTE($E71,"%","")))</formula>
    </cfRule>
  </conditionalFormatting>
  <conditionalFormatting sqref="A71:A73">
    <cfRule type="expression" dxfId="7" priority="31">
      <formula>AND($B71="RZTR11", VALUE(SUBSTITUTE($C71,"%","")) &lt; VALUE(SUBSTITUTE($E71,"%","")))</formula>
    </cfRule>
  </conditionalFormatting>
  <conditionalFormatting sqref="A71:A73">
    <cfRule type="expression" dxfId="7" priority="32">
      <formula>AND($B71="BRCO11", VALUE(SUBSTITUTE($C71,"%","")) &lt; VALUE(SUBSTITUTE($E71,"%","")))</formula>
    </cfRule>
  </conditionalFormatting>
  <conditionalFormatting sqref="A71:A73">
    <cfRule type="expression" dxfId="7" priority="33">
      <formula>AND($B71="BTLG11", VALUE(SUBSTITUTE($C71,"%","")) &lt; VALUE(SUBSTITUTE($E71,"%","")))</formula>
    </cfRule>
  </conditionalFormatting>
  <conditionalFormatting sqref="A71:A73">
    <cfRule type="expression" dxfId="7" priority="34">
      <formula>AND($B71="XPLG11", VALUE(SUBSTITUTE($C71,"%","")) &lt; VALUE(SUBSTITUTE($E71,"%","")))</formula>
    </cfRule>
  </conditionalFormatting>
  <conditionalFormatting sqref="A71:A73">
    <cfRule type="expression" dxfId="7" priority="35">
      <formula>AND($B71="GGRC11", VALUE(SUBSTITUTE($C71,"%","")) &lt; VALUE(SUBSTITUTE($E71,"%","")))</formula>
    </cfRule>
  </conditionalFormatting>
  <conditionalFormatting sqref="A71:A73">
    <cfRule type="expression" dxfId="7" priority="36">
      <formula>AND($B71="GARE11", VALUE(SUBSTITUTE($C71,"%","")) &lt; VALUE(SUBSTITUTE($E71,"%","")))</formula>
    </cfRule>
  </conditionalFormatting>
  <conditionalFormatting sqref="A71:A73">
    <cfRule type="expression" dxfId="7" priority="37">
      <formula>AND($B71="HGLG11", VALUE(SUBSTITUTE($C71,"%","")) &lt; VALUE(SUBSTITUTE($E71,"%","")))</formula>
    </cfRule>
  </conditionalFormatting>
  <conditionalFormatting sqref="A71:A73">
    <cfRule type="expression" dxfId="7" priority="38">
      <formula>AND($B71="HGBS11", VALUE(SUBSTITUTE($C71,"%","")) &lt; VALUE(SUBSTITUTE($E71,"%","")))</formula>
    </cfRule>
  </conditionalFormatting>
  <conditionalFormatting sqref="A71:A73">
    <cfRule type="expression" dxfId="7" priority="39">
      <formula>AND($B71="PMLL11", VALUE(SUBSTITUTE($C71,"%","")) &lt; VALUE(SUBSTITUTE($E71,"%","")))</formula>
    </cfRule>
  </conditionalFormatting>
  <conditionalFormatting sqref="A71:A73">
    <cfRule type="expression" dxfId="7" priority="40">
      <formula>AND($B71="LVBI11", VALUE(SUBSTITUTE($C71,"%","")) &lt; VALUE(SUBSTITUTE($E71,"%","")))</formula>
    </cfRule>
  </conditionalFormatting>
  <conditionalFormatting sqref="A71:A73">
    <cfRule type="expression" dxfId="7" priority="41">
      <formula>AND($B71="RBRF11", VALUE(SUBSTITUTE($C71,"%","")) &lt; VALUE(SUBSTITUTE($E71,"%","")))</formula>
    </cfRule>
  </conditionalFormatting>
  <conditionalFormatting sqref="A71:A73">
    <cfRule type="expression" dxfId="7" priority="42">
      <formula>AND($B71="BTCI11", VALUE(SUBSTITUTE($C71,"%","")) &lt; VALUE(SUBSTITUTE($E71,"%","")))</formula>
    </cfRule>
  </conditionalFormatting>
  <conditionalFormatting sqref="A71:A73">
    <cfRule type="expression" dxfId="7" priority="43">
      <formula>AND($B71="RBRX11", VALUE(SUBSTITUTE($C71,"%","")) &lt; VALUE(SUBSTITUTE($E71,"%","")))</formula>
    </cfRule>
  </conditionalFormatting>
  <conditionalFormatting sqref="A71:A73">
    <cfRule type="expression" dxfId="7" priority="44">
      <formula>AND($B71="MXRF11", VALUE(SUBSTITUTE($C71,"%","")) &lt; VALUE(SUBSTITUTE($E71,"%","")))</formula>
    </cfRule>
  </conditionalFormatting>
  <conditionalFormatting sqref="A71:A73">
    <cfRule type="expression" dxfId="7" priority="45">
      <formula>AND($B71="RECR11", VALUE(SUBSTITUTE($C71,"%","")) &lt; VALUE(SUBSTITUTE($E71,"%","")))</formula>
    </cfRule>
  </conditionalFormatting>
  <conditionalFormatting sqref="A61:A73">
    <cfRule type="expression" dxfId="5" priority="46">
      <formula>AND($D61="RZTR11", VALUE(SUBSTITUTE($E61,"%","")) &gt; VALUE(SUBSTITUTE($G61,"%",""))*2)</formula>
    </cfRule>
  </conditionalFormatting>
  <conditionalFormatting sqref="A61:A73">
    <cfRule type="expression" dxfId="5" priority="47">
      <formula>AND($D61="BRCO11", VALUE(SUBSTITUTE($E61,"%","")) &gt; VALUE(SUBSTITUTE($G61,"%",""))*2)</formula>
    </cfRule>
  </conditionalFormatting>
  <conditionalFormatting sqref="A61:A73">
    <cfRule type="expression" dxfId="5" priority="48">
      <formula>AND($D61="BTLG11", VALUE(SUBSTITUTE($E61,"%","")) &gt; VALUE(SUBSTITUTE($G61,"%",""))*2)</formula>
    </cfRule>
  </conditionalFormatting>
  <conditionalFormatting sqref="A61:A73">
    <cfRule type="expression" dxfId="5" priority="49">
      <formula>AND($D61="XPLG11", VALUE(SUBSTITUTE($E61,"%","")) &gt; VALUE(SUBSTITUTE($G61,"%",""))*2)</formula>
    </cfRule>
  </conditionalFormatting>
  <conditionalFormatting sqref="A61:A73">
    <cfRule type="expression" dxfId="5" priority="50">
      <formula>AND($D61="GGRC11", VALUE(SUBSTITUTE($E61,"%","")) &gt; VALUE(SUBSTITUTE($G61,"%",""))*2)</formula>
    </cfRule>
  </conditionalFormatting>
  <conditionalFormatting sqref="A61:A73">
    <cfRule type="expression" dxfId="5" priority="51">
      <formula>AND($D61="GARE11", VALUE(SUBSTITUTE($E61,"%","")) &gt; VALUE(SUBSTITUTE($G61,"%",""))*2)</formula>
    </cfRule>
  </conditionalFormatting>
  <conditionalFormatting sqref="A61:A73">
    <cfRule type="expression" dxfId="5" priority="52">
      <formula>AND($D61="HGLG11", VALUE(SUBSTITUTE($E61,"%","")) &gt; VALUE(SUBSTITUTE($G61,"%",""))*2)</formula>
    </cfRule>
  </conditionalFormatting>
  <conditionalFormatting sqref="A61:A73">
    <cfRule type="expression" dxfId="5" priority="53">
      <formula>AND($D61="HGBS11", VALUE(SUBSTITUTE($E61,"%","")) &gt; VALUE(SUBSTITUTE($G61,"%",""))*2)</formula>
    </cfRule>
  </conditionalFormatting>
  <conditionalFormatting sqref="A61:A73">
    <cfRule type="expression" dxfId="5" priority="54">
      <formula>AND($D61="PMLL11", VALUE(SUBSTITUTE($E61,"%","")) &gt; VALUE(SUBSTITUTE($G61,"%",""))*2)</formula>
    </cfRule>
  </conditionalFormatting>
  <conditionalFormatting sqref="A61:A73">
    <cfRule type="expression" dxfId="5" priority="55">
      <formula>AND($D61="LVBI11", VALUE(SUBSTITUTE($E61,"%","")) &gt; VALUE(SUBSTITUTE($G61,"%",""))*2)</formula>
    </cfRule>
  </conditionalFormatting>
  <conditionalFormatting sqref="A61:A73">
    <cfRule type="expression" dxfId="5" priority="56">
      <formula>AND($D61="RBRF11", VALUE(SUBSTITUTE($E61,"%","")) &gt; VALUE(SUBSTITUTE($G61,"%",""))*2)</formula>
    </cfRule>
  </conditionalFormatting>
  <conditionalFormatting sqref="A61:A73">
    <cfRule type="expression" dxfId="5" priority="57">
      <formula>AND($D61="BTCI11", VALUE(SUBSTITUTE($E61,"%","")) &gt; VALUE(SUBSTITUTE($G61,"%",""))*2)</formula>
    </cfRule>
  </conditionalFormatting>
  <conditionalFormatting sqref="A61:A73">
    <cfRule type="expression" dxfId="5" priority="58">
      <formula>AND($D61="RBRX11", VALUE(SUBSTITUTE($E61,"%","")) &gt; VALUE(SUBSTITUTE($G61,"%",""))*2)</formula>
    </cfRule>
  </conditionalFormatting>
  <conditionalFormatting sqref="A61:A73">
    <cfRule type="expression" dxfId="5" priority="59">
      <formula>AND($D61="MXRF11", VALUE(SUBSTITUTE($E61,"%","")) &gt; VALUE(SUBSTITUTE($G61,"%",""))*2)</formula>
    </cfRule>
  </conditionalFormatting>
  <conditionalFormatting sqref="A61:A73">
    <cfRule type="expression" dxfId="5" priority="60">
      <formula>AND($D61="RECR11", VALUE(SUBSTITUTE($E61,"%","")) &gt; VALUE(SUBSTITUTE($G61,"%",""))*2)</formula>
    </cfRule>
  </conditionalFormatting>
  <conditionalFormatting sqref="A61:A73">
    <cfRule type="expression" dxfId="6" priority="61">
      <formula>AND($D61="RZTR11", VALUE(SUBSTITUTE($E61,"%","")) &gt; VALUE(SUBSTITUTE($G61,"%","")))</formula>
    </cfRule>
  </conditionalFormatting>
  <conditionalFormatting sqref="A61:A73">
    <cfRule type="expression" dxfId="6" priority="62">
      <formula>AND($D61="BRCO11", VALUE(SUBSTITUTE($E61,"%","")) &gt; VALUE(SUBSTITUTE($G61,"%","")))</formula>
    </cfRule>
  </conditionalFormatting>
  <conditionalFormatting sqref="A61:A73">
    <cfRule type="expression" dxfId="6" priority="63">
      <formula>AND($D61="BTLG11", VALUE(SUBSTITUTE($E61,"%","")) &gt; VALUE(SUBSTITUTE($G61,"%","")))</formula>
    </cfRule>
  </conditionalFormatting>
  <conditionalFormatting sqref="A61:A73">
    <cfRule type="expression" dxfId="6" priority="64">
      <formula>AND($D61="XPLG11", VALUE(SUBSTITUTE($E61,"%","")) &gt; VALUE(SUBSTITUTE($G61,"%","")))</formula>
    </cfRule>
  </conditionalFormatting>
  <conditionalFormatting sqref="A61:A73">
    <cfRule type="expression" dxfId="6" priority="65">
      <formula>AND($D61="GGRC11", VALUE(SUBSTITUTE($E61,"%","")) &gt; VALUE(SUBSTITUTE($G61,"%","")))</formula>
    </cfRule>
  </conditionalFormatting>
  <conditionalFormatting sqref="A61:A73">
    <cfRule type="expression" dxfId="6" priority="66">
      <formula>AND($D61="GARE11", VALUE(SUBSTITUTE($E61,"%","")) &gt; VALUE(SUBSTITUTE($G61,"%","")))</formula>
    </cfRule>
  </conditionalFormatting>
  <conditionalFormatting sqref="A61:A73">
    <cfRule type="expression" dxfId="6" priority="67">
      <formula>AND($D61="HGBS11", VALUE(SUBSTITUTE($E61,"%","")) &gt; VALUE(SUBSTITUTE($G61,"%","")))</formula>
    </cfRule>
  </conditionalFormatting>
  <conditionalFormatting sqref="A61:A73">
    <cfRule type="expression" dxfId="6" priority="68">
      <formula>AND($D61="PMLL11", VALUE(SUBSTITUTE($E61,"%","")) &gt; VALUE(SUBSTITUTE($G61,"%","")))</formula>
    </cfRule>
  </conditionalFormatting>
  <conditionalFormatting sqref="A61:A73">
    <cfRule type="expression" dxfId="6" priority="69">
      <formula>AND($D61="LVBI11", VALUE(SUBSTITUTE($E61,"%","")) &gt; VALUE(SUBSTITUTE($G61,"%","")))</formula>
    </cfRule>
  </conditionalFormatting>
  <conditionalFormatting sqref="A61:A73">
    <cfRule type="expression" dxfId="6" priority="70">
      <formula>AND($D61="RBRF11", VALUE(SUBSTITUTE($E61,"%","")) &gt; VALUE(SUBSTITUTE($G61,"%","")))</formula>
    </cfRule>
  </conditionalFormatting>
  <conditionalFormatting sqref="A61:A73">
    <cfRule type="expression" dxfId="6" priority="71">
      <formula>AND($D61="BTCI11", VALUE(SUBSTITUTE($E61,"%","")) &gt; VALUE(SUBSTITUTE($G61,"%","")))</formula>
    </cfRule>
  </conditionalFormatting>
  <conditionalFormatting sqref="A61:A73">
    <cfRule type="expression" dxfId="6" priority="72">
      <formula>AND($D61="RBRX11", VALUE(SUBSTITUTE($E61,"%","")) &gt; VALUE(SUBSTITUTE($G61,"%","")))</formula>
    </cfRule>
  </conditionalFormatting>
  <conditionalFormatting sqref="A61:A73">
    <cfRule type="expression" dxfId="6" priority="73">
      <formula>AND($D61="RECR11", VALUE(SUBSTITUTE($E61,"%","")) &gt; VALUE(SUBSTITUTE($G61,"%","")))</formula>
    </cfRule>
  </conditionalFormatting>
  <conditionalFormatting sqref="A61:A73">
    <cfRule type="expression" dxfId="6" priority="74">
      <formula>AND($D61="MXRF11", VALUE(SUBSTITUTE($E61,"%","")) &gt; VALUE(SUBSTITUTE($G61,"%","")))</formula>
    </cfRule>
  </conditionalFormatting>
  <conditionalFormatting sqref="A61:A73">
    <cfRule type="expression" dxfId="6" priority="75">
      <formula>AND($D61="HGLG11", VALUE(SUBSTITUTE($E61,"%","")) &gt; VALUE(SUBSTITUTE($G61,"%","")))</formula>
    </cfRule>
  </conditionalFormatting>
  <conditionalFormatting sqref="A61:A73">
    <cfRule type="expression" dxfId="7" priority="76">
      <formula>AND($D61="RZTR11", VALUE(SUBSTITUTE($E61,"%","")) &lt; VALUE(SUBSTITUTE($G61,"%","")))</formula>
    </cfRule>
  </conditionalFormatting>
  <conditionalFormatting sqref="A61:A73">
    <cfRule type="expression" dxfId="7" priority="77">
      <formula>AND($D61="BRCO11", VALUE(SUBSTITUTE($E61,"%","")) &lt; VALUE(SUBSTITUTE($G61,"%","")))</formula>
    </cfRule>
  </conditionalFormatting>
  <conditionalFormatting sqref="A61:A73">
    <cfRule type="expression" dxfId="7" priority="78">
      <formula>AND($D61="BTLG11", VALUE(SUBSTITUTE($E61,"%","")) &lt; VALUE(SUBSTITUTE($G61,"%","")))</formula>
    </cfRule>
  </conditionalFormatting>
  <conditionalFormatting sqref="A61:A73">
    <cfRule type="expression" dxfId="7" priority="79">
      <formula>AND($D61="XPLG11", VALUE(SUBSTITUTE($E61,"%","")) &lt; VALUE(SUBSTITUTE($G61,"%","")))</formula>
    </cfRule>
  </conditionalFormatting>
  <conditionalFormatting sqref="A61:A73">
    <cfRule type="expression" dxfId="7" priority="80">
      <formula>AND($D61="GGRC11", VALUE(SUBSTITUTE($E61,"%","")) &lt; VALUE(SUBSTITUTE($G61,"%","")))</formula>
    </cfRule>
  </conditionalFormatting>
  <conditionalFormatting sqref="A61:A73">
    <cfRule type="expression" dxfId="7" priority="81">
      <formula>AND($D61="GARE11", VALUE(SUBSTITUTE($E61,"%","")) &lt; VALUE(SUBSTITUTE($G61,"%","")))</formula>
    </cfRule>
  </conditionalFormatting>
  <conditionalFormatting sqref="A61:A73">
    <cfRule type="expression" dxfId="7" priority="82">
      <formula>AND($D61="HGLG11", VALUE(SUBSTITUTE($E61,"%","")) &lt; VALUE(SUBSTITUTE($G61,"%","")))</formula>
    </cfRule>
  </conditionalFormatting>
  <conditionalFormatting sqref="A61:A73">
    <cfRule type="expression" dxfId="7" priority="83">
      <formula>AND($D61="HGBS11", VALUE(SUBSTITUTE($E61,"%","")) &lt; VALUE(SUBSTITUTE($G61,"%","")))</formula>
    </cfRule>
  </conditionalFormatting>
  <conditionalFormatting sqref="A61:A73">
    <cfRule type="expression" dxfId="7" priority="84">
      <formula>AND($D61="PMLL11", VALUE(SUBSTITUTE($E61,"%","")) &lt; VALUE(SUBSTITUTE($G61,"%","")))</formula>
    </cfRule>
  </conditionalFormatting>
  <conditionalFormatting sqref="A61:A73">
    <cfRule type="expression" dxfId="7" priority="85">
      <formula>AND($D61="LVBI11", VALUE(SUBSTITUTE($E61,"%","")) &lt; VALUE(SUBSTITUTE($G61,"%","")))</formula>
    </cfRule>
  </conditionalFormatting>
  <conditionalFormatting sqref="A61:A73">
    <cfRule type="expression" dxfId="7" priority="86">
      <formula>AND($D61="RBRF11", VALUE(SUBSTITUTE($E61,"%","")) &lt; VALUE(SUBSTITUTE($G61,"%","")))</formula>
    </cfRule>
  </conditionalFormatting>
  <conditionalFormatting sqref="A61:A73">
    <cfRule type="expression" dxfId="7" priority="87">
      <formula>AND($D61="BTCI11", VALUE(SUBSTITUTE($E61,"%","")) &lt; VALUE(SUBSTITUTE($G61,"%","")))</formula>
    </cfRule>
  </conditionalFormatting>
  <conditionalFormatting sqref="A61:A73">
    <cfRule type="expression" dxfId="7" priority="88">
      <formula>AND($D61="RBRX11", VALUE(SUBSTITUTE($E61,"%","")) &lt; VALUE(SUBSTITUTE($G61,"%","")))</formula>
    </cfRule>
  </conditionalFormatting>
  <conditionalFormatting sqref="A61:A73">
    <cfRule type="expression" dxfId="7" priority="89">
      <formula>AND($D61="MXRF11", VALUE(SUBSTITUTE($E61,"%","")) &lt; VALUE(SUBSTITUTE($G61,"%","")))</formula>
    </cfRule>
  </conditionalFormatting>
  <conditionalFormatting sqref="A61:A73">
    <cfRule type="expression" dxfId="7" priority="90">
      <formula>AND($D61="RECR11", VALUE(SUBSTITUTE($E61,"%","")) &lt; VALUE(SUBSTITUTE($G61,"%","")))</formula>
    </cfRule>
  </conditionalFormatting>
  <conditionalFormatting sqref="A72:A79">
    <cfRule type="expression" dxfId="5" priority="91">
      <formula>AND($B72="RZTR11", VALUE(SUBSTITUTE($C72,"%","")) &gt; VALUE(SUBSTITUTE($E72,"%",""))*2)</formula>
    </cfRule>
  </conditionalFormatting>
  <conditionalFormatting sqref="A72:A79">
    <cfRule type="expression" dxfId="5" priority="92">
      <formula>AND($B72="BRCO11", VALUE(SUBSTITUTE($C72,"%","")) &gt; VALUE(SUBSTITUTE($E72,"%",""))*2)</formula>
    </cfRule>
  </conditionalFormatting>
  <conditionalFormatting sqref="A72:A79">
    <cfRule type="expression" dxfId="5" priority="93">
      <formula>AND($B72="BTLG11", VALUE(SUBSTITUTE($C72,"%","")) &gt; VALUE(SUBSTITUTE($E72,"%",""))*2)</formula>
    </cfRule>
  </conditionalFormatting>
  <conditionalFormatting sqref="A72:A79">
    <cfRule type="expression" dxfId="5" priority="94">
      <formula>AND($B72="XPLG11", VALUE(SUBSTITUTE($C72,"%","")) &gt; VALUE(SUBSTITUTE($E72,"%",""))*2)</formula>
    </cfRule>
  </conditionalFormatting>
  <conditionalFormatting sqref="A72:A79">
    <cfRule type="expression" dxfId="5" priority="95">
      <formula>AND($B72="GGRC11", VALUE(SUBSTITUTE($C72,"%","")) &gt; VALUE(SUBSTITUTE($E72,"%",""))*2)</formula>
    </cfRule>
  </conditionalFormatting>
  <conditionalFormatting sqref="A72:A79">
    <cfRule type="expression" dxfId="5" priority="96">
      <formula>AND($B72="GARE11", VALUE(SUBSTITUTE($C72,"%","")) &gt; VALUE(SUBSTITUTE($E72,"%",""))*2)</formula>
    </cfRule>
  </conditionalFormatting>
  <conditionalFormatting sqref="A72:A79">
    <cfRule type="expression" dxfId="5" priority="97">
      <formula>AND($B72="HGLG11", VALUE(SUBSTITUTE($C72,"%","")) &gt; VALUE(SUBSTITUTE($E72,"%",""))*2)</formula>
    </cfRule>
  </conditionalFormatting>
  <conditionalFormatting sqref="A72:A79">
    <cfRule type="expression" dxfId="5" priority="98">
      <formula>AND($B72="HGBS11", VALUE(SUBSTITUTE($C72,"%","")) &gt; VALUE(SUBSTITUTE($E72,"%",""))*2)</formula>
    </cfRule>
  </conditionalFormatting>
  <conditionalFormatting sqref="A72:A79">
    <cfRule type="expression" dxfId="5" priority="99">
      <formula>AND($B72="PMLL11", VALUE(SUBSTITUTE($C72,"%","")) &gt; VALUE(SUBSTITUTE($E72,"%",""))*2)</formula>
    </cfRule>
  </conditionalFormatting>
  <conditionalFormatting sqref="A72:A79">
    <cfRule type="expression" dxfId="5" priority="100">
      <formula>AND($B72="LVBI11", VALUE(SUBSTITUTE($C72,"%","")) &gt; VALUE(SUBSTITUTE($E72,"%",""))*2)</formula>
    </cfRule>
  </conditionalFormatting>
  <conditionalFormatting sqref="A72:A79">
    <cfRule type="expression" dxfId="5" priority="101">
      <formula>AND($B72="RBRF11", VALUE(SUBSTITUTE($C72,"%","")) &gt; VALUE(SUBSTITUTE($E72,"%",""))*2)</formula>
    </cfRule>
  </conditionalFormatting>
  <conditionalFormatting sqref="A72:A79">
    <cfRule type="expression" dxfId="5" priority="102">
      <formula>AND($B72="BTCI11", VALUE(SUBSTITUTE($C72,"%","")) &gt; VALUE(SUBSTITUTE($E72,"%",""))*2)</formula>
    </cfRule>
  </conditionalFormatting>
  <conditionalFormatting sqref="A72:A79">
    <cfRule type="expression" dxfId="5" priority="103">
      <formula>AND($B72="RBRX11", VALUE(SUBSTITUTE($C72,"%","")) &gt; VALUE(SUBSTITUTE($E72,"%",""))*2)</formula>
    </cfRule>
  </conditionalFormatting>
  <conditionalFormatting sqref="A72:A79">
    <cfRule type="expression" dxfId="5" priority="104">
      <formula>AND($B72="MXRF11", VALUE(SUBSTITUTE($C72,"%","")) &gt; VALUE(SUBSTITUTE($E72,"%",""))*2)</formula>
    </cfRule>
  </conditionalFormatting>
  <conditionalFormatting sqref="A72:A79">
    <cfRule type="expression" dxfId="5" priority="105">
      <formula>AND($B72="RECR11", VALUE(SUBSTITUTE($C72,"%","")) &gt; VALUE(SUBSTITUTE($E72,"%",""))*2)</formula>
    </cfRule>
  </conditionalFormatting>
  <conditionalFormatting sqref="A72:A79">
    <cfRule type="expression" dxfId="6" priority="106">
      <formula>AND($B72="RZTR11", VALUE(SUBSTITUTE($C72,"%","")) &gt; VALUE(SUBSTITUTE($E72,"%","")))</formula>
    </cfRule>
  </conditionalFormatting>
  <conditionalFormatting sqref="A72:A79">
    <cfRule type="expression" dxfId="6" priority="107">
      <formula>AND($B72="BRCO11", VALUE(SUBSTITUTE($C72,"%","")) &gt; VALUE(SUBSTITUTE($E72,"%","")))</formula>
    </cfRule>
  </conditionalFormatting>
  <conditionalFormatting sqref="A72:A79">
    <cfRule type="expression" dxfId="6" priority="108">
      <formula>AND($B72="BTLG11", VALUE(SUBSTITUTE($C72,"%","")) &gt; VALUE(SUBSTITUTE($E72,"%","")))</formula>
    </cfRule>
  </conditionalFormatting>
  <conditionalFormatting sqref="A72:A79">
    <cfRule type="expression" dxfId="6" priority="109">
      <formula>AND($B72="XPLG11", VALUE(SUBSTITUTE($C72,"%","")) &gt; VALUE(SUBSTITUTE($E72,"%","")))</formula>
    </cfRule>
  </conditionalFormatting>
  <conditionalFormatting sqref="A72:A79">
    <cfRule type="expression" dxfId="6" priority="110">
      <formula>AND($B72="GGRC11", VALUE(SUBSTITUTE($C72,"%","")) &gt; VALUE(SUBSTITUTE($E72,"%","")))</formula>
    </cfRule>
  </conditionalFormatting>
  <conditionalFormatting sqref="A72:A79">
    <cfRule type="expression" dxfId="6" priority="111">
      <formula>AND($B72="GARE11", VALUE(SUBSTITUTE($C72,"%","")) &gt; VALUE(SUBSTITUTE($E72,"%","")))</formula>
    </cfRule>
  </conditionalFormatting>
  <conditionalFormatting sqref="A72:A79">
    <cfRule type="expression" dxfId="6" priority="112">
      <formula>AND($B72="HGBS11", VALUE(SUBSTITUTE($C72,"%","")) &gt; VALUE(SUBSTITUTE($E72,"%","")))</formula>
    </cfRule>
  </conditionalFormatting>
  <conditionalFormatting sqref="A72:A79">
    <cfRule type="expression" dxfId="6" priority="113">
      <formula>AND($B72="PMLL11", VALUE(SUBSTITUTE($C72,"%","")) &gt; VALUE(SUBSTITUTE($E72,"%","")))</formula>
    </cfRule>
  </conditionalFormatting>
  <conditionalFormatting sqref="A72:A79">
    <cfRule type="expression" dxfId="6" priority="114">
      <formula>AND($B72="LVBI11", VALUE(SUBSTITUTE($C72,"%","")) &gt; VALUE(SUBSTITUTE($E72,"%","")))</formula>
    </cfRule>
  </conditionalFormatting>
  <conditionalFormatting sqref="A72:A79">
    <cfRule type="expression" dxfId="6" priority="115">
      <formula>AND($B72="RBRF11", VALUE(SUBSTITUTE($C72,"%","")) &gt; VALUE(SUBSTITUTE($E72,"%","")))</formula>
    </cfRule>
  </conditionalFormatting>
  <conditionalFormatting sqref="A72:A79">
    <cfRule type="expression" dxfId="6" priority="116">
      <formula>AND($B72="BTCI11", VALUE(SUBSTITUTE($C72,"%","")) &gt; VALUE(SUBSTITUTE($E72,"%","")))</formula>
    </cfRule>
  </conditionalFormatting>
  <conditionalFormatting sqref="A72:A79">
    <cfRule type="expression" dxfId="6" priority="117">
      <formula>AND($B72="RBRX11", VALUE(SUBSTITUTE($C72,"%","")) &gt; VALUE(SUBSTITUTE($E72,"%","")))</formula>
    </cfRule>
  </conditionalFormatting>
  <conditionalFormatting sqref="A72:A79">
    <cfRule type="expression" dxfId="6" priority="118">
      <formula>AND($B72="RECR11", VALUE(SUBSTITUTE($C72,"%","")) &gt; VALUE(SUBSTITUTE($E72,"%","")))</formula>
    </cfRule>
  </conditionalFormatting>
  <conditionalFormatting sqref="A72:A79">
    <cfRule type="expression" dxfId="6" priority="119">
      <formula>AND($B72="MXRF11", VALUE(SUBSTITUTE($C72,"%","")) &gt; VALUE(SUBSTITUTE($E72,"%","")))</formula>
    </cfRule>
  </conditionalFormatting>
  <conditionalFormatting sqref="A72:A79">
    <cfRule type="expression" dxfId="6" priority="120">
      <formula>AND($B72="HGLG11", VALUE(SUBSTITUTE($C72,"%","")) &gt; VALUE(SUBSTITUTE($E72,"%","")))</formula>
    </cfRule>
  </conditionalFormatting>
  <conditionalFormatting sqref="A72:A79">
    <cfRule type="expression" dxfId="7" priority="121">
      <formula>AND($B72="RZTR11", VALUE(SUBSTITUTE($C72,"%","")) &lt; VALUE(SUBSTITUTE($E72,"%","")))</formula>
    </cfRule>
  </conditionalFormatting>
  <conditionalFormatting sqref="A72:A79">
    <cfRule type="expression" dxfId="7" priority="122">
      <formula>AND($B72="BRCO11", VALUE(SUBSTITUTE($C72,"%","")) &lt; VALUE(SUBSTITUTE($E72,"%","")))</formula>
    </cfRule>
  </conditionalFormatting>
  <conditionalFormatting sqref="A72:A79">
    <cfRule type="expression" dxfId="7" priority="123">
      <formula>AND($B72="BTLG11", VALUE(SUBSTITUTE($C72,"%","")) &lt; VALUE(SUBSTITUTE($E72,"%","")))</formula>
    </cfRule>
  </conditionalFormatting>
  <conditionalFormatting sqref="A72:A79">
    <cfRule type="expression" dxfId="7" priority="124">
      <formula>AND($B72="XPLG11", VALUE(SUBSTITUTE($C72,"%","")) &lt; VALUE(SUBSTITUTE($E72,"%","")))</formula>
    </cfRule>
  </conditionalFormatting>
  <conditionalFormatting sqref="A72:A79">
    <cfRule type="expression" dxfId="7" priority="125">
      <formula>AND($B72="GGRC11", VALUE(SUBSTITUTE($C72,"%","")) &lt; VALUE(SUBSTITUTE($E72,"%","")))</formula>
    </cfRule>
  </conditionalFormatting>
  <conditionalFormatting sqref="A72:A79">
    <cfRule type="expression" dxfId="7" priority="126">
      <formula>AND($B72="GARE11", VALUE(SUBSTITUTE($C72,"%","")) &lt; VALUE(SUBSTITUTE($E72,"%","")))</formula>
    </cfRule>
  </conditionalFormatting>
  <conditionalFormatting sqref="A72:A79">
    <cfRule type="expression" dxfId="7" priority="127">
      <formula>AND($B72="HGLG11", VALUE(SUBSTITUTE($C72,"%","")) &lt; VALUE(SUBSTITUTE($E72,"%","")))</formula>
    </cfRule>
  </conditionalFormatting>
  <conditionalFormatting sqref="A72:A79">
    <cfRule type="expression" dxfId="7" priority="128">
      <formula>AND($B72="HGBS11", VALUE(SUBSTITUTE($C72,"%","")) &lt; VALUE(SUBSTITUTE($E72,"%","")))</formula>
    </cfRule>
  </conditionalFormatting>
  <conditionalFormatting sqref="A72:A79">
    <cfRule type="expression" dxfId="7" priority="129">
      <formula>AND($B72="PMLL11", VALUE(SUBSTITUTE($C72,"%","")) &lt; VALUE(SUBSTITUTE($E72,"%","")))</formula>
    </cfRule>
  </conditionalFormatting>
  <conditionalFormatting sqref="A72:A79">
    <cfRule type="expression" dxfId="7" priority="130">
      <formula>AND($B72="LVBI11", VALUE(SUBSTITUTE($C72,"%","")) &lt; VALUE(SUBSTITUTE($E72,"%","")))</formula>
    </cfRule>
  </conditionalFormatting>
  <conditionalFormatting sqref="A72:A79">
    <cfRule type="expression" dxfId="7" priority="131">
      <formula>AND($B72="RBRF11", VALUE(SUBSTITUTE($C72,"%","")) &lt; VALUE(SUBSTITUTE($E72,"%","")))</formula>
    </cfRule>
  </conditionalFormatting>
  <conditionalFormatting sqref="A72:A79">
    <cfRule type="expression" dxfId="7" priority="132">
      <formula>AND($B72="BTCI11", VALUE(SUBSTITUTE($C72,"%","")) &lt; VALUE(SUBSTITUTE($E72,"%","")))</formula>
    </cfRule>
  </conditionalFormatting>
  <conditionalFormatting sqref="A72:A79">
    <cfRule type="expression" dxfId="7" priority="133">
      <formula>AND($B72="RBRX11", VALUE(SUBSTITUTE($C72,"%","")) &lt; VALUE(SUBSTITUTE($E72,"%","")))</formula>
    </cfRule>
  </conditionalFormatting>
  <conditionalFormatting sqref="A72:A79">
    <cfRule type="expression" dxfId="7" priority="134">
      <formula>AND($B72="MXRF11", VALUE(SUBSTITUTE($C72,"%","")) &lt; VALUE(SUBSTITUTE($E72,"%","")))</formula>
    </cfRule>
  </conditionalFormatting>
  <conditionalFormatting sqref="A72:A79">
    <cfRule type="expression" dxfId="7" priority="135">
      <formula>AND($B72="RECR11", VALUE(SUBSTITUTE($C72,"%","")) &lt; VALUE(SUBSTITUTE($E72,"%","")))</formula>
    </cfRule>
  </conditionalFormatting>
  <conditionalFormatting sqref="A42 A45 A48 A51">
    <cfRule type="expression" dxfId="5" priority="136">
      <formula>AND($A43="RZTR11", VALUE(SUBSTITUTE($C135,"%","")) &gt; VALUE(SUBSTITUTE($F138,"%",""))*2)</formula>
    </cfRule>
  </conditionalFormatting>
  <conditionalFormatting sqref="A42 A45 A48 A51">
    <cfRule type="expression" dxfId="5" priority="137">
      <formula>AND($A43="BRCO11", VALUE(SUBSTITUTE($C135,"%","")) &gt; VALUE(SUBSTITUTE($F138,"%",""))*2)</formula>
    </cfRule>
  </conditionalFormatting>
  <conditionalFormatting sqref="A42 A45 A48 A51">
    <cfRule type="expression" dxfId="5" priority="138">
      <formula>AND($A43="BTLG11", VALUE(SUBSTITUTE($C135,"%","")) &gt; VALUE(SUBSTITUTE($F138,"%",""))*2)</formula>
    </cfRule>
  </conditionalFormatting>
  <conditionalFormatting sqref="A42 A45 A48 A51">
    <cfRule type="expression" dxfId="5" priority="139">
      <formula>AND($A43="XPLG11", VALUE(SUBSTITUTE($C135,"%","")) &gt; VALUE(SUBSTITUTE($F138,"%",""))*2)</formula>
    </cfRule>
  </conditionalFormatting>
  <conditionalFormatting sqref="A42 A45 A48 A51">
    <cfRule type="expression" dxfId="5" priority="140">
      <formula>AND($A43="GGRC11", VALUE(SUBSTITUTE($C135,"%","")) &gt; VALUE(SUBSTITUTE($F138,"%",""))*2)</formula>
    </cfRule>
  </conditionalFormatting>
  <conditionalFormatting sqref="A42 A45 A48 A51">
    <cfRule type="expression" dxfId="5" priority="141">
      <formula>AND($A43="GARE11", VALUE(SUBSTITUTE($C135,"%","")) &gt; VALUE(SUBSTITUTE($F138,"%",""))*2)</formula>
    </cfRule>
  </conditionalFormatting>
  <conditionalFormatting sqref="A42 A45 A48 A51">
    <cfRule type="expression" dxfId="5" priority="142">
      <formula>AND($A43="HGLG11", VALUE(SUBSTITUTE($C135,"%","")) &gt; VALUE(SUBSTITUTE($F138,"%",""))*2)</formula>
    </cfRule>
  </conditionalFormatting>
  <conditionalFormatting sqref="A42 A45 A48 A51">
    <cfRule type="expression" dxfId="5" priority="143">
      <formula>AND($A43="HGBS11", VALUE(SUBSTITUTE($C135,"%","")) &gt; VALUE(SUBSTITUTE($F138,"%",""))*2)</formula>
    </cfRule>
  </conditionalFormatting>
  <conditionalFormatting sqref="A42 A45 A48 A51">
    <cfRule type="expression" dxfId="5" priority="144">
      <formula>AND($A43="MALL11", VALUE(SUBSTITUTE($C135,"%","")) &gt; VALUE(SUBSTITUTE($F138,"%",""))*2)</formula>
    </cfRule>
  </conditionalFormatting>
  <conditionalFormatting sqref="A42 A45 A48 A51">
    <cfRule type="expression" dxfId="5" priority="145">
      <formula>AND($A43="LVBI11", VALUE(SUBSTITUTE($C135,"%","")) &gt; VALUE(SUBSTITUTE($F138,"%",""))*2)</formula>
    </cfRule>
  </conditionalFormatting>
  <conditionalFormatting sqref="A42 A45 A48 A51">
    <cfRule type="expression" dxfId="5" priority="146">
      <formula>AND($A43="RBRF11", VALUE(SUBSTITUTE($C135,"%","")) &gt; VALUE(SUBSTITUTE($F138,"%",""))*2)</formula>
    </cfRule>
  </conditionalFormatting>
  <conditionalFormatting sqref="A42 A45 A48 A51">
    <cfRule type="expression" dxfId="5" priority="147">
      <formula>AND($A43="BTCI11", VALUE(SUBSTITUTE($C135,"%","")) &gt; VALUE(SUBSTITUTE($F138,"%",""))*2)</formula>
    </cfRule>
  </conditionalFormatting>
  <conditionalFormatting sqref="A42 A45 A48 A51">
    <cfRule type="expression" dxfId="5" priority="148">
      <formula>AND($A43="RBRX11", VALUE(SUBSTITUTE($C135,"%","")) &gt; VALUE(SUBSTITUTE($F138,"%",""))*2)</formula>
    </cfRule>
  </conditionalFormatting>
  <conditionalFormatting sqref="A42 A45 A48 A51">
    <cfRule type="expression" dxfId="5" priority="149">
      <formula>AND($A43="MXRF11", VALUE(SUBSTITUTE($C135,"%","")) &gt; VALUE(SUBSTITUTE($F138,"%",""))*2)</formula>
    </cfRule>
  </conditionalFormatting>
  <conditionalFormatting sqref="A42 A45 A48 A51">
    <cfRule type="expression" dxfId="6" priority="150">
      <formula>AND($A43="RZTR11", VALUE(SUBSTITUTE($C135,"%","")) &gt; VALUE(SUBSTITUTE($F138,"%","")))</formula>
    </cfRule>
  </conditionalFormatting>
  <conditionalFormatting sqref="A42 A45 A48 A51">
    <cfRule type="expression" dxfId="6" priority="151">
      <formula>AND($A43="BRCO11", VALUE(SUBSTITUTE($C135,"%","")) &gt; VALUE(SUBSTITUTE($F138,"%","")))</formula>
    </cfRule>
  </conditionalFormatting>
  <conditionalFormatting sqref="A42 A45 A48 A51">
    <cfRule type="expression" dxfId="6" priority="152">
      <formula>AND($A43="BTLG11", VALUE(SUBSTITUTE($C135,"%","")) &gt; VALUE(SUBSTITUTE($F138,"%","")))</formula>
    </cfRule>
  </conditionalFormatting>
  <conditionalFormatting sqref="A42 A45 A48 A51">
    <cfRule type="expression" dxfId="6" priority="153">
      <formula>AND($A43="XPLG11", VALUE(SUBSTITUTE($C135,"%","")) &gt; VALUE(SUBSTITUTE($F138,"%","")))</formula>
    </cfRule>
  </conditionalFormatting>
  <conditionalFormatting sqref="A42 A45 A48 A51">
    <cfRule type="expression" dxfId="6" priority="154">
      <formula>AND($A43="GGRC11", VALUE(SUBSTITUTE($C135,"%","")) &gt; VALUE(SUBSTITUTE($F138,"%","")))</formula>
    </cfRule>
  </conditionalFormatting>
  <conditionalFormatting sqref="A42 A45 A48 A51">
    <cfRule type="expression" dxfId="6" priority="155">
      <formula>AND($A43="GARE11", VALUE(SUBSTITUTE($C135,"%","")) &gt; VALUE(SUBSTITUTE($F138,"%","")))</formula>
    </cfRule>
  </conditionalFormatting>
  <conditionalFormatting sqref="A42 A45 A48 A51">
    <cfRule type="expression" dxfId="6" priority="156">
      <formula>AND($A43="HGBS11", VALUE(SUBSTITUTE($C135,"%","")) &gt; VALUE(SUBSTITUTE($F138,"%","")))</formula>
    </cfRule>
  </conditionalFormatting>
  <conditionalFormatting sqref="A42 A45 A48 A51">
    <cfRule type="expression" dxfId="6" priority="157">
      <formula>AND($A43="MALL11", VALUE(SUBSTITUTE($C135,"%","")) &gt; VALUE(SUBSTITUTE($F138,"%","")))</formula>
    </cfRule>
  </conditionalFormatting>
  <conditionalFormatting sqref="A42 A45 A48 A51">
    <cfRule type="expression" dxfId="6" priority="158">
      <formula>AND($A43="LVBI11", VALUE(SUBSTITUTE($C135,"%","")) &gt; VALUE(SUBSTITUTE($F138,"%","")))</formula>
    </cfRule>
  </conditionalFormatting>
  <conditionalFormatting sqref="A42 A45 A48 A51">
    <cfRule type="expression" dxfId="6" priority="159">
      <formula>AND($A43="RBRF11", VALUE(SUBSTITUTE($C135,"%","")) &gt; VALUE(SUBSTITUTE($F138,"%","")))</formula>
    </cfRule>
  </conditionalFormatting>
  <conditionalFormatting sqref="A42 A45 A48 A51">
    <cfRule type="expression" dxfId="6" priority="160">
      <formula>AND($A43="BTCI11", VALUE(SUBSTITUTE($C135,"%","")) &gt; VALUE(SUBSTITUTE($F138,"%","")))</formula>
    </cfRule>
  </conditionalFormatting>
  <conditionalFormatting sqref="A42 A45 A48 A51">
    <cfRule type="expression" dxfId="6" priority="161">
      <formula>AND($A43="RBRX11", VALUE(SUBSTITUTE($C135,"%","")) &gt; VALUE(SUBSTITUTE($F138,"%","")))</formula>
    </cfRule>
  </conditionalFormatting>
  <conditionalFormatting sqref="A42 A45 A48 A51">
    <cfRule type="expression" dxfId="6" priority="162">
      <formula>AND($A43="MXRF11", VALUE(SUBSTITUTE($C135,"%","")) &gt; VALUE(SUBSTITUTE($F138,"%","")))</formula>
    </cfRule>
  </conditionalFormatting>
  <conditionalFormatting sqref="A42 A45 A48 A51">
    <cfRule type="expression" dxfId="7" priority="163">
      <formula>AND($A43="RZTR11", VALUE(SUBSTITUTE($C135,"%","")) &lt; VALUE(SUBSTITUTE($F138,"%","")))</formula>
    </cfRule>
  </conditionalFormatting>
  <conditionalFormatting sqref="A42 A45 A48 A51">
    <cfRule type="expression" dxfId="7" priority="164">
      <formula>AND($A43="BRCO11", VALUE(SUBSTITUTE($C135,"%","")) &lt; VALUE(SUBSTITUTE($F138,"%","")))</formula>
    </cfRule>
  </conditionalFormatting>
  <conditionalFormatting sqref="A42 A45 A48 A51">
    <cfRule type="expression" dxfId="7" priority="165">
      <formula>AND($A43="BTLG11", VALUE(SUBSTITUTE($C135,"%","")) &lt; VALUE(SUBSTITUTE($F138,"%","")))</formula>
    </cfRule>
  </conditionalFormatting>
  <conditionalFormatting sqref="A42 A45 A48 A51">
    <cfRule type="expression" dxfId="7" priority="166">
      <formula>AND($A43="XPLG11", VALUE(SUBSTITUTE($C135,"%","")) &lt; VALUE(SUBSTITUTE($F138,"%","")))</formula>
    </cfRule>
  </conditionalFormatting>
  <conditionalFormatting sqref="A42 A45 A48 A51">
    <cfRule type="expression" dxfId="7" priority="167">
      <formula>AND($A43="GGRC11", VALUE(SUBSTITUTE($C135,"%","")) &lt; VALUE(SUBSTITUTE($F138,"%","")))</formula>
    </cfRule>
  </conditionalFormatting>
  <conditionalFormatting sqref="A42 A45 A48 A51">
    <cfRule type="expression" dxfId="7" priority="168">
      <formula>AND($A43="GARE11", VALUE(SUBSTITUTE($C135,"%","")) &lt; VALUE(SUBSTITUTE($F138,"%","")))</formula>
    </cfRule>
  </conditionalFormatting>
  <conditionalFormatting sqref="A42 A45 A48 A51">
    <cfRule type="expression" dxfId="7" priority="169">
      <formula>AND($A43="HGLG11", VALUE(SUBSTITUTE($C135,"%","")) &lt; VALUE(SUBSTITUTE($F138,"%","")))</formula>
    </cfRule>
  </conditionalFormatting>
  <conditionalFormatting sqref="A42 A45 A48 A51">
    <cfRule type="expression" dxfId="7" priority="170">
      <formula>AND($A43="HGBS11", VALUE(SUBSTITUTE($C135,"%","")) &lt; VALUE(SUBSTITUTE($F138,"%","")))</formula>
    </cfRule>
  </conditionalFormatting>
  <conditionalFormatting sqref="A42 A45 A48 A51">
    <cfRule type="expression" dxfId="7" priority="171">
      <formula>AND($A43="MALL11", VALUE(SUBSTITUTE($C135,"%","")) &lt; VALUE(SUBSTITUTE($F138,"%","")))</formula>
    </cfRule>
  </conditionalFormatting>
  <conditionalFormatting sqref="A42 A45 A48 A51">
    <cfRule type="expression" dxfId="7" priority="172">
      <formula>AND($A43="LVBI11", VALUE(SUBSTITUTE($C135,"%","")) &lt; VALUE(SUBSTITUTE($F138,"%","")))</formula>
    </cfRule>
  </conditionalFormatting>
  <conditionalFormatting sqref="A42 A45 A48 A51">
    <cfRule type="expression" dxfId="7" priority="173">
      <formula>AND($A43="RBRF11", VALUE(SUBSTITUTE($C135,"%","")) &lt; VALUE(SUBSTITUTE($F138,"%","")))</formula>
    </cfRule>
  </conditionalFormatting>
  <conditionalFormatting sqref="A42 A45 A48 A51">
    <cfRule type="expression" dxfId="7" priority="174">
      <formula>AND($A43="BTCI11", VALUE(SUBSTITUTE($C135,"%","")) &lt; VALUE(SUBSTITUTE($F138,"%","")))</formula>
    </cfRule>
  </conditionalFormatting>
  <conditionalFormatting sqref="A42 A45 A48 A51">
    <cfRule type="expression" dxfId="7" priority="175">
      <formula>AND($A43="RBRX11", VALUE(SUBSTITUTE($C135,"%","")) &lt; VALUE(SUBSTITUTE($F138,"%","")))</formula>
    </cfRule>
  </conditionalFormatting>
  <conditionalFormatting sqref="A42 A45 A48 A51">
    <cfRule type="expression" dxfId="7" priority="176">
      <formula>AND($A43="MXRF11", VALUE(SUBSTITUTE($C135,"%","")) &lt; VALUE(SUBSTITUTE($F138,"%","")))</formula>
    </cfRule>
  </conditionalFormatting>
  <conditionalFormatting sqref="A42:A43 A45:A55">
    <cfRule type="expression" dxfId="5" priority="177">
      <formula>AND($B42="RZTR11", VALUE(SUBSTITUTE($C42,"%","")) &gt; VALUE(SUBSTITUTE($E42,"%",""))*2)</formula>
    </cfRule>
  </conditionalFormatting>
  <conditionalFormatting sqref="A42:A43 A45:A55">
    <cfRule type="expression" dxfId="5" priority="178">
      <formula>AND($B42="BRCO11", VALUE(SUBSTITUTE($C42,"%","")) &gt; VALUE(SUBSTITUTE($E42,"%",""))*2)</formula>
    </cfRule>
  </conditionalFormatting>
  <conditionalFormatting sqref="A42:A43 A45:A55">
    <cfRule type="expression" dxfId="5" priority="179">
      <formula>AND($B42="BTLG11", VALUE(SUBSTITUTE($C42,"%","")) &gt; VALUE(SUBSTITUTE($E42,"%",""))*2)</formula>
    </cfRule>
  </conditionalFormatting>
  <conditionalFormatting sqref="A42:A43 A45:A55">
    <cfRule type="expression" dxfId="5" priority="180">
      <formula>AND($B42="XPLG11", VALUE(SUBSTITUTE($C42,"%","")) &gt; VALUE(SUBSTITUTE($E42,"%",""))*2)</formula>
    </cfRule>
  </conditionalFormatting>
  <conditionalFormatting sqref="A42:A43 A45:A55">
    <cfRule type="expression" dxfId="5" priority="181">
      <formula>AND($B42="GGRC11", VALUE(SUBSTITUTE($C42,"%","")) &gt; VALUE(SUBSTITUTE($E42,"%",""))*2)</formula>
    </cfRule>
  </conditionalFormatting>
  <conditionalFormatting sqref="A42:A43 A45:A55">
    <cfRule type="expression" dxfId="5" priority="182">
      <formula>AND($B42="GARE11", VALUE(SUBSTITUTE($C42,"%","")) &gt; VALUE(SUBSTITUTE($E42,"%",""))*2)</formula>
    </cfRule>
  </conditionalFormatting>
  <conditionalFormatting sqref="A42:A43 A45:A55">
    <cfRule type="expression" dxfId="5" priority="183">
      <formula>AND($B42="HGLG11", VALUE(SUBSTITUTE($C42,"%","")) &gt; VALUE(SUBSTITUTE($E42,"%",""))*2)</formula>
    </cfRule>
  </conditionalFormatting>
  <conditionalFormatting sqref="A42:A43 A45:A55">
    <cfRule type="expression" dxfId="5" priority="184">
      <formula>AND($B42="HGBS11", VALUE(SUBSTITUTE($C42,"%","")) &gt; VALUE(SUBSTITUTE($E42,"%",""))*2)</formula>
    </cfRule>
  </conditionalFormatting>
  <conditionalFormatting sqref="A42:A43 A45:A55">
    <cfRule type="expression" dxfId="5" priority="185">
      <formula>AND($B42="MALL11", VALUE(SUBSTITUTE($C42,"%","")) &gt; VALUE(SUBSTITUTE($E42,"%",""))*2)</formula>
    </cfRule>
  </conditionalFormatting>
  <conditionalFormatting sqref="A42:A43 A45:A55">
    <cfRule type="expression" dxfId="5" priority="186">
      <formula>AND($B42="LVBI11", VALUE(SUBSTITUTE($C42,"%","")) &gt; VALUE(SUBSTITUTE($E42,"%",""))*2)</formula>
    </cfRule>
  </conditionalFormatting>
  <conditionalFormatting sqref="A42:A43 A45:A55">
    <cfRule type="expression" dxfId="5" priority="187">
      <formula>AND($B42="RBRF11", VALUE(SUBSTITUTE($C42,"%","")) &gt; VALUE(SUBSTITUTE($E42,"%",""))*2)</formula>
    </cfRule>
  </conditionalFormatting>
  <conditionalFormatting sqref="A42:A43 A45:A55">
    <cfRule type="expression" dxfId="5" priority="188">
      <formula>AND($B42="BTCI11", VALUE(SUBSTITUTE($C42,"%","")) &gt; VALUE(SUBSTITUTE($E42,"%",""))*2)</formula>
    </cfRule>
  </conditionalFormatting>
  <conditionalFormatting sqref="A42:A43 A45:A55">
    <cfRule type="expression" dxfId="5" priority="189">
      <formula>AND($B42="RBRX11", VALUE(SUBSTITUTE($C42,"%","")) &gt; VALUE(SUBSTITUTE($E42,"%",""))*2)</formula>
    </cfRule>
  </conditionalFormatting>
  <conditionalFormatting sqref="A42:A43 A45:A55">
    <cfRule type="expression" dxfId="5" priority="190">
      <formula>AND($B42="MXRF11", VALUE(SUBSTITUTE($C42,"%","")) &gt; VALUE(SUBSTITUTE($E42,"%",""))*2)</formula>
    </cfRule>
  </conditionalFormatting>
  <conditionalFormatting sqref="A42:A43 A45:A55">
    <cfRule type="expression" dxfId="6" priority="191">
      <formula>AND($B42="RZTR11", VALUE(SUBSTITUTE($C42,"%","")) &gt; VALUE(SUBSTITUTE($E42,"%","")))</formula>
    </cfRule>
  </conditionalFormatting>
  <conditionalFormatting sqref="A42:A43 A45:A55">
    <cfRule type="expression" dxfId="6" priority="192">
      <formula>AND($B42="BRCO11", VALUE(SUBSTITUTE($C42,"%","")) &gt; VALUE(SUBSTITUTE($E42,"%","")))</formula>
    </cfRule>
  </conditionalFormatting>
  <conditionalFormatting sqref="A42:A43 A45:A55">
    <cfRule type="expression" dxfId="6" priority="193">
      <formula>AND($B42="BTLG11", VALUE(SUBSTITUTE($C42,"%","")) &gt; VALUE(SUBSTITUTE($E42,"%","")))</formula>
    </cfRule>
  </conditionalFormatting>
  <conditionalFormatting sqref="A42:A43 A45:A55">
    <cfRule type="expression" dxfId="6" priority="194">
      <formula>AND($B42="XPLG11", VALUE(SUBSTITUTE($C42,"%","")) &gt; VALUE(SUBSTITUTE($E42,"%","")))</formula>
    </cfRule>
  </conditionalFormatting>
  <conditionalFormatting sqref="A42:A43 A45:A55">
    <cfRule type="expression" dxfId="6" priority="195">
      <formula>AND($B42="GGRC11", VALUE(SUBSTITUTE($C42,"%","")) &gt; VALUE(SUBSTITUTE($E42,"%","")))</formula>
    </cfRule>
  </conditionalFormatting>
  <conditionalFormatting sqref="A42:A43 A45:A55">
    <cfRule type="expression" dxfId="6" priority="196">
      <formula>AND($B42="GARE11", VALUE(SUBSTITUTE($C42,"%","")) &gt; VALUE(SUBSTITUTE($E42,"%","")))</formula>
    </cfRule>
  </conditionalFormatting>
  <conditionalFormatting sqref="A42:A43 A45:A55">
    <cfRule type="expression" dxfId="6" priority="197">
      <formula>AND($B42="HGBS11", VALUE(SUBSTITUTE($C42,"%","")) &gt; VALUE(SUBSTITUTE($E42,"%","")))</formula>
    </cfRule>
  </conditionalFormatting>
  <conditionalFormatting sqref="A42:A43 A45:A55">
    <cfRule type="expression" dxfId="6" priority="198">
      <formula>AND($B42="MALL11", VALUE(SUBSTITUTE($C42,"%","")) &gt; VALUE(SUBSTITUTE($E42,"%","")))</formula>
    </cfRule>
  </conditionalFormatting>
  <conditionalFormatting sqref="A42:A43 A45:A55">
    <cfRule type="expression" dxfId="6" priority="199">
      <formula>AND($B42="LVBI11", VALUE(SUBSTITUTE($C42,"%","")) &gt; VALUE(SUBSTITUTE($E42,"%","")))</formula>
    </cfRule>
  </conditionalFormatting>
  <conditionalFormatting sqref="A42:A43 A45:A55">
    <cfRule type="expression" dxfId="6" priority="200">
      <formula>AND($B42="RBRF11", VALUE(SUBSTITUTE($C42,"%","")) &gt; VALUE(SUBSTITUTE($E42,"%","")))</formula>
    </cfRule>
  </conditionalFormatting>
  <conditionalFormatting sqref="A42:A43 A45:A55">
    <cfRule type="expression" dxfId="6" priority="201">
      <formula>AND($B42="BTCI11", VALUE(SUBSTITUTE($C42,"%","")) &gt; VALUE(SUBSTITUTE($E42,"%","")))</formula>
    </cfRule>
  </conditionalFormatting>
  <conditionalFormatting sqref="A42:A43 A45:A55">
    <cfRule type="expression" dxfId="6" priority="202">
      <formula>AND($B42="RBRX11", VALUE(SUBSTITUTE($C42,"%","")) &gt; VALUE(SUBSTITUTE($E42,"%","")))</formula>
    </cfRule>
  </conditionalFormatting>
  <conditionalFormatting sqref="A42:A43 A45:A55">
    <cfRule type="expression" dxfId="6" priority="203">
      <formula>AND($B42="MXRF11", VALUE(SUBSTITUTE($C42,"%","")) &gt; VALUE(SUBSTITUTE($E42,"%","")))</formula>
    </cfRule>
  </conditionalFormatting>
  <conditionalFormatting sqref="A42:A43 A45:A55">
    <cfRule type="expression" dxfId="7" priority="204">
      <formula>AND($B42="RZTR11", VALUE(SUBSTITUTE($C42,"%","")) &lt; VALUE(SUBSTITUTE($E42,"%","")))</formula>
    </cfRule>
  </conditionalFormatting>
  <conditionalFormatting sqref="A42:A43 A45:A55">
    <cfRule type="expression" dxfId="7" priority="205">
      <formula>AND($B42="BRCO11", VALUE(SUBSTITUTE($C42,"%","")) &lt; VALUE(SUBSTITUTE($E42,"%","")))</formula>
    </cfRule>
  </conditionalFormatting>
  <conditionalFormatting sqref="A42:A43 A45:A55">
    <cfRule type="expression" dxfId="7" priority="206">
      <formula>AND($B42="BTLG11", VALUE(SUBSTITUTE($C42,"%","")) &lt; VALUE(SUBSTITUTE($E42,"%","")))</formula>
    </cfRule>
  </conditionalFormatting>
  <conditionalFormatting sqref="A42:A43 A45:A55">
    <cfRule type="expression" dxfId="7" priority="207">
      <formula>AND($B42="XPLG11", VALUE(SUBSTITUTE($C42,"%","")) &lt; VALUE(SUBSTITUTE($E42,"%","")))</formula>
    </cfRule>
  </conditionalFormatting>
  <conditionalFormatting sqref="A42:A43 A45:A55">
    <cfRule type="expression" dxfId="7" priority="208">
      <formula>AND($B42="GGRC11", VALUE(SUBSTITUTE($C42,"%","")) &lt; VALUE(SUBSTITUTE($E42,"%","")))</formula>
    </cfRule>
  </conditionalFormatting>
  <conditionalFormatting sqref="A42:A43 A45:A55">
    <cfRule type="expression" dxfId="7" priority="209">
      <formula>AND($B42="GARE11", VALUE(SUBSTITUTE($C42,"%","")) &lt; VALUE(SUBSTITUTE($E42,"%","")))</formula>
    </cfRule>
  </conditionalFormatting>
  <conditionalFormatting sqref="A42:A43 A45:A55">
    <cfRule type="expression" dxfId="7" priority="210">
      <formula>AND($B42="HGLG11", VALUE(SUBSTITUTE($C42,"%","")) &lt; VALUE(SUBSTITUTE($E42,"%","")))</formula>
    </cfRule>
  </conditionalFormatting>
  <conditionalFormatting sqref="A42:A43 A45:A55">
    <cfRule type="expression" dxfId="7" priority="211">
      <formula>AND($B42="HGBS11", VALUE(SUBSTITUTE($C42,"%","")) &lt; VALUE(SUBSTITUTE($E42,"%","")))</formula>
    </cfRule>
  </conditionalFormatting>
  <conditionalFormatting sqref="A42:A43 A45:A55">
    <cfRule type="expression" dxfId="7" priority="212">
      <formula>AND($B42="MALL11", VALUE(SUBSTITUTE($C42,"%","")) &lt; VALUE(SUBSTITUTE($E42,"%","")))</formula>
    </cfRule>
  </conditionalFormatting>
  <conditionalFormatting sqref="A42:A43 A45:A55">
    <cfRule type="expression" dxfId="7" priority="213">
      <formula>AND($B42="LVBI11", VALUE(SUBSTITUTE($C42,"%","")) &lt; VALUE(SUBSTITUTE($E42,"%","")))</formula>
    </cfRule>
  </conditionalFormatting>
  <conditionalFormatting sqref="A42:A43 A45:A55">
    <cfRule type="expression" dxfId="7" priority="214">
      <formula>AND($B42="RBRF11", VALUE(SUBSTITUTE($C42,"%","")) &lt; VALUE(SUBSTITUTE($E42,"%","")))</formula>
    </cfRule>
  </conditionalFormatting>
  <conditionalFormatting sqref="A42:A43 A45:A55">
    <cfRule type="expression" dxfId="7" priority="215">
      <formula>AND($B42="BTCI11", VALUE(SUBSTITUTE($C42,"%","")) &lt; VALUE(SUBSTITUTE($E42,"%","")))</formula>
    </cfRule>
  </conditionalFormatting>
  <conditionalFormatting sqref="A42:A43 A45:A55">
    <cfRule type="expression" dxfId="7" priority="216">
      <formula>AND($B42="RBRX11", VALUE(SUBSTITUTE($C42,"%","")) &lt; VALUE(SUBSTITUTE($E42,"%","")))</formula>
    </cfRule>
  </conditionalFormatting>
  <conditionalFormatting sqref="A42:A43 A45:A55">
    <cfRule type="expression" dxfId="7" priority="217">
      <formula>AND($B42="MXRF11", VALUE(SUBSTITUTE($C42,"%","")) &lt; VALUE(SUBSTITUTE($E42,"%","")))</formula>
    </cfRule>
  </conditionalFormatting>
  <conditionalFormatting sqref="F4 F6">
    <cfRule type="expression" dxfId="5" priority="218">
      <formula>AND($G4="BBAS3", VALUE(SUBSTITUTE($C14,"%","")) &gt; VALUE(SUBSTITUTE($E15,"%",""))*2)</formula>
    </cfRule>
  </conditionalFormatting>
  <conditionalFormatting sqref="F4 F6">
    <cfRule type="expression" dxfId="5" priority="219">
      <formula>AND($G4="CMIG3", VALUE(SUBSTITUTE($C14,"%","")) &gt; VALUE(SUBSTITUTE($E15,"%",""))*2)</formula>
    </cfRule>
  </conditionalFormatting>
  <conditionalFormatting sqref="F4 F6">
    <cfRule type="expression" dxfId="5" priority="220">
      <formula>AND($G4="BBSE3", VALUE(SUBSTITUTE($C14,"%","")) &gt; VALUE(SUBSTITUTE($E15,"%",""))*2)</formula>
    </cfRule>
  </conditionalFormatting>
  <conditionalFormatting sqref="F4 F6">
    <cfRule type="expression" dxfId="5" priority="221">
      <formula>AND($G4="BRBI11", VALUE(SUBSTITUTE($C14,"%","")) &gt; VALUE(SUBSTITUTE($E15,"%",""))*2)</formula>
    </cfRule>
  </conditionalFormatting>
  <conditionalFormatting sqref="F4 F6">
    <cfRule type="expression" dxfId="5" priority="222">
      <formula>AND($G4="PETR4", VALUE(SUBSTITUTE($C14,"%","")) &gt; VALUE(SUBSTITUTE($E15,"%",""))*2)</formula>
    </cfRule>
  </conditionalFormatting>
  <conditionalFormatting sqref="F4 F6">
    <cfRule type="expression" dxfId="5" priority="223">
      <formula>AND($G4="CMIG4", VALUE(SUBSTITUTE($C14,"%","")) &gt; VALUE(SUBSTITUTE($E15,"%",""))*2)</formula>
    </cfRule>
  </conditionalFormatting>
  <conditionalFormatting sqref="F4 F6">
    <cfRule type="expression" dxfId="5" priority="224">
      <formula>AND($G4="BBDC3", VALUE(SUBSTITUTE($C14,"%","")) &gt; VALUE(SUBSTITUTE($E15,"%",""))*2)</formula>
    </cfRule>
  </conditionalFormatting>
  <conditionalFormatting sqref="F4 F6">
    <cfRule type="expression" dxfId="5" priority="225">
      <formula>AND($G4="TAEE11", VALUE(SUBSTITUTE($C14,"%","")) &gt; VALUE(SUBSTITUTE($E15,"%",""))*2)</formula>
    </cfRule>
  </conditionalFormatting>
  <conditionalFormatting sqref="F4 F6">
    <cfRule type="expression" dxfId="5" priority="226">
      <formula>AND($G4="VALE3", VALUE(SUBSTITUTE($C14,"%","")) &gt; VALUE(SUBSTITUTE($E15,"%",""))*2)</formula>
    </cfRule>
  </conditionalFormatting>
  <conditionalFormatting sqref="F4 F6">
    <cfRule type="expression" dxfId="5" priority="227">
      <formula>AND($G4="ITUB3", VALUE(SUBSTITUTE($C14,"%","")) &gt; VALUE(SUBSTITUTE($E15,"%",""))*2)</formula>
    </cfRule>
  </conditionalFormatting>
  <conditionalFormatting sqref="F4 F6">
    <cfRule type="expression" dxfId="6" priority="228">
      <formula>AND($G4="BBAS3", VALUE(SUBSTITUTE($C14,"%","")) &gt; VALUE(SUBSTITUTE($E15,"%","")))</formula>
    </cfRule>
  </conditionalFormatting>
  <conditionalFormatting sqref="F4 F6">
    <cfRule type="expression" dxfId="6" priority="229">
      <formula>AND($G4="BBSE3", VALUE(SUBSTITUTE($C14,"%","")) &gt; VALUE(SUBSTITUTE($E15,"%","")))</formula>
    </cfRule>
  </conditionalFormatting>
  <conditionalFormatting sqref="F4 F6">
    <cfRule type="expression" dxfId="6" priority="230">
      <formula>AND($G4="PETR4", VALUE(SUBSTITUTE($C14,"%","")) &gt; VALUE(SUBSTITUTE($E15,"%","")))</formula>
    </cfRule>
  </conditionalFormatting>
  <conditionalFormatting sqref="F4 F6">
    <cfRule type="expression" dxfId="6" priority="231">
      <formula>AND($G4="ITUB3", VALUE(SUBSTITUTE($C14,"%","")) &gt; VALUE(SUBSTITUTE($E15,"%","")))</formula>
    </cfRule>
  </conditionalFormatting>
  <conditionalFormatting sqref="F4 F6">
    <cfRule type="expression" dxfId="6" priority="232">
      <formula>AND($G4="VALE3", VALUE(SUBSTITUTE($C14,"%","")) &gt; VALUE(SUBSTITUTE($E15,"%","")))</formula>
    </cfRule>
  </conditionalFormatting>
  <conditionalFormatting sqref="F4 F6">
    <cfRule type="expression" dxfId="6" priority="233">
      <formula>AND($G4="CMIG3", VALUE(SUBSTITUTE($C14,"%","")) &gt; VALUE(SUBSTITUTE($E15,"%","")))</formula>
    </cfRule>
  </conditionalFormatting>
  <conditionalFormatting sqref="F4 F6">
    <cfRule type="expression" dxfId="6" priority="234">
      <formula>AND($G4="BRBI11", VALUE(SUBSTITUTE($C14,"%","")) &gt; VALUE(SUBSTITUTE($E15,"%","")))</formula>
    </cfRule>
  </conditionalFormatting>
  <conditionalFormatting sqref="F4 F6">
    <cfRule type="expression" dxfId="6" priority="235">
      <formula>AND($G4="TAEE11", VALUE(SUBSTITUTE($C14,"%","")) &gt; VALUE(SUBSTITUTE($E15,"%","")))</formula>
    </cfRule>
  </conditionalFormatting>
  <conditionalFormatting sqref="F4 F6">
    <cfRule type="expression" dxfId="6" priority="236">
      <formula>AND($G4="BBDC3", VALUE(SUBSTITUTE($C14,"%","")) &gt; VALUE(SUBSTITUTE($E15,"%","")))</formula>
    </cfRule>
  </conditionalFormatting>
  <conditionalFormatting sqref="F4 F6">
    <cfRule type="expression" dxfId="6" priority="237">
      <formula>AND($G4="CMIG4", VALUE(SUBSTITUTE($C14,"%","")) &gt; VALUE(SUBSTITUTE($E15,"%","")))</formula>
    </cfRule>
  </conditionalFormatting>
  <conditionalFormatting sqref="F4 F6">
    <cfRule type="expression" dxfId="7" priority="238">
      <formula>AND($G4="BBAS3", VALUE(SUBSTITUTE($C14,"%","")) &lt; VALUE(SUBSTITUTE($E15,"%","")))</formula>
    </cfRule>
  </conditionalFormatting>
  <conditionalFormatting sqref="F4 F6">
    <cfRule type="expression" dxfId="7" priority="239">
      <formula>AND($G4="BBSE3", VALUE(SUBSTITUTE($C14,"%","")) &lt; VALUE(SUBSTITUTE($E15,"%","")))</formula>
    </cfRule>
  </conditionalFormatting>
  <conditionalFormatting sqref="F4 F6">
    <cfRule type="expression" dxfId="7" priority="240">
      <formula>AND($G4="VALE3", VALUE(SUBSTITUTE($C14,"%","")) &lt; VALUE(SUBSTITUTE($E15,"%","")))</formula>
    </cfRule>
  </conditionalFormatting>
  <conditionalFormatting sqref="F4 F6">
    <cfRule type="expression" dxfId="7" priority="241">
      <formula>AND($G4="TAEE11", VALUE(SUBSTITUTE($C14,"%","")) &lt; VALUE(SUBSTITUTE($E15,"%","")))</formula>
    </cfRule>
  </conditionalFormatting>
  <conditionalFormatting sqref="F4 F6">
    <cfRule type="expression" dxfId="7" priority="242">
      <formula>AND($G4="PETR4", VALUE(SUBSTITUTE($C14,"%","")) &lt; VALUE(SUBSTITUTE($E15,"%","")))</formula>
    </cfRule>
  </conditionalFormatting>
  <conditionalFormatting sqref="F4 F6">
    <cfRule type="expression" dxfId="7" priority="243">
      <formula>AND($G4="BBDC3", VALUE(SUBSTITUTE($C14,"%","")) &lt; VALUE(SUBSTITUTE($E15,"%","")))</formula>
    </cfRule>
  </conditionalFormatting>
  <conditionalFormatting sqref="F4 F6">
    <cfRule type="expression" dxfId="7" priority="244">
      <formula>AND($G4="CMIG3", VALUE(SUBSTITUTE($C14,"%","")) &lt; VALUE(SUBSTITUTE($E15,"%","")))</formula>
    </cfRule>
  </conditionalFormatting>
  <conditionalFormatting sqref="F4 F6">
    <cfRule type="expression" dxfId="7" priority="245">
      <formula>AND($G4="BRBI11", VALUE(SUBSTITUTE($C14,"%","")) &lt; VALUE(SUBSTITUTE($E15,"%","")))</formula>
    </cfRule>
  </conditionalFormatting>
  <conditionalFormatting sqref="F4 F6">
    <cfRule type="expression" dxfId="7" priority="246">
      <formula>AND($G4="ITUB3", VALUE(SUBSTITUTE($C14,"%","")) &lt; VALUE(SUBSTITUTE($E15,"%","")))</formula>
    </cfRule>
  </conditionalFormatting>
  <conditionalFormatting sqref="F4 F6">
    <cfRule type="expression" dxfId="7" priority="247">
      <formula>AND($G4="CMIG4", VALUE(SUBSTITUTE($C14,"%","")) &lt; VALUE(SUBSTITUTE($E15,"%","")))</formula>
    </cfRule>
  </conditionalFormatting>
  <conditionalFormatting sqref="F3">
    <cfRule type="expression" dxfId="5" priority="248">
      <formula>AND($G3="BBAS3", VALUE(SUBSTITUTE($C13,"%","")) &gt; VALUE(SUBSTITUTE($E14,"%",""))*2)</formula>
    </cfRule>
  </conditionalFormatting>
  <conditionalFormatting sqref="F3">
    <cfRule type="expression" dxfId="5" priority="249">
      <formula>AND($G3="CMIG3", VALUE(SUBSTITUTE($C13,"%","")) &gt; VALUE(SUBSTITUTE($E14,"%",""))*2)</formula>
    </cfRule>
  </conditionalFormatting>
  <conditionalFormatting sqref="F3">
    <cfRule type="expression" dxfId="5" priority="250">
      <formula>AND($G3="BBSE3", VALUE(SUBSTITUTE($C13,"%","")) &gt; VALUE(SUBSTITUTE($E14,"%",""))*2)</formula>
    </cfRule>
  </conditionalFormatting>
  <conditionalFormatting sqref="F3">
    <cfRule type="expression" dxfId="5" priority="251">
      <formula>AND($G3="BRBI11", VALUE(SUBSTITUTE($C13,"%","")) &gt; VALUE(SUBSTITUTE($E14,"%",""))*2)</formula>
    </cfRule>
  </conditionalFormatting>
  <conditionalFormatting sqref="F3">
    <cfRule type="expression" dxfId="5" priority="252">
      <formula>AND($G3="PETR4", VALUE(SUBSTITUTE($C13,"%","")) &gt; VALUE(SUBSTITUTE($E14,"%",""))*2)</formula>
    </cfRule>
  </conditionalFormatting>
  <conditionalFormatting sqref="F3">
    <cfRule type="expression" dxfId="5" priority="253">
      <formula>AND($G3="CMIG4", VALUE(SUBSTITUTE($C13,"%","")) &gt; VALUE(SUBSTITUTE($E14,"%",""))*2)</formula>
    </cfRule>
  </conditionalFormatting>
  <conditionalFormatting sqref="F3">
    <cfRule type="expression" dxfId="5" priority="254">
      <formula>AND($G3="BBDC3", VALUE(SUBSTITUTE($C13,"%","")) &gt; VALUE(SUBSTITUTE($E14,"%",""))*2)</formula>
    </cfRule>
  </conditionalFormatting>
  <conditionalFormatting sqref="F3">
    <cfRule type="expression" dxfId="5" priority="255">
      <formula>AND($G3="TAEE11", VALUE(SUBSTITUTE($C13,"%","")) &gt; VALUE(SUBSTITUTE($E14,"%",""))*2)</formula>
    </cfRule>
  </conditionalFormatting>
  <conditionalFormatting sqref="F3">
    <cfRule type="expression" dxfId="5" priority="256">
      <formula>AND($G3="VALE3", VALUE(SUBSTITUTE($C13,"%","")) &gt; VALUE(SUBSTITUTE($E14,"%",""))*2)</formula>
    </cfRule>
  </conditionalFormatting>
  <conditionalFormatting sqref="F3">
    <cfRule type="expression" dxfId="5" priority="257">
      <formula>AND($G3="ITUB3", VALUE(SUBSTITUTE($C13,"%","")) &gt; VALUE(SUBSTITUTE($E14,"%",""))*2)</formula>
    </cfRule>
  </conditionalFormatting>
  <conditionalFormatting sqref="F3">
    <cfRule type="expression" dxfId="6" priority="258">
      <formula>AND($G3="BBAS3", VALUE(SUBSTITUTE($C13,"%","")) &gt; VALUE(SUBSTITUTE($E14,"%","")))</formula>
    </cfRule>
  </conditionalFormatting>
  <conditionalFormatting sqref="F3">
    <cfRule type="expression" dxfId="6" priority="259">
      <formula>AND($G3="BBSE3", VALUE(SUBSTITUTE($C13,"%","")) &gt; VALUE(SUBSTITUTE($E14,"%","")))</formula>
    </cfRule>
  </conditionalFormatting>
  <conditionalFormatting sqref="F3">
    <cfRule type="expression" dxfId="6" priority="260">
      <formula>AND($G3="PETR4", VALUE(SUBSTITUTE($C13,"%","")) &gt; VALUE(SUBSTITUTE($E14,"%","")))</formula>
    </cfRule>
  </conditionalFormatting>
  <conditionalFormatting sqref="F3">
    <cfRule type="expression" dxfId="6" priority="261">
      <formula>AND($G3="ITUB3", VALUE(SUBSTITUTE($C13,"%","")) &gt; VALUE(SUBSTITUTE($E14,"%","")))</formula>
    </cfRule>
  </conditionalFormatting>
  <conditionalFormatting sqref="F3">
    <cfRule type="expression" dxfId="6" priority="262">
      <formula>AND($G3="VALE3", VALUE(SUBSTITUTE($C13,"%","")) &gt; VALUE(SUBSTITUTE($E14,"%","")))</formula>
    </cfRule>
  </conditionalFormatting>
  <conditionalFormatting sqref="F3">
    <cfRule type="expression" dxfId="6" priority="263">
      <formula>AND($G3="CMIG3", VALUE(SUBSTITUTE($C13,"%","")) &gt; VALUE(SUBSTITUTE($E14,"%","")))</formula>
    </cfRule>
  </conditionalFormatting>
  <conditionalFormatting sqref="F3">
    <cfRule type="expression" dxfId="6" priority="264">
      <formula>AND($G3="BRBI11", VALUE(SUBSTITUTE($C13,"%","")) &gt; VALUE(SUBSTITUTE($E14,"%","")))</formula>
    </cfRule>
  </conditionalFormatting>
  <conditionalFormatting sqref="F3">
    <cfRule type="expression" dxfId="6" priority="265">
      <formula>AND($G3="TAEE11", VALUE(SUBSTITUTE($C13,"%","")) &gt; VALUE(SUBSTITUTE($E14,"%","")))</formula>
    </cfRule>
  </conditionalFormatting>
  <conditionalFormatting sqref="F3">
    <cfRule type="expression" dxfId="6" priority="266">
      <formula>AND($G3="BBDC3", VALUE(SUBSTITUTE($C13,"%","")) &gt; VALUE(SUBSTITUTE($E14,"%","")))</formula>
    </cfRule>
  </conditionalFormatting>
  <conditionalFormatting sqref="F3">
    <cfRule type="expression" dxfId="6" priority="267">
      <formula>AND($G3="CMIG4", VALUE(SUBSTITUTE($C13,"%","")) &gt; VALUE(SUBSTITUTE($E14,"%","")))</formula>
    </cfRule>
  </conditionalFormatting>
  <conditionalFormatting sqref="F3">
    <cfRule type="expression" dxfId="7" priority="268">
      <formula>AND($G3="BBAS3", VALUE(SUBSTITUTE($C13,"%","")) &lt; VALUE(SUBSTITUTE($E14,"%","")))</formula>
    </cfRule>
  </conditionalFormatting>
  <conditionalFormatting sqref="F3">
    <cfRule type="expression" dxfId="7" priority="269">
      <formula>AND($G3="BBSE3", VALUE(SUBSTITUTE($C13,"%","")) &lt; VALUE(SUBSTITUTE($E14,"%","")))</formula>
    </cfRule>
  </conditionalFormatting>
  <conditionalFormatting sqref="F3">
    <cfRule type="expression" dxfId="7" priority="270">
      <formula>AND($G3="VALE3", VALUE(SUBSTITUTE($C13,"%","")) &lt; VALUE(SUBSTITUTE($E14,"%","")))</formula>
    </cfRule>
  </conditionalFormatting>
  <conditionalFormatting sqref="F3">
    <cfRule type="expression" dxfId="7" priority="271">
      <formula>AND($G3="TAEE11", VALUE(SUBSTITUTE($C13,"%","")) &lt; VALUE(SUBSTITUTE($E14,"%","")))</formula>
    </cfRule>
  </conditionalFormatting>
  <conditionalFormatting sqref="F3">
    <cfRule type="expression" dxfId="7" priority="272">
      <formula>AND($G3="PETR4", VALUE(SUBSTITUTE($C13,"%","")) &lt; VALUE(SUBSTITUTE($E14,"%","")))</formula>
    </cfRule>
  </conditionalFormatting>
  <conditionalFormatting sqref="F3">
    <cfRule type="expression" dxfId="7" priority="273">
      <formula>AND($G3="BBDC3", VALUE(SUBSTITUTE($C13,"%","")) &lt; VALUE(SUBSTITUTE($E14,"%","")))</formula>
    </cfRule>
  </conditionalFormatting>
  <conditionalFormatting sqref="F3">
    <cfRule type="expression" dxfId="7" priority="274">
      <formula>AND($G3="CMIG3", VALUE(SUBSTITUTE($C13,"%","")) &lt; VALUE(SUBSTITUTE($E14,"%","")))</formula>
    </cfRule>
  </conditionalFormatting>
  <conditionalFormatting sqref="F3">
    <cfRule type="expression" dxfId="7" priority="275">
      <formula>AND($G3="BRBI11", VALUE(SUBSTITUTE($C13,"%","")) &lt; VALUE(SUBSTITUTE($E14,"%","")))</formula>
    </cfRule>
  </conditionalFormatting>
  <conditionalFormatting sqref="F3">
    <cfRule type="expression" dxfId="7" priority="276">
      <formula>AND($G3="ITUB3", VALUE(SUBSTITUTE($C13,"%","")) &lt; VALUE(SUBSTITUTE($E14,"%","")))</formula>
    </cfRule>
  </conditionalFormatting>
  <conditionalFormatting sqref="F3">
    <cfRule type="expression" dxfId="7" priority="277">
      <formula>AND($G3="CMIG4", VALUE(SUBSTITUTE($C13,"%","")) &lt; VALUE(SUBSTITUTE($E14,"%","")))</formula>
    </cfRule>
  </conditionalFormatting>
  <conditionalFormatting sqref="A4:A15 J4:J17 T4:T16 A18:A23 A31:A43 A45">
    <cfRule type="expression" dxfId="5" priority="278">
      <formula>AND($B4="BBAS3", VALUE(SUBSTITUTE($C4,"%","")) &gt; VALUE(SUBSTITUTE($E4,"%",""))*2)</formula>
    </cfRule>
  </conditionalFormatting>
  <conditionalFormatting sqref="A4:A15 J4:J17 T4:T16 A18:A23 A31:A43 A45">
    <cfRule type="expression" dxfId="5" priority="279">
      <formula>AND($B4="CMIG3", VALUE(SUBSTITUTE($C4,"%","")) &gt; VALUE(SUBSTITUTE($E4,"%",""))*2)</formula>
    </cfRule>
  </conditionalFormatting>
  <conditionalFormatting sqref="A4:A15 J4:J17 T4:T16 A18:A23 A31:A43 A45">
    <cfRule type="expression" dxfId="5" priority="280">
      <formula>AND($B4="BBSE3", VALUE(SUBSTITUTE($C4,"%","")) &gt; VALUE(SUBSTITUTE($E4,"%",""))*2)</formula>
    </cfRule>
  </conditionalFormatting>
  <conditionalFormatting sqref="A4:A15 J4:J17 T4:T16 A18:A23 A31:A43 A45">
    <cfRule type="expression" dxfId="5" priority="281">
      <formula>AND($B4="BRBI11", VALUE(SUBSTITUTE($C4,"%","")) &gt; VALUE(SUBSTITUTE($E4,"%",""))*2)</formula>
    </cfRule>
  </conditionalFormatting>
  <conditionalFormatting sqref="A4:A15 J4:J17 T4:T16 A18:A23 A31:A43 A45">
    <cfRule type="expression" dxfId="5" priority="282">
      <formula>AND($B4="PETR4", VALUE(SUBSTITUTE($C4,"%","")) &gt; VALUE(SUBSTITUTE($E4,"%",""))*2)</formula>
    </cfRule>
  </conditionalFormatting>
  <conditionalFormatting sqref="A4:A15 J4:J17 T4:T16 A18:A23 A31:A43 A45">
    <cfRule type="expression" dxfId="5" priority="283">
      <formula>AND($B4="CMIG4", VALUE(SUBSTITUTE($C4,"%","")) &gt; VALUE(SUBSTITUTE($E4,"%",""))*2)</formula>
    </cfRule>
  </conditionalFormatting>
  <conditionalFormatting sqref="A4:A15 J4:J17 T4:T16 A18:A23 A31:A43 A45">
    <cfRule type="expression" dxfId="5" priority="284">
      <formula>AND($B4="BBDC3", VALUE(SUBSTITUTE($C4,"%","")) &gt; VALUE(SUBSTITUTE($E4,"%",""))*2)</formula>
    </cfRule>
  </conditionalFormatting>
  <conditionalFormatting sqref="A4:A15 J4:J17 T4:T16 A18:A23 A31:A43 A45">
    <cfRule type="expression" dxfId="5" priority="285">
      <formula>AND($B4="TAEE11", VALUE(SUBSTITUTE($C4,"%","")) &gt; VALUE(SUBSTITUTE($E4,"%",""))*2)</formula>
    </cfRule>
  </conditionalFormatting>
  <conditionalFormatting sqref="A4:A15 J4:J17 T4:T16 A18:A23 A31:A43 A45">
    <cfRule type="expression" dxfId="5" priority="286">
      <formula>AND($B4="VALE3", VALUE(SUBSTITUTE($C4,"%","")) &gt; VALUE(SUBSTITUTE($E4,"%",""))*2)</formula>
    </cfRule>
  </conditionalFormatting>
  <conditionalFormatting sqref="A4:A15 J4:J17 T4:T16 A18:A23 A31:A43 A45">
    <cfRule type="expression" dxfId="5" priority="287">
      <formula>AND($B4="ITUB3", VALUE(SUBSTITUTE($C4,"%","")) &gt; VALUE(SUBSTITUTE($E4,"%",""))*2)</formula>
    </cfRule>
  </conditionalFormatting>
  <conditionalFormatting sqref="A4:A15 J4:J17 T4:T16 A18:A23 A31:A43 A45">
    <cfRule type="expression" dxfId="6" priority="288">
      <formula>AND($B4="BBAS3", VALUE(SUBSTITUTE($C4,"%","")) &gt; VALUE(SUBSTITUTE($E4,"%","")))</formula>
    </cfRule>
  </conditionalFormatting>
  <conditionalFormatting sqref="A4:A15 J4:J17 T4:T16 A18:A23 A31:A43 A45">
    <cfRule type="expression" dxfId="6" priority="289">
      <formula>AND($B4="BBSE3", VALUE(SUBSTITUTE($C4,"%","")) &gt; VALUE(SUBSTITUTE($E4,"%","")))</formula>
    </cfRule>
  </conditionalFormatting>
  <conditionalFormatting sqref="A4:A15 J4:J17 T4:T16 A18:A23 A31:A43 A45">
    <cfRule type="expression" dxfId="6" priority="290">
      <formula>AND($B4="PETR4", VALUE(SUBSTITUTE($C4,"%","")) &gt; VALUE(SUBSTITUTE($E4,"%","")))</formula>
    </cfRule>
  </conditionalFormatting>
  <conditionalFormatting sqref="A4:A15 J4:J17 T4:T16 A18:A23 A31:A43 A45">
    <cfRule type="expression" dxfId="6" priority="291">
      <formula>AND($B4="ITUB3", VALUE(SUBSTITUTE($C4,"%","")) &gt; VALUE(SUBSTITUTE($E4,"%","")))</formula>
    </cfRule>
  </conditionalFormatting>
  <conditionalFormatting sqref="A4:A15 J4:J17 T4:T16 A18:A23 A31:A43 A45">
    <cfRule type="expression" dxfId="6" priority="292">
      <formula>AND($B4="VALE3", VALUE(SUBSTITUTE($C4,"%","")) &gt; VALUE(SUBSTITUTE($E4,"%","")))</formula>
    </cfRule>
  </conditionalFormatting>
  <conditionalFormatting sqref="A4:A15 J4:J17 T4:T16 A18:A23 A31:A43 A45">
    <cfRule type="expression" dxfId="6" priority="293">
      <formula>AND($B4="CMIG3", VALUE(SUBSTITUTE($C4,"%","")) &gt; VALUE(SUBSTITUTE($E4,"%","")))</formula>
    </cfRule>
  </conditionalFormatting>
  <conditionalFormatting sqref="A4:A15 J4:J17 T4:T16 A18:A23 A31:A43 A45">
    <cfRule type="expression" dxfId="6" priority="294">
      <formula>AND($B4="BRBI11", VALUE(SUBSTITUTE($C4,"%","")) &gt; VALUE(SUBSTITUTE($E4,"%","")))</formula>
    </cfRule>
  </conditionalFormatting>
  <conditionalFormatting sqref="A4:A15 J4:J17 T4:T16 A18:A23 A31:A43 A45">
    <cfRule type="expression" dxfId="6" priority="295">
      <formula>AND($B4="TAEE11", VALUE(SUBSTITUTE($C4,"%","")) &gt; VALUE(SUBSTITUTE($E4,"%","")))</formula>
    </cfRule>
  </conditionalFormatting>
  <conditionalFormatting sqref="A4:A15 J4:J17 T4:T16 A18:A23 A31:A43 A45">
    <cfRule type="expression" dxfId="6" priority="296">
      <formula>AND($B4="BBDC3", VALUE(SUBSTITUTE($C4,"%","")) &gt; VALUE(SUBSTITUTE($E4,"%","")))</formula>
    </cfRule>
  </conditionalFormatting>
  <conditionalFormatting sqref="A4:A15 J4:J17 T4:T16 A18:A23 A31:A43 A45">
    <cfRule type="expression" dxfId="6" priority="297">
      <formula>AND($B4="CMIG4", VALUE(SUBSTITUTE($C4,"%","")) &gt; VALUE(SUBSTITUTE($E4,"%","")))</formula>
    </cfRule>
  </conditionalFormatting>
  <conditionalFormatting sqref="A4:A15 J4:J17 T4:T16 A18:A23 A31:A43 A45">
    <cfRule type="expression" dxfId="7" priority="298">
      <formula>AND($B4="BBAS3", VALUE(SUBSTITUTE($C4,"%","")) &lt; VALUE(SUBSTITUTE($E4,"%","")))</formula>
    </cfRule>
  </conditionalFormatting>
  <conditionalFormatting sqref="A4:A15 J4:J17 T4:T16 A18:A23 A31:A43 A45">
    <cfRule type="expression" dxfId="7" priority="299">
      <formula>AND($B4="BBSE3", VALUE(SUBSTITUTE($C4,"%","")) &lt; VALUE(SUBSTITUTE($E4,"%","")))</formula>
    </cfRule>
  </conditionalFormatting>
  <conditionalFormatting sqref="A4:A15 J4:J17 T4:T16 A18:A23 A31:A43 A45">
    <cfRule type="expression" dxfId="7" priority="300">
      <formula>AND($B4="VALE3", VALUE(SUBSTITUTE($C4,"%","")) &lt; VALUE(SUBSTITUTE($E4,"%","")))</formula>
    </cfRule>
  </conditionalFormatting>
  <conditionalFormatting sqref="A4:A15 J4:J17 T4:T16 A18:A23 A31:A43 A45">
    <cfRule type="expression" dxfId="7" priority="301">
      <formula>AND($B4="TAEE11", VALUE(SUBSTITUTE($C4,"%","")) &lt; VALUE(SUBSTITUTE($E4,"%","")))</formula>
    </cfRule>
  </conditionalFormatting>
  <conditionalFormatting sqref="A4:A15 J4:J17 T4:T16 A18:A23 A31:A43 A45">
    <cfRule type="expression" dxfId="7" priority="302">
      <formula>AND($B4="PETR4", VALUE(SUBSTITUTE($C4,"%","")) &lt; VALUE(SUBSTITUTE($E4,"%","")))</formula>
    </cfRule>
  </conditionalFormatting>
  <conditionalFormatting sqref="A4:A15 J4:J17 T4:T16 A18:A23 A31:A43 A45">
    <cfRule type="expression" dxfId="7" priority="303">
      <formula>AND($B4="BBDC3", VALUE(SUBSTITUTE($C4,"%","")) &lt; VALUE(SUBSTITUTE($E4,"%","")))</formula>
    </cfRule>
  </conditionalFormatting>
  <conditionalFormatting sqref="A4:A15 J4:J17 T4:T16 A18:A23 A31:A43 A45">
    <cfRule type="expression" dxfId="7" priority="304">
      <formula>AND($B4="CMIG3", VALUE(SUBSTITUTE($C4,"%","")) &lt; VALUE(SUBSTITUTE($E4,"%","")))</formula>
    </cfRule>
  </conditionalFormatting>
  <conditionalFormatting sqref="A4:A15 J4:J17 T4:T16 A18:A23 A31:A43 A45">
    <cfRule type="expression" dxfId="7" priority="305">
      <formula>AND($B4="BRBI11", VALUE(SUBSTITUTE($C4,"%","")) &lt; VALUE(SUBSTITUTE($E4,"%","")))</formula>
    </cfRule>
  </conditionalFormatting>
  <conditionalFormatting sqref="A4:A15 J4:J17 T4:T16 A18:A23 A31:A43 A45">
    <cfRule type="expression" dxfId="7" priority="306">
      <formula>AND($B4="ITUB3", VALUE(SUBSTITUTE($C4,"%","")) &lt; VALUE(SUBSTITUTE($E4,"%","")))</formula>
    </cfRule>
  </conditionalFormatting>
  <conditionalFormatting sqref="A4:A15 J4:J17 T4:T16 A18:A23 A31:A43 A45">
    <cfRule type="expression" dxfId="7" priority="307">
      <formula>AND($B4="CMIG4", VALUE(SUBSTITUTE($C4,"%","")) &lt; VALUE(SUBSTITUTE($E4,"%","")))</formula>
    </cfRule>
  </conditionalFormatting>
  <dataValidations>
    <dataValidation type="list" allowBlank="1" sqref="B61:B73">
      <formula1>"Logística,Lajes Corporativas,Shoppings,Terras Agrícolas,CRI,FIAgro,Desenvolvimento,Educação,FoF,Hotel,Renda Urbana,Hedge,Renda Urb/Log,Lajes/Log"</formula1>
    </dataValidation>
    <dataValidation type="custom" allowBlank="1" showDropDown="1" sqref="Z4:AA8 G4:H9 P4:Q9 C4:D15 L4:M15 V4:W15 G30:H42 C31:D56 D61:D73">
      <formula1>AND(ISNUMBER(C4),(NOT(OR(NOT(ISERROR(DATEVALUE(C4))), AND(ISNUMBER(C4), LEFT(CELL("format", C4))="D")))))</formula1>
    </dataValidation>
    <dataValidation type="list" allowBlank="1" sqref="C61:C73">
      <formula1>"Ancoragem,Oportunidade,Risco"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9">
        <v>45658.0</v>
      </c>
    </row>
    <row r="2">
      <c r="A2" s="119">
        <v>45719.0</v>
      </c>
    </row>
    <row r="3">
      <c r="A3" s="119">
        <v>45720.0</v>
      </c>
    </row>
    <row r="4">
      <c r="A4" s="119">
        <v>45765.0</v>
      </c>
    </row>
    <row r="5">
      <c r="A5" s="119">
        <v>45767.0</v>
      </c>
    </row>
    <row r="6">
      <c r="A6" s="119">
        <v>45768.0</v>
      </c>
    </row>
    <row r="7">
      <c r="A7" s="119">
        <v>45778.0</v>
      </c>
    </row>
    <row r="8">
      <c r="A8" s="119">
        <v>45827.0</v>
      </c>
    </row>
    <row r="9">
      <c r="A9" s="119">
        <v>45907.0</v>
      </c>
    </row>
    <row r="10">
      <c r="A10" s="119">
        <v>45942.0</v>
      </c>
    </row>
    <row r="11">
      <c r="A11" s="119">
        <v>45963.0</v>
      </c>
    </row>
    <row r="12">
      <c r="A12" s="119">
        <v>45976.0</v>
      </c>
    </row>
    <row r="13">
      <c r="A13" s="119">
        <v>45981.0</v>
      </c>
    </row>
    <row r="14">
      <c r="A14" s="119">
        <v>46016.0</v>
      </c>
    </row>
    <row r="15">
      <c r="A15" s="119">
        <v>46023.0</v>
      </c>
    </row>
    <row r="16">
      <c r="A16" s="119">
        <v>46069.0</v>
      </c>
    </row>
    <row r="17">
      <c r="A17" s="119">
        <v>46070.0</v>
      </c>
    </row>
    <row r="18">
      <c r="A18" s="119">
        <v>46115.0</v>
      </c>
    </row>
    <row r="19">
      <c r="A19" s="119">
        <v>46117.0</v>
      </c>
    </row>
    <row r="20">
      <c r="A20" s="119">
        <v>46133.0</v>
      </c>
    </row>
    <row r="21">
      <c r="A21" s="119">
        <v>46143.0</v>
      </c>
    </row>
    <row r="22">
      <c r="A22" s="119">
        <v>46177.0</v>
      </c>
    </row>
    <row r="23">
      <c r="A23" s="119">
        <v>46272.0</v>
      </c>
    </row>
    <row r="24">
      <c r="A24" s="119">
        <v>46307.0</v>
      </c>
    </row>
    <row r="25">
      <c r="A25" s="119">
        <v>46328.0</v>
      </c>
    </row>
    <row r="26">
      <c r="A26" s="119">
        <v>46341.0</v>
      </c>
    </row>
    <row r="27">
      <c r="A27" s="119">
        <v>46346.0</v>
      </c>
    </row>
    <row r="28">
      <c r="A28" s="119">
        <v>46381.0</v>
      </c>
    </row>
    <row r="29">
      <c r="A29" s="119">
        <v>46388.0</v>
      </c>
    </row>
    <row r="30">
      <c r="A30" s="119">
        <v>46426.0</v>
      </c>
    </row>
    <row r="31">
      <c r="A31" s="119">
        <v>46427.0</v>
      </c>
    </row>
    <row r="32">
      <c r="A32" s="119">
        <v>46472.0</v>
      </c>
    </row>
    <row r="33">
      <c r="A33" s="119">
        <v>46474.0</v>
      </c>
    </row>
    <row r="34">
      <c r="A34" s="119">
        <v>46498.0</v>
      </c>
    </row>
    <row r="35">
      <c r="A35" s="119">
        <v>46508.0</v>
      </c>
    </row>
    <row r="36">
      <c r="A36" s="119">
        <v>46534.0</v>
      </c>
    </row>
    <row r="37">
      <c r="A37" s="119">
        <v>46637.0</v>
      </c>
    </row>
    <row r="38">
      <c r="A38" s="119">
        <v>46672.0</v>
      </c>
    </row>
    <row r="39">
      <c r="A39" s="119">
        <v>46693.0</v>
      </c>
    </row>
    <row r="40">
      <c r="A40" s="119">
        <v>46706.0</v>
      </c>
    </row>
    <row r="41">
      <c r="A41" s="119">
        <v>46711.0</v>
      </c>
    </row>
    <row r="42">
      <c r="A42" s="119">
        <v>46746.0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17.13"/>
  </cols>
  <sheetData>
    <row r="1">
      <c r="A1" s="7" t="s">
        <v>172</v>
      </c>
      <c r="B1" s="7" t="s">
        <v>174</v>
      </c>
      <c r="C1" s="7" t="s">
        <v>175</v>
      </c>
    </row>
    <row r="2">
      <c r="C2" s="127"/>
    </row>
    <row r="3">
      <c r="C3" s="127"/>
    </row>
    <row r="4">
      <c r="A4" s="7" t="s">
        <v>176</v>
      </c>
      <c r="B4" s="7" t="s">
        <v>177</v>
      </c>
      <c r="C4" s="127">
        <v>46268.44259200231</v>
      </c>
    </row>
    <row r="5">
      <c r="A5" s="7" t="s">
        <v>178</v>
      </c>
      <c r="B5" s="7" t="s">
        <v>177</v>
      </c>
      <c r="C5" s="127">
        <v>46275.455661597225</v>
      </c>
    </row>
    <row r="6">
      <c r="A6" s="7" t="s">
        <v>179</v>
      </c>
      <c r="B6" s="7" t="s">
        <v>177</v>
      </c>
      <c r="C6" s="127">
        <v>46267.88189844908</v>
      </c>
    </row>
    <row r="7">
      <c r="A7" s="5"/>
      <c r="B7" s="5"/>
      <c r="C7" s="128"/>
    </row>
    <row r="8">
      <c r="A8" s="5"/>
      <c r="B8" s="5"/>
      <c r="C8" s="128"/>
    </row>
    <row r="9">
      <c r="A9" s="5"/>
      <c r="B9" s="5"/>
      <c r="C9" s="128"/>
    </row>
    <row r="10">
      <c r="A10" s="5"/>
      <c r="B10" s="5"/>
      <c r="C10" s="128"/>
    </row>
    <row r="11">
      <c r="A11" s="5"/>
      <c r="B11" s="5"/>
      <c r="C11" s="128"/>
    </row>
    <row r="12">
      <c r="A12" s="5"/>
      <c r="B12" s="5"/>
      <c r="C12" s="128"/>
    </row>
    <row r="13">
      <c r="A13" s="5"/>
      <c r="B13" s="5"/>
      <c r="C13" s="128"/>
    </row>
    <row r="14">
      <c r="A14" s="5"/>
      <c r="B14" s="5"/>
      <c r="C14" s="128"/>
    </row>
    <row r="15">
      <c r="A15" s="5"/>
      <c r="B15" s="5"/>
      <c r="C15" s="128"/>
    </row>
    <row r="20">
      <c r="A20" s="5"/>
      <c r="B20" s="129"/>
      <c r="C20" s="128"/>
    </row>
    <row r="21">
      <c r="A21" s="5"/>
      <c r="B21" s="129"/>
      <c r="C21" s="128"/>
    </row>
    <row r="22">
      <c r="A22" s="5"/>
      <c r="B22" s="5"/>
      <c r="C22" s="128"/>
    </row>
    <row r="23">
      <c r="A23" s="5"/>
      <c r="B23" s="5"/>
      <c r="C23" s="128"/>
    </row>
    <row r="24">
      <c r="A24" s="5"/>
      <c r="B24" s="5"/>
      <c r="C24" s="128"/>
    </row>
    <row r="25">
      <c r="A25" s="5"/>
      <c r="B25" s="5"/>
      <c r="C25" s="128"/>
    </row>
    <row r="26">
      <c r="A26" s="5"/>
      <c r="B26" s="5"/>
      <c r="C26" s="128"/>
    </row>
    <row r="27">
      <c r="A27" s="5"/>
      <c r="B27" s="5"/>
      <c r="C27" s="128"/>
    </row>
    <row r="28">
      <c r="A28" s="5"/>
      <c r="B28" s="5"/>
      <c r="C28" s="128"/>
    </row>
    <row r="29">
      <c r="A29" s="5"/>
      <c r="B29" s="5"/>
      <c r="C29" s="128"/>
    </row>
  </sheetData>
  <drawing r:id="rId1"/>
</worksheet>
</file>