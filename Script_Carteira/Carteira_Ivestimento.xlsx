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5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63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60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" sheetId="1" r:id="rId5"/>
    <sheet state="visible" name="Eficiencia" sheetId="2" r:id="rId6"/>
    <sheet state="visible" name="Decio_Bazin" sheetId="3" r:id="rId7"/>
    <sheet state="visible" name="Indicadores" sheetId="4" r:id="rId8"/>
    <sheet state="visible" name="Aporte" sheetId="5" r:id="rId9"/>
    <sheet state="visible" name="grafico" sheetId="6" r:id="rId10"/>
    <sheet state="visible" name="FERIADOS" sheetId="7" r:id="rId11"/>
    <sheet state="visible" name="Status_Script" sheetId="8" r:id="rId12"/>
  </sheets>
  <definedNames/>
  <calcPr/>
</workbook>
</file>

<file path=xl/sharedStrings.xml><?xml version="1.0" encoding="utf-8"?>
<sst xmlns="http://schemas.openxmlformats.org/spreadsheetml/2006/main" count="1045" uniqueCount="261">
  <si>
    <t>Título</t>
  </si>
  <si>
    <t>Taxa de Compra</t>
  </si>
  <si>
    <t>Perfomance</t>
  </si>
  <si>
    <t>Preço_Uni</t>
  </si>
  <si>
    <t>Taxa de Resgate</t>
  </si>
  <si>
    <t>Preço Unitário de Resgate</t>
  </si>
  <si>
    <t>Data/Hora da Atualização</t>
  </si>
  <si>
    <t>Y Mensal Consolidado</t>
  </si>
  <si>
    <t>YMC_Media</t>
  </si>
  <si>
    <t>Data do Vencimento</t>
  </si>
  <si>
    <t>Ação</t>
  </si>
  <si>
    <t>Media_DPA_3Anos</t>
  </si>
  <si>
    <t>Y_Anual_FIIs</t>
  </si>
  <si>
    <t>Renda</t>
  </si>
  <si>
    <t>Anos_Media</t>
  </si>
  <si>
    <t>valor</t>
  </si>
  <si>
    <t>Y Mensal FIIs</t>
  </si>
  <si>
    <t>Fii</t>
  </si>
  <si>
    <t>YMF_Media</t>
  </si>
  <si>
    <t>% Ganho Capital</t>
  </si>
  <si>
    <t>Tesouro IPCA+ 2029</t>
  </si>
  <si>
    <t>Ano</t>
  </si>
  <si>
    <t>LPC</t>
  </si>
  <si>
    <t>BBSE3</t>
  </si>
  <si>
    <t>Selic</t>
  </si>
  <si>
    <t>Tesouro IPCA+ 2032</t>
  </si>
  <si>
    <t>KNRI11</t>
  </si>
  <si>
    <t>Ano_1</t>
  </si>
  <si>
    <t>IPCA</t>
  </si>
  <si>
    <t>Tesouro IPCA+ 2040</t>
  </si>
  <si>
    <t>BBAS3</t>
  </si>
  <si>
    <t>PMLL11</t>
  </si>
  <si>
    <t>Juros_Real</t>
  </si>
  <si>
    <t>Ano_2</t>
  </si>
  <si>
    <t>ITUB3</t>
  </si>
  <si>
    <t>Tesouro Renda+ Aposentadoria Extra 2065</t>
  </si>
  <si>
    <t>XPLG11</t>
  </si>
  <si>
    <t>Ano_3</t>
  </si>
  <si>
    <t>Tesouro Selic 2031</t>
  </si>
  <si>
    <t>BRBI11</t>
  </si>
  <si>
    <t>BTLG11</t>
  </si>
  <si>
    <t>Total</t>
  </si>
  <si>
    <t>Total Proventos</t>
  </si>
  <si>
    <t>FIIs_Provento</t>
  </si>
  <si>
    <t>Valor Aplicado</t>
  </si>
  <si>
    <t>Valor Bruto</t>
  </si>
  <si>
    <t>Ganho Capital</t>
  </si>
  <si>
    <t>TAEE11</t>
  </si>
  <si>
    <t>HGBS11</t>
  </si>
  <si>
    <t>CMIG4</t>
  </si>
  <si>
    <t>GGRC11</t>
  </si>
  <si>
    <t>Proventos pagos</t>
  </si>
  <si>
    <t>ISAE4</t>
  </si>
  <si>
    <t>PORD11</t>
  </si>
  <si>
    <t>VALE3</t>
  </si>
  <si>
    <t>BRCO11</t>
  </si>
  <si>
    <t>PETR4</t>
  </si>
  <si>
    <t>GARE11</t>
  </si>
  <si>
    <t>SAPR4</t>
  </si>
  <si>
    <t>MXRF11</t>
  </si>
  <si>
    <t>WEGE3</t>
  </si>
  <si>
    <t>HGLG11</t>
  </si>
  <si>
    <t>ITSA4</t>
  </si>
  <si>
    <t>HGRU11</t>
  </si>
  <si>
    <t>PCIP11</t>
  </si>
  <si>
    <t>Tipo</t>
  </si>
  <si>
    <t>Bruto</t>
  </si>
  <si>
    <t>Liquido</t>
  </si>
  <si>
    <t>JCP</t>
  </si>
  <si>
    <t>Ticker</t>
  </si>
  <si>
    <t>QTD</t>
  </si>
  <si>
    <t>Valor</t>
  </si>
  <si>
    <t>Está barato?</t>
  </si>
  <si>
    <t>% atual</t>
  </si>
  <si>
    <t>% ideal</t>
  </si>
  <si>
    <t>Diferença</t>
  </si>
  <si>
    <t>Nota</t>
  </si>
  <si>
    <t>Peso do aporte</t>
  </si>
  <si>
    <t>R$ Aportar</t>
  </si>
  <si>
    <t>QTD_Compra</t>
  </si>
  <si>
    <t>Valor_Total</t>
  </si>
  <si>
    <t>% Somada</t>
  </si>
  <si>
    <t>Dividendos</t>
  </si>
  <si>
    <t xml:space="preserve">Rentabilidade Mensal da Carteira FIIs:  </t>
  </si>
  <si>
    <t>Feito</t>
  </si>
  <si>
    <t>Atual</t>
  </si>
  <si>
    <t>Não</t>
  </si>
  <si>
    <t xml:space="preserve">Rentabilidade Anualizado da Carteira FIIs:  </t>
  </si>
  <si>
    <t xml:space="preserve">Rentabilidade Acumulado da Carteira FIIs:  </t>
  </si>
  <si>
    <t>Rend. Trib.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</si>
  <si>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</si>
  <si>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</si>
  <si>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</si>
  <si>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</si>
  <si>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</si>
  <si>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</si>
  <si>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</si>
  <si>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</si>
  <si>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</si>
  <si>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</si>
  <si>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</si>
  <si>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</si>
  <si>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Fundo</t>
  </si>
  <si>
    <t>Segmento</t>
  </si>
  <si>
    <t>Classificação de Risco</t>
  </si>
  <si>
    <t>Qtidade Cotas Atual</t>
  </si>
  <si>
    <t>Preço Médio</t>
  </si>
  <si>
    <t>Cotação Atual</t>
  </si>
  <si>
    <t>Yield on Cost (YoC)</t>
  </si>
  <si>
    <t>Valorização</t>
  </si>
  <si>
    <t>Rentabilidade</t>
  </si>
  <si>
    <t>Qtidade de Cotas no Mês</t>
  </si>
  <si>
    <t>Dividendos  (por cota)</t>
  </si>
  <si>
    <t>Proventos Recebidos</t>
  </si>
  <si>
    <t>Logística</t>
  </si>
  <si>
    <t>Oportunidade</t>
  </si>
  <si>
    <t>69,00</t>
  </si>
  <si>
    <t>79</t>
  </si>
  <si>
    <t>LVBI11</t>
  </si>
  <si>
    <t>Ancoragem</t>
  </si>
  <si>
    <t>Renda Urbana</t>
  </si>
  <si>
    <t>87</t>
  </si>
  <si>
    <t>4</t>
  </si>
  <si>
    <t>Shoppings</t>
  </si>
  <si>
    <t>Data COM</t>
  </si>
  <si>
    <t>Pagamento</t>
  </si>
  <si>
    <t>CRI</t>
  </si>
  <si>
    <t>Log/Laje</t>
  </si>
  <si>
    <t>JSCP</t>
  </si>
  <si>
    <t>Proventos:</t>
  </si>
  <si>
    <t>YoC Mensal:</t>
  </si>
  <si>
    <t>YoC Anualizado:</t>
  </si>
  <si>
    <t>Bonificação</t>
  </si>
  <si>
    <t>ticker</t>
  </si>
  <si>
    <t>setor</t>
  </si>
  <si>
    <t>peso</t>
  </si>
  <si>
    <t>financeiro</t>
  </si>
  <si>
    <t>Setor</t>
  </si>
  <si>
    <t>% do total</t>
  </si>
  <si>
    <t>Total Investido</t>
  </si>
  <si>
    <t>Banco</t>
  </si>
  <si>
    <t>Financeiro</t>
  </si>
  <si>
    <t>Seguradora</t>
  </si>
  <si>
    <t>Energia</t>
  </si>
  <si>
    <t>Commodities</t>
  </si>
  <si>
    <t>Cresc.</t>
  </si>
  <si>
    <t>Saneamento</t>
  </si>
  <si>
    <t>Industria</t>
  </si>
  <si>
    <t>Total Ações</t>
  </si>
  <si>
    <t>Total FIIs</t>
  </si>
  <si>
    <t>Total investido</t>
  </si>
  <si>
    <t>Sub_Setor</t>
  </si>
  <si>
    <t>% do Total</t>
  </si>
  <si>
    <t>Log</t>
  </si>
  <si>
    <t>Shopp</t>
  </si>
  <si>
    <t>NTNB</t>
  </si>
  <si>
    <t>Renda_Urbana</t>
  </si>
  <si>
    <t>Papel</t>
  </si>
  <si>
    <t>Renda_Fixa</t>
  </si>
  <si>
    <t>Internacional</t>
  </si>
  <si>
    <t>Cripto</t>
  </si>
  <si>
    <t>Tesouro Renda</t>
  </si>
  <si>
    <t>Capital</t>
  </si>
  <si>
    <t>Peso(%)</t>
  </si>
  <si>
    <t>Peso Ideal</t>
  </si>
  <si>
    <t>Ações Nacionais</t>
  </si>
  <si>
    <t>Calculo de Emissao</t>
  </si>
  <si>
    <t>Preço depois da Emissão</t>
  </si>
  <si>
    <t>P/VP depois da Emissão</t>
  </si>
  <si>
    <t>FIIs</t>
  </si>
  <si>
    <t>Nome_FIIs</t>
  </si>
  <si>
    <t>Preço Fechamento</t>
  </si>
  <si>
    <t>Percentual de Emissão</t>
  </si>
  <si>
    <t>Preço da Sub</t>
  </si>
  <si>
    <t>P/VP</t>
  </si>
  <si>
    <t>Calculadora de Arbitragem</t>
  </si>
  <si>
    <t>Manual</t>
  </si>
  <si>
    <t>Nome_Fiis</t>
  </si>
  <si>
    <t>Calculadora de Flipagem Para novo P/VP</t>
  </si>
  <si>
    <t>Qtd_Cota</t>
  </si>
  <si>
    <t>%_De_Cota_Emissão</t>
  </si>
  <si>
    <t>Direito_QTD_Cota</t>
  </si>
  <si>
    <t>Valor_Mercado</t>
  </si>
  <si>
    <t>Etfs</t>
  </si>
  <si>
    <t>Valor_Da_Emissão</t>
  </si>
  <si>
    <t>IR</t>
  </si>
  <si>
    <t>Valor_IR</t>
  </si>
  <si>
    <t>Lucro_Bruto</t>
  </si>
  <si>
    <t>P/VP Desejavel</t>
  </si>
  <si>
    <t>Lucro_Liquido</t>
  </si>
  <si>
    <t>Calculo se Compensa Arbitragem</t>
  </si>
  <si>
    <t>Rendimento</t>
  </si>
  <si>
    <t>Rendimento_2M</t>
  </si>
  <si>
    <t>Lucro</t>
  </si>
  <si>
    <t>Nome</t>
  </si>
  <si>
    <t>Status</t>
  </si>
  <si>
    <t>Lucro_em_M</t>
  </si>
  <si>
    <t>Data/Hora</t>
  </si>
  <si>
    <t>Selic_IPCA</t>
  </si>
  <si>
    <t>OK ✅</t>
  </si>
  <si>
    <t>Titulos_IPCA</t>
  </si>
  <si>
    <t>Calculo se Compensa Flipagem</t>
  </si>
  <si>
    <t>Saldo Atual</t>
  </si>
  <si>
    <t>Feriados</t>
  </si>
  <si>
    <t>Posição</t>
  </si>
  <si>
    <t>Calculadora Venda de Direito</t>
  </si>
  <si>
    <t>Preço_Direito</t>
  </si>
  <si>
    <t>Qtd_Direito</t>
  </si>
  <si>
    <t>Oque compensa -------------------&gt;</t>
  </si>
  <si>
    <t>Renda Urb/Log</t>
  </si>
  <si>
    <t>Peso</t>
  </si>
  <si>
    <t>Fluxo_De_Caixa</t>
  </si>
  <si>
    <t>Margen_Seg</t>
  </si>
  <si>
    <t>Barato</t>
  </si>
  <si>
    <t>Margen</t>
  </si>
  <si>
    <t>Preço mercado</t>
  </si>
  <si>
    <t>Bazin</t>
  </si>
  <si>
    <t>DY</t>
  </si>
  <si>
    <t>DY Barato</t>
  </si>
  <si>
    <t>DPA</t>
  </si>
  <si>
    <t>ITUB4</t>
  </si>
  <si>
    <t>Lajes/Log</t>
  </si>
  <si>
    <t>VP/Cota</t>
  </si>
  <si>
    <t>Justo</t>
  </si>
  <si>
    <t>Div/12</t>
  </si>
  <si>
    <t>LPC 3 anos</t>
  </si>
  <si>
    <t>Rend_Cota</t>
  </si>
  <si>
    <t>Rendimento_Total</t>
  </si>
  <si>
    <t>Spread</t>
  </si>
  <si>
    <t>Taxa_Total</t>
  </si>
  <si>
    <t>P/M</t>
  </si>
  <si>
    <t>Financeiro_P/M</t>
  </si>
  <si>
    <t>qtd</t>
  </si>
  <si>
    <t>% Peso</t>
  </si>
  <si>
    <t>CDI_Bruto</t>
  </si>
  <si>
    <t>CDI_Liquido</t>
  </si>
  <si>
    <t>Retorno(%)</t>
  </si>
  <si>
    <t>Data da Aplicação</t>
  </si>
  <si>
    <t>Hoje</t>
  </si>
  <si>
    <t>Dia_Corridos</t>
  </si>
  <si>
    <t>Redimento</t>
  </si>
  <si>
    <t xml:space="preserve">CDI Diário (%)        </t>
  </si>
  <si>
    <t>CDB</t>
  </si>
  <si>
    <t>LFTB11</t>
  </si>
  <si>
    <t>Tesouro Selic</t>
  </si>
  <si>
    <t>preço</t>
  </si>
  <si>
    <t>Rent_Bruta</t>
  </si>
  <si>
    <t>Rent_Liq</t>
  </si>
  <si>
    <t>Etf</t>
  </si>
  <si>
    <t>financeiro ($)</t>
  </si>
  <si>
    <t>Dolar/REAL</t>
  </si>
  <si>
    <t>DIA</t>
  </si>
  <si>
    <t>XBOX</t>
  </si>
  <si>
    <t>SPXB11</t>
  </si>
  <si>
    <t>USD</t>
  </si>
  <si>
    <t>Investido R$</t>
  </si>
  <si>
    <t>% investido</t>
  </si>
  <si>
    <t>Preço medio</t>
  </si>
  <si>
    <t>Perda</t>
  </si>
  <si>
    <t>BTC</t>
  </si>
  <si>
    <t>USDT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</si>
</sst>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[$R$ -416]#,##0.00"/>
    <numFmt numFmtId="165" formatCode="dd/MM/yyyy HH:mm:ss"/>
    <numFmt numFmtId="166" formatCode="0.0%"/>
    <numFmt numFmtId="167" formatCode="mmm/d"/>
    <numFmt numFmtId="168" formatCode="mmmm&quot; de &quot;yy"/>
    <numFmt numFmtId="169" formatCode="dd/mm/yyyy"/>
    <numFmt numFmtId="170" formatCode="[$$]#,##0.00"/>
    <numFmt numFmtId="171" formatCode="[$$]#,##0.000"/>
    <numFmt numFmtId="172" formatCode="m/d/yyyy h:mm:ss"/>
    <numFmt numFmtId="173" formatCode="dd/MM/yyyy"/>
    <numFmt numFmtId="174" formatCode="[$R$ -416]#,##0.000"/>
    <numFmt numFmtId="175" formatCode="0.000%"/>
  </numFmts>
  <fonts count="39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434343"/>
      <name val="Roboto"/>
    </font>
    <font>
      <sz val="9.0"/>
      <color theme="1"/>
      <name val="Google Sans Mono"/>
    </font>
    <font>
      <b/>
      <color theme="1"/>
      <name val="Arial"/>
      <scheme val="minor"/>
    </font>
    <font>
      <b/>
      <color rgb="FF000000"/>
      <name val="Arial"/>
      <scheme val="minor"/>
    </font>
    <font>
      <color rgb="FF00FFFF"/>
      <name val="Arial"/>
      <scheme val="minor"/>
    </font>
    <font>
      <b/>
      <color rgb="FF00FFFF"/>
      <name val="Arial"/>
      <scheme val="minor"/>
    </font>
    <font/>
    <font>
      <b/>
      <sz val="9.0"/>
      <color rgb="FF00FFFF"/>
      <name val="Nunito"/>
    </font>
    <font>
      <b/>
      <sz val="9.0"/>
      <color theme="1"/>
      <name val="Nunito"/>
    </font>
    <font>
      <b/>
      <sz val="11.0"/>
      <color rgb="FF00FFFF"/>
      <name val="Calibri"/>
    </font>
    <font>
      <b/>
      <sz val="11.0"/>
      <color theme="1"/>
      <name val="Calibri"/>
    </font>
    <font>
      <b/>
      <sz val="9.0"/>
      <color rgb="FF000000"/>
      <name val="Nunito"/>
    </font>
    <font>
      <sz val="9.0"/>
      <color rgb="FF000000"/>
      <name val="Nunito"/>
    </font>
    <font>
      <sz val="9.0"/>
      <color theme="1"/>
      <name val="Nunito"/>
    </font>
    <font>
      <b/>
      <sz val="11.0"/>
      <color theme="1"/>
      <name val="Nunito"/>
    </font>
    <font>
      <sz val="11.0"/>
      <color rgb="FF222222"/>
      <name val="Nunito"/>
    </font>
    <font>
      <b/>
      <sz val="8.0"/>
      <color rgb="FF00FFFF"/>
      <name val="Arial"/>
    </font>
    <font>
      <b/>
      <sz val="8.0"/>
      <color theme="1"/>
      <name val="Arial"/>
    </font>
    <font>
      <color rgb="FFFFFFFF"/>
      <name val="Arial"/>
      <scheme val="minor"/>
    </font>
    <font>
      <b/>
      <i/>
      <color rgb="FF000000"/>
      <name val="Arial"/>
      <scheme val="minor"/>
    </font>
    <font>
      <b/>
      <color rgb="FF434343"/>
      <name val="Roboto"/>
    </font>
    <font>
      <color rgb="FF00FF00"/>
      <name val="Arial"/>
      <scheme val="minor"/>
    </font>
    <font>
      <b/>
      <sz val="12.0"/>
      <color rgb="FF000000"/>
      <name val="Arial"/>
      <scheme val="minor"/>
    </font>
    <font>
      <b/>
      <sz val="10.0"/>
      <color rgb="FF000000"/>
      <name val="Arial"/>
      <scheme val="minor"/>
    </font>
    <font>
      <b/>
      <color rgb="FF000000"/>
      <name val="Roboto"/>
    </font>
    <font>
      <b/>
      <sz val="10.0"/>
      <color rgb="FF000000"/>
      <name val="Roboto"/>
    </font>
    <font>
      <b/>
      <sz val="12.0"/>
      <color rgb="FF000000"/>
      <name val="Roboto"/>
    </font>
    <font>
      <b/>
      <color theme="1"/>
      <name val="Roboto"/>
    </font>
    <font>
      <b/>
      <sz val="12.0"/>
      <color theme="1"/>
      <name val="Roboto"/>
    </font>
    <font>
      <b/>
      <color rgb="FF000000"/>
      <name val="Arial"/>
    </font>
    <font>
      <b/>
      <color theme="1"/>
      <name val="Arial"/>
    </font>
    <font>
      <color rgb="FF000000"/>
      <name val="Arial"/>
    </font>
    <font>
      <b/>
      <sz val="9.0"/>
      <color rgb="FF000000"/>
      <name val="&quot;Google Sans Mono&quot;"/>
    </font>
    <font>
      <color rgb="FF000000"/>
      <name val="Arial"/>
      <scheme val="minor"/>
    </font>
    <font>
      <sz val="9.0"/>
      <color rgb="FF000000"/>
      <name val="&quot;Google Sans Mono&quot;"/>
    </font>
    <font>
      <color rgb="FF434343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FCE5CD"/>
        <bgColor rgb="FFFCE5CD"/>
      </patternFill>
    </fill>
    <fill>
      <patternFill patternType="solid">
        <fgColor rgb="FFF0FFFF"/>
        <bgColor rgb="FFF0FFF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3B583"/>
        <bgColor rgb="FFD3B583"/>
      </patternFill>
    </fill>
    <fill>
      <patternFill patternType="solid">
        <fgColor rgb="FF00FF00"/>
        <bgColor rgb="FF00FF00"/>
      </patternFill>
    </fill>
    <fill>
      <patternFill patternType="solid">
        <fgColor rgb="FF8E7CC3"/>
        <bgColor rgb="FF8E7CC3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</fills>
  <borders count="20">
    <border/>
    <border>
      <left style="thin">
        <color rgb="FF284E3F"/>
      </left>
      <right style="thin">
        <color rgb="FFCCCCCC"/>
      </right>
      <top style="thin">
        <color rgb="FFCCCCCC"/>
      </top>
      <bottom style="thin">
        <color rgb="FF284E3F"/>
      </bottom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284E3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double">
        <color rgb="FFFFFFFF"/>
      </left>
      <right style="double">
        <color rgb="FFFFFFFF"/>
      </right>
      <top style="double">
        <color rgb="FFFFFFFF"/>
      </top>
      <bottom style="double">
        <color rgb="FFFFFFFF"/>
      </bottom>
    </border>
    <border>
      <left style="thin">
        <color rgb="FFCECECE"/>
      </left>
    </border>
    <border>
      <left style="double">
        <color rgb="FFFFFFFF"/>
      </left>
      <right style="double">
        <color rgb="FFFFFFFF"/>
      </right>
      <top style="double">
        <color rgb="FFFFFFFF"/>
      </top>
    </border>
    <border>
      <right style="double">
        <color rgb="FFFFFFFF"/>
      </right>
      <top style="double">
        <color rgb="FFFFFFFF"/>
      </top>
    </border>
    <border>
      <left style="double">
        <color rgb="FFFFFFFF"/>
      </left>
      <top style="double">
        <color rgb="FFFFFFFF"/>
      </top>
      <bottom style="double">
        <color rgb="FFFFFFFF"/>
      </bottom>
    </border>
    <border>
      <right style="double">
        <color rgb="FFFFFFFF"/>
      </right>
      <top style="double">
        <color rgb="FFFFFFFF"/>
      </top>
      <bottom style="double">
        <color rgb="FFFFFFFF"/>
      </bottom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</border>
    <border>
      <left style="thin">
        <color rgb="FF284E3F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3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2" fontId="1" numFmtId="10" xfId="0" applyAlignment="1" applyFill="1" applyFont="1" applyNumberFormat="1">
      <alignment readingOrder="0" shrinkToFit="0" vertical="center" wrapText="0"/>
    </xf>
    <xf borderId="0" fillId="3" fontId="1" numFmtId="164" xfId="0" applyAlignment="1" applyFill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/>
    </xf>
    <xf borderId="0" fillId="0" fontId="1" numFmtId="164" xfId="0" applyAlignment="1" applyFont="1" applyNumberFormat="1">
      <alignment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0" fillId="0" fontId="1" numFmtId="10" xfId="0" applyAlignment="1" applyFont="1" applyNumberFormat="1">
      <alignment shrinkToFit="0" vertical="center" wrapText="0"/>
    </xf>
    <xf borderId="2" fillId="2" fontId="3" numFmtId="10" xfId="0" applyAlignment="1" applyBorder="1" applyFill="1" applyFont="1" applyNumberFormat="1">
      <alignment horizontal="right" shrinkToFit="0" vertical="center" wrapText="0"/>
    </xf>
    <xf borderId="0" fillId="0" fontId="2" numFmtId="10" xfId="0" applyAlignment="1" applyFont="1" applyNumberFormat="1">
      <alignment readingOrder="0" shrinkToFit="0" vertical="center" wrapText="0"/>
    </xf>
    <xf borderId="0" fillId="0" fontId="4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vertical="bottom"/>
    </xf>
    <xf borderId="0" fillId="0" fontId="2" numFmtId="167" xfId="0" applyAlignment="1" applyFont="1" applyNumberFormat="1">
      <alignment horizontal="right" vertical="bottom"/>
    </xf>
    <xf borderId="0" fillId="4" fontId="2" numFmtId="164" xfId="0" applyAlignment="1" applyFill="1" applyFont="1" applyNumberFormat="1">
      <alignment horizontal="right" vertical="bottom"/>
    </xf>
    <xf borderId="0" fillId="3" fontId="1" numFmtId="164" xfId="0" applyAlignment="1" applyFill="1" applyFont="1" applyNumberFormat="1">
      <alignment readingOrder="0" shrinkToFit="0" vertical="center" wrapText="0"/>
    </xf>
    <xf borderId="0" fillId="4" fontId="2" numFmtId="164" xfId="0" applyAlignment="1" applyFill="1" applyFont="1" applyNumberFormat="1">
      <alignment horizontal="right" vertical="bottom"/>
    </xf>
    <xf borderId="0" fillId="0" fontId="2" numFmtId="0" xfId="0" applyAlignment="1" applyFont="1">
      <alignment horizontal="center" vertical="bottom"/>
    </xf>
    <xf borderId="0" fillId="0" fontId="2" numFmtId="10" xfId="0" applyAlignment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center" vertical="bottom"/>
    </xf>
    <xf borderId="0" fillId="4" fontId="2" numFmtId="167" xfId="0" applyAlignment="1" applyFill="1" applyFont="1" applyNumberFormat="1">
      <alignment horizontal="right" vertical="bottom"/>
    </xf>
    <xf borderId="0" fillId="0" fontId="2" numFmtId="10" xfId="0" applyAlignment="1" applyFont="1" applyNumberFormat="1">
      <alignment horizontal="right" vertical="bottom"/>
    </xf>
    <xf borderId="0" fillId="0" fontId="2" numFmtId="10" xfId="0" applyAlignment="1" applyFont="1" applyNumberFormat="1">
      <alignment horizontal="center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4" fontId="2" numFmtId="10" xfId="0" applyAlignment="1" applyFill="1" applyFont="1" applyNumberFormat="1">
      <alignment vertical="bottom"/>
    </xf>
    <xf borderId="0" fillId="0" fontId="2" numFmtId="168" xfId="0" applyAlignment="1" applyFont="1" applyNumberFormat="1">
      <alignment horizontal="right" readingOrder="0" vertical="bottom"/>
    </xf>
    <xf borderId="0" fillId="0" fontId="2" numFmtId="168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vertical="bottom"/>
    </xf>
    <xf borderId="0" fillId="0" fontId="1" numFmtId="4" xfId="0" applyFont="1" applyNumberFormat="1"/>
    <xf borderId="0" fillId="4" fontId="5" numFmtId="0" xfId="0" applyAlignment="1" applyFill="1" applyFont="1">
      <alignment readingOrder="0" shrinkToFit="0" vertical="center" wrapText="0"/>
    </xf>
    <xf borderId="0" fillId="0" fontId="1" numFmtId="0" xfId="0" applyFont="1"/>
    <xf borderId="0" fillId="0" fontId="5" numFmtId="0" xfId="0" applyAlignment="1" applyFont="1">
      <alignment horizontal="center" readingOrder="0" shrinkToFit="0" vertical="center" wrapText="0"/>
    </xf>
    <xf borderId="0" fillId="4" fontId="5" numFmtId="164" xfId="0" applyAlignment="1" applyFill="1" applyFont="1" applyNumberFormat="1">
      <alignment shrinkToFit="0" vertical="center" wrapText="0"/>
    </xf>
    <xf borderId="0" fillId="0" fontId="5" numFmtId="49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vertical="bottom"/>
    </xf>
    <xf borderId="0" fillId="5" fontId="6" numFmtId="0" xfId="0" applyAlignment="1" applyFill="1" applyFont="1">
      <alignment shrinkToFit="0" vertical="bottom" wrapText="0"/>
    </xf>
    <xf borderId="0" fillId="0" fontId="6" numFmtId="10" xfId="0" applyAlignment="1" applyFont="1" applyNumberFormat="1">
      <alignment horizontal="right"/>
    </xf>
    <xf borderId="0" fillId="0" fontId="1" numFmtId="10" xfId="0" applyFont="1" applyNumberFormat="1"/>
    <xf borderId="0" fillId="6" fontId="1" numFmtId="10" xfId="0" applyFill="1" applyFont="1" applyNumberFormat="1"/>
    <xf borderId="0" fillId="6" fontId="7" numFmtId="0" xfId="0" applyAlignment="1" applyFill="1" applyFont="1">
      <alignment readingOrder="0"/>
    </xf>
    <xf borderId="0" fillId="6" fontId="8" numFmtId="10" xfId="0" applyAlignment="1" applyFill="1" applyFont="1" applyNumberFormat="1">
      <alignment horizontal="right"/>
    </xf>
    <xf borderId="0" fillId="6" fontId="1" numFmtId="0" xfId="0" applyFill="1" applyFont="1"/>
    <xf borderId="0" fillId="6" fontId="1" numFmtId="0" xfId="0" applyAlignment="1" applyFill="1" applyFont="1">
      <alignment readingOrder="0"/>
    </xf>
    <xf borderId="0" fillId="0" fontId="1" numFmtId="0" xfId="0" applyAlignment="1" applyFont="1">
      <alignment horizontal="center" shrinkToFit="0" vertical="center" wrapText="0"/>
    </xf>
    <xf borderId="0" fillId="4" fontId="1" numFmtId="164" xfId="0" applyAlignment="1" applyFill="1" applyFont="1" applyNumberFormat="1">
      <alignment shrinkToFit="0" vertical="center" wrapText="0"/>
    </xf>
    <xf borderId="0" fillId="6" fontId="7" numFmtId="10" xfId="0" applyFill="1" applyFont="1" applyNumberFormat="1"/>
    <xf borderId="3" fillId="7" fontId="2" numFmtId="0" xfId="0" applyAlignment="1" applyBorder="1" applyFill="1" applyFont="1">
      <alignment horizontal="center" readingOrder="0" vertical="bottom"/>
    </xf>
    <xf borderId="3" fillId="0" fontId="9" numFmtId="0" xfId="0" applyBorder="1" applyFont="1"/>
    <xf borderId="4" fillId="0" fontId="9" numFmtId="0" xfId="0" applyBorder="1" applyFont="1"/>
    <xf borderId="0" fillId="0" fontId="1" numFmtId="10" xfId="0" applyAlignment="1" applyFont="1" applyNumberFormat="1">
      <alignment horizontal="center" shrinkToFit="0" vertical="center" wrapText="0"/>
    </xf>
    <xf borderId="5" fillId="6" fontId="10" numFmtId="164" xfId="0" applyAlignment="1" applyBorder="1" applyFill="1" applyFont="1" applyNumberFormat="1">
      <alignment horizontal="center" readingOrder="0" shrinkToFit="0" vertical="center" wrapText="0"/>
    </xf>
    <xf borderId="5" fillId="6" fontId="10" numFmtId="164" xfId="0" applyAlignment="1" applyBorder="1" applyFill="1" applyFont="1" applyNumberFormat="1">
      <alignment horizontal="center" shrinkToFit="0" vertical="center" wrapText="0"/>
    </xf>
    <xf borderId="5" fillId="6" fontId="10" numFmtId="164" xfId="0" applyAlignment="1" applyBorder="1" applyFill="1" applyFont="1" applyNumberFormat="1">
      <alignment horizontal="center" readingOrder="0" shrinkToFit="0" vertical="center" wrapText="1"/>
    </xf>
    <xf borderId="0" fillId="8" fontId="5" numFmtId="0" xfId="0" applyAlignment="1" applyFill="1" applyFont="1">
      <alignment readingOrder="0" shrinkToFit="0" vertical="center" wrapText="0"/>
    </xf>
    <xf borderId="5" fillId="6" fontId="10" numFmtId="164" xfId="0" applyAlignment="1" applyBorder="1" applyFill="1" applyFont="1" applyNumberFormat="1">
      <alignment horizontal="center" shrinkToFit="0" vertical="center" wrapText="1"/>
    </xf>
    <xf borderId="0" fillId="0" fontId="1" numFmtId="166" xfId="0" applyAlignment="1" applyFont="1" applyNumberFormat="1">
      <alignment shrinkToFit="0" vertical="center" wrapText="0"/>
    </xf>
    <xf borderId="5" fillId="7" fontId="11" numFmtId="164" xfId="0" applyAlignment="1" applyBorder="1" applyFill="1" applyFont="1" applyNumberFormat="1">
      <alignment horizontal="center" readingOrder="0" shrinkToFit="0" vertical="center" wrapText="1"/>
    </xf>
    <xf borderId="0" fillId="8" fontId="1" numFmtId="164" xfId="0" applyAlignment="1" applyFill="1" applyFont="1" applyNumberFormat="1">
      <alignment shrinkToFit="0" vertical="center" wrapText="0"/>
    </xf>
    <xf borderId="6" fillId="6" fontId="12" numFmtId="164" xfId="0" applyAlignment="1" applyBorder="1" applyFill="1" applyFont="1" applyNumberFormat="1">
      <alignment horizontal="center" readingOrder="0" shrinkToFit="0" vertical="center" wrapText="1"/>
    </xf>
    <xf borderId="6" fillId="7" fontId="13" numFmtId="164" xfId="0" applyAlignment="1" applyBorder="1" applyFill="1" applyFont="1" applyNumberFormat="1">
      <alignment horizontal="center" readingOrder="0" shrinkToFit="0" vertical="center" wrapText="1"/>
    </xf>
    <xf borderId="0" fillId="0" fontId="1" numFmtId="3" xfId="0" applyAlignment="1" applyFont="1" applyNumberFormat="1">
      <alignment shrinkToFit="0" vertical="center" wrapText="0"/>
    </xf>
    <xf borderId="7" fillId="7" fontId="13" numFmtId="164" xfId="0" applyAlignment="1" applyBorder="1" applyFill="1" applyFont="1" applyNumberFormat="1">
      <alignment horizontal="center" readingOrder="0" shrinkToFit="0" vertical="center" wrapText="1"/>
    </xf>
    <xf borderId="6" fillId="6" fontId="12" numFmtId="164" xfId="0" applyAlignment="1" applyBorder="1" applyFill="1" applyFont="1" applyNumberFormat="1">
      <alignment horizontal="center" shrinkToFit="0" wrapText="1"/>
    </xf>
    <xf borderId="7" fillId="7" fontId="13" numFmtId="164" xfId="0" applyAlignment="1" applyBorder="1" applyFill="1" applyFont="1" applyNumberFormat="1">
      <alignment horizontal="center" shrinkToFit="0" wrapText="1"/>
    </xf>
    <xf borderId="8" fillId="9" fontId="6" numFmtId="0" xfId="0" applyAlignment="1" applyBorder="1" applyFill="1" applyFont="1">
      <alignment readingOrder="0"/>
    </xf>
    <xf borderId="8" fillId="9" fontId="14" numFmtId="0" xfId="0" applyAlignment="1" applyBorder="1" applyFill="1" applyFont="1">
      <alignment horizontal="right" readingOrder="0" vertical="center"/>
    </xf>
    <xf borderId="0" fillId="0" fontId="1" numFmtId="0" xfId="0" applyAlignment="1" applyFont="1">
      <alignment shrinkToFit="0" vertical="center" wrapText="0"/>
    </xf>
    <xf borderId="8" fillId="9" fontId="14" numFmtId="0" xfId="0" applyAlignment="1" applyBorder="1" applyFill="1" applyFont="1">
      <alignment horizontal="center" vertical="center"/>
    </xf>
    <xf borderId="0" fillId="0" fontId="1" numFmtId="164" xfId="0" applyAlignment="1" applyFont="1" applyNumberFormat="1">
      <alignment shrinkToFit="0" vertical="center" wrapText="0"/>
    </xf>
    <xf borderId="0" fillId="0" fontId="1" numFmtId="10" xfId="0" applyAlignment="1" applyFont="1" applyNumberFormat="1">
      <alignment shrinkToFit="0" vertical="center" wrapText="0"/>
    </xf>
    <xf borderId="8" fillId="9" fontId="15" numFmtId="164" xfId="0" applyAlignment="1" applyBorder="1" applyFill="1" applyFont="1" applyNumberFormat="1">
      <alignment horizontal="center" readingOrder="0" vertical="center"/>
    </xf>
    <xf borderId="8" fillId="9" fontId="15" numFmtId="164" xfId="0" applyAlignment="1" applyBorder="1" applyFill="1" applyFont="1" applyNumberFormat="1">
      <alignment horizontal="center" vertical="center"/>
    </xf>
    <xf borderId="8" fillId="9" fontId="15" numFmtId="10" xfId="0" applyAlignment="1" applyBorder="1" applyFill="1" applyFont="1" applyNumberFormat="1">
      <alignment horizontal="center" vertical="center"/>
    </xf>
    <xf borderId="8" fillId="9" fontId="15" numFmtId="0" xfId="0" applyAlignment="1" applyBorder="1" applyFill="1" applyFont="1">
      <alignment horizontal="center" readingOrder="0" vertical="center"/>
    </xf>
    <xf borderId="8" fillId="10" fontId="15" numFmtId="164" xfId="0" applyAlignment="1" applyBorder="1" applyFill="1" applyFont="1" applyNumberFormat="1">
      <alignment horizontal="center" readingOrder="0" vertical="center"/>
    </xf>
    <xf borderId="8" fillId="9" fontId="16" numFmtId="164" xfId="0" applyAlignment="1" applyBorder="1" applyFill="1" applyFont="1" applyNumberFormat="1">
      <alignment horizontal="center"/>
    </xf>
    <xf borderId="8" fillId="9" fontId="15" numFmtId="49" xfId="0" applyAlignment="1" applyBorder="1" applyFill="1" applyFont="1" applyNumberFormat="1">
      <alignment horizontal="center" readingOrder="0" vertical="center"/>
    </xf>
    <xf borderId="8" fillId="9" fontId="2" numFmtId="164" xfId="0" applyAlignment="1" applyBorder="1" applyFill="1" applyFont="1" applyNumberFormat="1">
      <alignment readingOrder="0" vertical="bottom"/>
    </xf>
    <xf borderId="0" fillId="5" fontId="6" numFmtId="0" xfId="0" applyAlignment="1" applyFill="1" applyFont="1">
      <alignment readingOrder="0" shrinkToFit="0" vertical="bottom" wrapText="0"/>
    </xf>
    <xf borderId="0" fillId="0" fontId="17" numFmtId="0" xfId="0" applyAlignment="1" applyFont="1">
      <alignment horizontal="left" readingOrder="0" shrinkToFit="0" vertical="center" wrapText="0"/>
    </xf>
    <xf borderId="0" fillId="11" fontId="18" numFmtId="0" xfId="0" applyAlignment="1" applyFill="1" applyFont="1">
      <alignment readingOrder="0" shrinkToFit="0" vertical="center" wrapText="0"/>
    </xf>
    <xf borderId="9" fillId="11" fontId="18" numFmtId="169" xfId="0" applyAlignment="1" applyBorder="1" applyFill="1" applyFont="1" applyNumberFormat="1">
      <alignment readingOrder="0" shrinkToFit="0" vertical="center" wrapText="0"/>
    </xf>
    <xf borderId="9" fillId="11" fontId="18" numFmtId="0" xfId="0" applyAlignment="1" applyBorder="1" applyFill="1" applyFont="1">
      <alignment readingOrder="0" shrinkToFit="0" vertical="center" wrapText="0"/>
    </xf>
    <xf borderId="0" fillId="2" fontId="18" numFmtId="0" xfId="0" applyAlignment="1" applyFill="1" applyFont="1">
      <alignment readingOrder="0" shrinkToFit="0" vertical="center" wrapText="0"/>
    </xf>
    <xf borderId="9" fillId="2" fontId="18" numFmtId="169" xfId="0" applyAlignment="1" applyBorder="1" applyFill="1" applyFont="1" applyNumberFormat="1">
      <alignment readingOrder="0" shrinkToFit="0" vertical="center" wrapText="0"/>
    </xf>
    <xf borderId="9" fillId="2" fontId="18" numFmtId="0" xfId="0" applyAlignment="1" applyBorder="1" applyFill="1" applyFont="1">
      <alignment readingOrder="0" shrinkToFit="0" vertical="center" wrapText="0"/>
    </xf>
    <xf borderId="8" fillId="9" fontId="15" numFmtId="49" xfId="0" applyAlignment="1" applyBorder="1" applyFill="1" applyFont="1" applyNumberFormat="1">
      <alignment horizontal="center" vertical="center"/>
    </xf>
    <xf borderId="8" fillId="9" fontId="2" numFmtId="164" xfId="0" applyBorder="1" applyFill="1" applyFont="1" applyNumberFormat="1"/>
    <xf borderId="0" fillId="12" fontId="18" numFmtId="0" xfId="0" applyAlignment="1" applyFill="1" applyFont="1">
      <alignment readingOrder="0" shrinkToFit="0" vertical="center" wrapText="0"/>
    </xf>
    <xf borderId="9" fillId="12" fontId="18" numFmtId="169" xfId="0" applyAlignment="1" applyBorder="1" applyFill="1" applyFont="1" applyNumberFormat="1">
      <alignment readingOrder="0" shrinkToFit="0" vertical="center" wrapText="0"/>
    </xf>
    <xf borderId="9" fillId="12" fontId="18" numFmtId="0" xfId="0" applyAlignment="1" applyBorder="1" applyFill="1" applyFont="1">
      <alignment readingOrder="0" shrinkToFit="0" vertical="center" wrapText="0"/>
    </xf>
    <xf borderId="10" fillId="9" fontId="15" numFmtId="0" xfId="0" applyAlignment="1" applyBorder="1" applyFill="1" applyFont="1">
      <alignment horizontal="center" readingOrder="0" vertical="center"/>
    </xf>
    <xf borderId="8" fillId="9" fontId="2" numFmtId="49" xfId="0" applyBorder="1" applyFill="1" applyFont="1" applyNumberFormat="1"/>
    <xf borderId="11" fillId="9" fontId="15" numFmtId="164" xfId="0" applyAlignment="1" applyBorder="1" applyFill="1" applyFont="1" applyNumberFormat="1">
      <alignment horizontal="center" vertical="center"/>
    </xf>
    <xf borderId="8" fillId="0" fontId="15" numFmtId="0" xfId="0" applyAlignment="1" applyBorder="1" applyFont="1">
      <alignment horizontal="center" vertical="center"/>
    </xf>
    <xf borderId="8" fillId="0" fontId="15" numFmtId="164" xfId="0" applyAlignment="1" applyBorder="1" applyFont="1" applyNumberFormat="1">
      <alignment horizontal="center" vertical="center"/>
    </xf>
    <xf borderId="8" fillId="0" fontId="15" numFmtId="10" xfId="0" applyAlignment="1" applyBorder="1" applyFont="1" applyNumberFormat="1">
      <alignment horizontal="center" vertical="center"/>
    </xf>
    <xf borderId="12" fillId="0" fontId="15" numFmtId="0" xfId="0" applyAlignment="1" applyBorder="1" applyFont="1">
      <alignment horizontal="center" vertical="center"/>
    </xf>
    <xf borderId="0" fillId="6" fontId="19" numFmtId="164" xfId="0" applyAlignment="1" applyFill="1" applyFont="1" applyNumberFormat="1">
      <alignment horizontal="center" shrinkToFit="0" vertical="center" wrapText="1"/>
    </xf>
    <xf borderId="12" fillId="9" fontId="15" numFmtId="0" xfId="0" applyAlignment="1" applyBorder="1" applyFill="1" applyFont="1">
      <alignment horizontal="center" readingOrder="0" vertical="center"/>
    </xf>
    <xf borderId="0" fillId="7" fontId="20" numFmtId="164" xfId="0" applyAlignment="1" applyFill="1" applyFont="1" applyNumberFormat="1">
      <alignment horizontal="center" shrinkToFit="0" vertical="center" wrapText="1"/>
    </xf>
    <xf borderId="13" fillId="9" fontId="15" numFmtId="0" xfId="0" applyAlignment="1" applyBorder="1" applyFill="1" applyFont="1">
      <alignment horizontal="center" readingOrder="0" vertical="center"/>
    </xf>
    <xf borderId="8" fillId="7" fontId="20" numFmtId="164" xfId="0" applyAlignment="1" applyBorder="1" applyFill="1" applyFont="1" applyNumberFormat="1">
      <alignment horizontal="center" shrinkToFit="0" vertical="center" wrapText="1"/>
    </xf>
    <xf borderId="8" fillId="0" fontId="2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8" fillId="0" fontId="2" numFmtId="0" xfId="0" applyBorder="1" applyFont="1"/>
    <xf borderId="8" fillId="7" fontId="20" numFmtId="164" xfId="0" applyAlignment="1" applyBorder="1" applyFill="1" applyFont="1" applyNumberFormat="1">
      <alignment horizontal="center" shrinkToFit="0" wrapText="1"/>
    </xf>
    <xf borderId="0" fillId="6" fontId="19" numFmtId="164" xfId="0" applyAlignment="1" applyFill="1" applyFont="1" applyNumberFormat="1">
      <alignment horizontal="center" readingOrder="0" shrinkToFit="0" vertical="center" wrapText="1"/>
    </xf>
    <xf borderId="0" fillId="7" fontId="20" numFmtId="10" xfId="0" applyAlignment="1" applyFill="1" applyFont="1" applyNumberFormat="1">
      <alignment horizontal="center" shrinkToFit="0" vertical="center" wrapText="1"/>
    </xf>
    <xf borderId="8" fillId="7" fontId="20" numFmtId="10" xfId="0" applyAlignment="1" applyBorder="1" applyFill="1" applyFont="1" applyNumberFormat="1">
      <alignment horizontal="center" shrinkToFit="0" vertical="center" wrapText="1"/>
    </xf>
    <xf borderId="8" fillId="7" fontId="2" numFmtId="10" xfId="0" applyBorder="1" applyFill="1" applyFont="1" applyNumberFormat="1"/>
    <xf borderId="0" fillId="5" fontId="22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6" xfId="0" applyAlignment="1" applyFont="1" applyNumberFormat="1">
      <alignment shrinkToFit="0" vertical="center" wrapText="0"/>
    </xf>
    <xf borderId="0" fillId="0" fontId="1" numFmtId="3" xfId="0" applyAlignment="1" applyFont="1" applyNumberFormat="1">
      <alignment shrinkToFit="0" vertical="center" wrapText="0"/>
    </xf>
    <xf borderId="0" fillId="4" fontId="5" numFmtId="10" xfId="0" applyAlignment="1" applyFill="1" applyFont="1" applyNumberForma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4" fontId="6" numFmtId="0" xfId="0" applyAlignment="1" applyFill="1" applyFont="1">
      <alignment shrinkToFit="0" vertical="bottom" wrapText="0"/>
    </xf>
    <xf borderId="0" fillId="4" fontId="6" numFmtId="0" xfId="0" applyAlignment="1" applyFill="1" applyFont="1">
      <alignment readingOrder="0" shrinkToFit="0" vertical="bottom" wrapText="0"/>
    </xf>
    <xf borderId="0" fillId="0" fontId="1" numFmtId="169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4" xfId="0" applyFont="1" applyNumberFormat="1"/>
    <xf borderId="0" fillId="0" fontId="1" numFmtId="164" xfId="0" applyFont="1" applyNumberFormat="1"/>
    <xf borderId="0" fillId="4" fontId="5" numFmtId="0" xfId="0" applyAlignment="1" applyFill="1" applyFont="1">
      <alignment shrinkToFit="0" vertical="center" wrapText="0"/>
    </xf>
    <xf borderId="0" fillId="4" fontId="22" numFmtId="0" xfId="0" applyAlignment="1" applyFill="1" applyFont="1">
      <alignment readingOrder="0" shrinkToFit="0" vertical="center" wrapText="0"/>
    </xf>
    <xf borderId="0" fillId="4" fontId="23" numFmtId="0" xfId="0" applyAlignment="1" applyFill="1" applyFont="1">
      <alignment shrinkToFit="0" vertical="center" wrapText="0"/>
    </xf>
    <xf borderId="0" fillId="0" fontId="6" numFmtId="164" xfId="0" applyAlignment="1" applyFont="1" applyNumberFormat="1">
      <alignment readingOrder="0" vertical="bottom"/>
    </xf>
    <xf borderId="0" fillId="0" fontId="1" numFmtId="170" xfId="0" applyAlignment="1" applyFont="1" applyNumberFormat="1">
      <alignment readingOrder="0"/>
    </xf>
    <xf borderId="0" fillId="0" fontId="1" numFmtId="164" xfId="0" applyFont="1" applyNumberFormat="1"/>
    <xf borderId="14" fillId="6" fontId="24" numFmtId="0" xfId="0" applyAlignment="1" applyBorder="1" applyFill="1" applyFont="1">
      <alignment horizontal="center" readingOrder="0"/>
    </xf>
    <xf borderId="0" fillId="0" fontId="1" numFmtId="171" xfId="0" applyFont="1" applyNumberFormat="1"/>
    <xf borderId="0" fillId="2" fontId="5" numFmtId="0" xfId="0" applyAlignment="1" applyFill="1" applyFont="1">
      <alignment readingOrder="0" shrinkToFit="0" vertical="center" wrapText="0"/>
    </xf>
    <xf borderId="0" fillId="2" fontId="5" numFmtId="4" xfId="0" applyAlignment="1" applyFill="1" applyFont="1" applyNumberFormat="1">
      <alignment readingOrder="0" shrinkToFit="0" vertical="center" wrapText="0"/>
    </xf>
    <xf borderId="0" fillId="2" fontId="5" numFmtId="10" xfId="0" applyAlignment="1" applyFill="1" applyFont="1" applyNumberFormat="1">
      <alignment shrinkToFit="0" vertical="center" wrapText="0"/>
    </xf>
    <xf borderId="0" fillId="2" fontId="5" numFmtId="10" xfId="0" applyAlignment="1" applyFill="1" applyFont="1" applyNumberFormat="1">
      <alignment readingOrder="0" shrinkToFit="0" vertical="center" wrapText="0"/>
    </xf>
    <xf borderId="14" fillId="6" fontId="24" numFmtId="10" xfId="0" applyAlignment="1" applyBorder="1" applyFill="1" applyFont="1" applyNumberFormat="1">
      <alignment horizontal="center"/>
    </xf>
    <xf borderId="0" fillId="0" fontId="1" numFmtId="164" xfId="0" applyAlignment="1" applyFont="1" applyNumberFormat="1">
      <alignment readingOrder="0"/>
    </xf>
    <xf borderId="0" fillId="0" fontId="5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2" fontId="5" numFmtId="4" xfId="0" applyAlignment="1" applyFill="1" applyFont="1" applyNumberFormat="1">
      <alignment shrinkToFit="0" vertical="center" wrapText="0"/>
    </xf>
    <xf borderId="0" fillId="6" fontId="1" numFmtId="0" xfId="0" applyFill="1" applyFont="1"/>
    <xf borderId="0" fillId="6" fontId="6" numFmtId="0" xfId="0" applyAlignment="1" applyFill="1" applyFont="1">
      <alignment readingOrder="0" vertical="bottom"/>
    </xf>
    <xf borderId="0" fillId="6" fontId="5" numFmtId="164" xfId="0" applyAlignment="1" applyFill="1" applyFont="1" applyNumberFormat="1">
      <alignment readingOrder="0"/>
    </xf>
    <xf borderId="14" fillId="6" fontId="24" numFmtId="10" xfId="0" applyAlignment="1" applyBorder="1" applyFill="1" applyFont="1" applyNumberFormat="1">
      <alignment horizontal="center" readingOrder="0"/>
    </xf>
    <xf borderId="0" fillId="0" fontId="1" numFmtId="4" xfId="0" applyAlignment="1" applyFont="1" applyNumberFormat="1">
      <alignment readingOrder="0"/>
    </xf>
    <xf borderId="15" fillId="2" fontId="23" numFmtId="0" xfId="0" applyAlignment="1" applyBorder="1" applyFill="1" applyFont="1">
      <alignment shrinkToFit="0" vertical="center" wrapText="0"/>
    </xf>
    <xf borderId="16" fillId="2" fontId="23" numFmtId="4" xfId="0" applyAlignment="1" applyBorder="1" applyFill="1" applyFont="1" applyNumberFormat="1">
      <alignment readingOrder="0" shrinkToFit="0" vertical="center" wrapText="0"/>
    </xf>
    <xf borderId="17" fillId="2" fontId="23" numFmtId="10" xfId="0" applyAlignment="1" applyBorder="1" applyFill="1" applyFont="1" applyNumberFormat="1">
      <alignment horizontal="right" shrinkToFit="0" vertical="center" wrapText="0"/>
    </xf>
    <xf borderId="0" fillId="2" fontId="23" numFmtId="10" xfId="0" applyAlignment="1" applyFill="1" applyFont="1" applyNumberFormat="1">
      <alignment horizontal="right" readingOrder="0" shrinkToFit="0" vertical="center" wrapText="0"/>
    </xf>
    <xf borderId="0" fillId="0" fontId="11" numFmtId="164" xfId="0" applyAlignment="1" applyFont="1" applyNumberFormat="1">
      <alignment horizontal="center" readingOrder="0" shrinkToFit="0" vertical="center" wrapText="1"/>
    </xf>
    <xf borderId="0" fillId="0" fontId="1" numFmtId="172" xfId="0" applyAlignment="1" applyFont="1" applyNumberFormat="1">
      <alignment readingOrder="0"/>
    </xf>
    <xf borderId="0" fillId="2" fontId="5" numFmtId="10" xfId="0" applyAlignment="1" applyFill="1" applyFont="1" applyNumberFormat="1">
      <alignment readingOrder="0" shrinkToFit="0" vertical="center" wrapText="0"/>
    </xf>
    <xf borderId="0" fillId="0" fontId="1" numFmtId="172" xfId="0" applyFont="1" applyNumberFormat="1"/>
    <xf borderId="0" fillId="2" fontId="5" numFmtId="10" xfId="0" applyAlignment="1" applyFill="1" applyFont="1" applyNumberFormat="1">
      <alignment shrinkToFit="0" vertical="center" wrapText="0"/>
    </xf>
    <xf borderId="0" fillId="0" fontId="14" numFmtId="164" xfId="0" applyAlignment="1" applyFont="1" applyNumberFormat="1">
      <alignment horizontal="center" vertical="center"/>
    </xf>
    <xf borderId="0" fillId="0" fontId="14" numFmtId="10" xfId="0" applyAlignment="1" applyFont="1" applyNumberFormat="1">
      <alignment horizontal="center" vertical="center"/>
    </xf>
    <xf borderId="0" fillId="4" fontId="6" numFmtId="0" xfId="0" applyAlignment="1" applyFill="1" applyFont="1">
      <alignment readingOrder="0" shrinkToFit="0" vertical="center" wrapText="0"/>
    </xf>
    <xf borderId="0" fillId="4" fontId="14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horizontal="center"/>
    </xf>
    <xf borderId="0" fillId="4" fontId="14" numFmtId="0" xfId="0" applyAlignment="1" applyFill="1" applyFont="1">
      <alignment horizontal="right" readingOrder="0" shrinkToFit="0" vertical="center" wrapText="0"/>
    </xf>
    <xf borderId="0" fillId="0" fontId="1" numFmtId="9" xfId="0" applyAlignment="1" applyFont="1" applyNumberFormat="1">
      <alignment readingOrder="0"/>
    </xf>
    <xf borderId="0" fillId="4" fontId="14" numFmtId="4" xfId="0" applyAlignment="1" applyFill="1" applyFont="1" applyNumberFormat="1">
      <alignment shrinkToFit="0" vertical="center" wrapText="0"/>
    </xf>
    <xf borderId="0" fillId="4" fontId="14" numFmtId="164" xfId="0" applyAlignment="1" applyFill="1" applyFont="1" applyNumberFormat="1">
      <alignment horizontal="center" shrinkToFit="0" vertical="center" wrapText="0"/>
    </xf>
    <xf borderId="0" fillId="4" fontId="14" numFmtId="164" xfId="0" applyAlignment="1" applyFill="1" applyFont="1" applyNumberFormat="1">
      <alignment horizontal="center" shrinkToFit="0" vertical="center" wrapText="0"/>
    </xf>
    <xf borderId="0" fillId="6" fontId="5" numFmtId="164" xfId="0" applyAlignment="1" applyFill="1" applyFont="1" applyNumberFormat="1">
      <alignment readingOrder="0"/>
    </xf>
    <xf borderId="0" fillId="4" fontId="14" numFmtId="10" xfId="0" applyAlignment="1" applyFill="1" applyFont="1" applyNumberFormat="1">
      <alignment horizontal="center" shrinkToFit="0" vertical="center" wrapText="0"/>
    </xf>
    <xf borderId="0" fillId="6" fontId="24" numFmtId="0" xfId="0" applyAlignment="1" applyFill="1" applyFont="1">
      <alignment readingOrder="0"/>
    </xf>
    <xf borderId="0" fillId="6" fontId="24" numFmtId="10" xfId="0" applyFill="1" applyFont="1" applyNumberFormat="1"/>
    <xf borderId="0" fillId="6" fontId="24" numFmtId="0" xfId="0" applyAlignment="1" applyFill="1" applyFont="1">
      <alignment horizontal="center" readingOrder="0"/>
    </xf>
    <xf borderId="0" fillId="6" fontId="24" numFmtId="173" xfId="0" applyAlignment="1" applyFill="1" applyFont="1" applyNumberFormat="1">
      <alignment horizontal="right" readingOrder="0"/>
    </xf>
    <xf borderId="0" fillId="6" fontId="24" numFmtId="169" xfId="0" applyAlignment="1" applyFill="1" applyFont="1" applyNumberFormat="1">
      <alignment horizontal="left" readingOrder="0"/>
    </xf>
    <xf borderId="0" fillId="6" fontId="24" numFmtId="0" xfId="0" applyAlignment="1" applyFill="1" applyFont="1">
      <alignment horizontal="center"/>
    </xf>
    <xf borderId="0" fillId="6" fontId="6" numFmtId="0" xfId="0" applyAlignment="1" applyFill="1" applyFont="1">
      <alignment vertical="bottom"/>
    </xf>
    <xf borderId="0" fillId="6" fontId="24" numFmtId="173" xfId="0" applyAlignment="1" applyFill="1" applyFont="1" applyNumberFormat="1">
      <alignment horizontal="left"/>
    </xf>
    <xf borderId="0" fillId="4" fontId="14" numFmtId="0" xfId="0" applyAlignment="1" applyFill="1" applyFont="1">
      <alignment horizontal="center" shrinkToFit="0" vertical="center" wrapText="0"/>
    </xf>
    <xf borderId="0" fillId="6" fontId="1" numFmtId="49" xfId="0" applyAlignment="1" applyFill="1" applyFont="1" applyNumberFormat="1">
      <alignment readingOrder="0"/>
    </xf>
    <xf borderId="0" fillId="6" fontId="1" numFmtId="0" xfId="0" applyAlignment="1" applyFill="1" applyFont="1">
      <alignment readingOrder="0"/>
    </xf>
    <xf borderId="0" fillId="0" fontId="1" numFmtId="49" xfId="0" applyAlignment="1" applyFont="1" applyNumberFormat="1">
      <alignment readingOrder="0"/>
    </xf>
    <xf borderId="0" fillId="5" fontId="6" numFmtId="0" xfId="0" applyAlignment="1" applyFill="1" applyFont="1">
      <alignment readingOrder="0" shrinkToFit="0" vertical="bottom" wrapText="0"/>
    </xf>
    <xf borderId="0" fillId="5" fontId="6" numFmtId="10" xfId="0" applyAlignment="1" applyFill="1" applyFont="1" applyNumberFormat="1">
      <alignment horizontal="center" shrinkToFit="0" vertical="center" wrapText="0"/>
    </xf>
    <xf borderId="0" fillId="5" fontId="25" numFmtId="0" xfId="0" applyAlignment="1" applyFill="1" applyFont="1">
      <alignment horizontal="center" readingOrder="0" shrinkToFit="0" vertical="center" wrapText="0"/>
    </xf>
    <xf borderId="0" fillId="5" fontId="26" numFmtId="10" xfId="0" applyAlignment="1" applyFill="1" applyFont="1" applyNumberFormat="1">
      <alignment horizontal="center" readingOrder="0" shrinkToFit="0" vertical="center" wrapText="0"/>
    </xf>
    <xf borderId="0" fillId="5" fontId="26" numFmtId="164" xfId="0" applyAlignment="1" applyFill="1" applyFont="1" applyNumberFormat="1">
      <alignment horizontal="center" shrinkToFit="0" vertical="center" wrapText="0"/>
    </xf>
    <xf borderId="0" fillId="5" fontId="26" numFmtId="164" xfId="0" applyAlignment="1" applyFill="1" applyFont="1" applyNumberFormat="1">
      <alignment shrinkToFit="0" vertical="center" wrapText="0"/>
    </xf>
    <xf borderId="0" fillId="5" fontId="26" numFmtId="10" xfId="0" applyAlignment="1" applyFill="1" applyFont="1" applyNumberFormat="1">
      <alignment readingOrder="0" shrinkToFit="0" vertical="center" wrapText="0"/>
    </xf>
    <xf borderId="0" fillId="5" fontId="26" numFmtId="10" xfId="0" applyAlignment="1" applyFill="1" applyFont="1" applyNumberFormat="1">
      <alignment readingOrder="0" shrinkToFit="0" vertical="center" wrapText="0"/>
    </xf>
    <xf borderId="0" fillId="5" fontId="26" numFmtId="164" xfId="0" applyAlignment="1" applyFill="1" applyFont="1" applyNumberFormat="1">
      <alignment horizontal="center" readingOrder="0" shrinkToFit="0" vertical="center" wrapText="0"/>
    </xf>
    <xf borderId="0" fillId="13" fontId="6" numFmtId="164" xfId="0" applyAlignment="1" applyFill="1" applyFont="1" applyNumberFormat="1">
      <alignment horizontal="center" shrinkToFit="0" vertical="center" wrapText="0"/>
    </xf>
    <xf borderId="0" fillId="5" fontId="6" numFmtId="10" xfId="0" applyAlignment="1" applyFill="1" applyFont="1" applyNumberFormat="1">
      <alignment readingOrder="0" shrinkToFit="0" vertical="center" wrapText="0"/>
    </xf>
    <xf borderId="0" fillId="2" fontId="6" numFmtId="164" xfId="0" applyAlignment="1" applyFill="1" applyFont="1" applyNumberFormat="1">
      <alignment readingOrder="0" shrinkToFit="0" vertical="center" wrapText="0"/>
    </xf>
    <xf borderId="0" fillId="5" fontId="27" numFmtId="0" xfId="0" applyAlignment="1" applyFill="1" applyFont="1">
      <alignment readingOrder="0" shrinkToFit="0" vertical="bottom" wrapText="0"/>
    </xf>
    <xf borderId="0" fillId="5" fontId="28" numFmtId="10" xfId="0" applyAlignment="1" applyFill="1" applyFont="1" applyNumberFormat="1">
      <alignment horizontal="center" shrinkToFit="0" vertical="center" wrapText="0"/>
    </xf>
    <xf borderId="0" fillId="5" fontId="29" numFmtId="0" xfId="0" applyAlignment="1" applyFill="1" applyFont="1">
      <alignment horizontal="center" readingOrder="0" shrinkToFit="0" vertical="center" wrapText="0"/>
    </xf>
    <xf borderId="0" fillId="5" fontId="28" numFmtId="164" xfId="0" applyAlignment="1" applyFill="1" applyFont="1" applyNumberFormat="1">
      <alignment horizontal="center" readingOrder="0" shrinkToFit="0" vertical="center" wrapText="0"/>
    </xf>
    <xf borderId="0" fillId="5" fontId="28" numFmtId="164" xfId="0" applyAlignment="1" applyFill="1" applyFont="1" applyNumberFormat="1">
      <alignment readingOrder="0" shrinkToFit="0" vertical="center" wrapText="0"/>
    </xf>
    <xf borderId="0" fillId="5" fontId="30" numFmtId="164" xfId="0" applyAlignment="1" applyFill="1" applyFont="1" applyNumberFormat="1">
      <alignment horizontal="center" shrinkToFit="0" vertical="center" wrapText="0"/>
    </xf>
    <xf borderId="0" fillId="13" fontId="28" numFmtId="164" xfId="0" applyAlignment="1" applyFill="1" applyFont="1" applyNumberFormat="1">
      <alignment horizontal="center" shrinkToFit="0" vertical="center" wrapText="0"/>
    </xf>
    <xf borderId="0" fillId="5" fontId="27" numFmtId="10" xfId="0" applyAlignment="1" applyFill="1" applyFont="1" applyNumberFormat="1">
      <alignment horizontal="right" shrinkToFit="0" vertical="center" wrapText="0"/>
    </xf>
    <xf borderId="0" fillId="11" fontId="23" numFmtId="164" xfId="0" applyAlignment="1" applyFill="1" applyFont="1" applyNumberFormat="1">
      <alignment horizontal="right" readingOrder="0" shrinkToFit="0" vertical="center" wrapText="0"/>
    </xf>
    <xf borderId="0" fillId="5" fontId="26" numFmtId="10" xfId="0" applyAlignment="1" applyFill="1" applyFont="1" applyNumberFormat="1">
      <alignment horizontal="center" shrinkToFit="0" vertical="center" wrapText="0"/>
    </xf>
    <xf borderId="0" fillId="5" fontId="30" numFmtId="0" xfId="0" applyAlignment="1" applyFill="1" applyFont="1">
      <alignment readingOrder="0" shrinkToFit="0" vertical="bottom" wrapText="0"/>
    </xf>
    <xf borderId="0" fillId="5" fontId="30" numFmtId="10" xfId="0" applyAlignment="1" applyFill="1" applyFont="1" applyNumberFormat="1">
      <alignment horizontal="center" shrinkToFit="0" vertical="center" wrapText="0"/>
    </xf>
    <xf borderId="0" fillId="5" fontId="31" numFmtId="0" xfId="0" applyAlignment="1" applyFill="1" applyFont="1">
      <alignment horizontal="center" shrinkToFit="0" vertical="center" wrapText="0"/>
    </xf>
    <xf borderId="0" fillId="5" fontId="30" numFmtId="164" xfId="0" applyAlignment="1" applyFill="1" applyFont="1" applyNumberFormat="1">
      <alignment horizontal="right" shrinkToFit="0" vertical="center" wrapText="0"/>
    </xf>
    <xf borderId="0" fillId="5" fontId="30" numFmtId="10" xfId="0" applyAlignment="1" applyFill="1" applyFont="1" applyNumberFormat="1">
      <alignment horizontal="right" shrinkToFit="0" vertical="center" wrapText="0"/>
    </xf>
    <xf borderId="0" fillId="13" fontId="30" numFmtId="164" xfId="0" applyAlignment="1" applyFill="1" applyFont="1" applyNumberFormat="1">
      <alignment horizontal="center" shrinkToFit="0" vertical="center" wrapText="0"/>
    </xf>
    <xf borderId="0" fillId="11" fontId="3" numFmtId="164" xfId="0" applyAlignment="1" applyFill="1" applyFont="1" applyNumberFormat="1">
      <alignment horizontal="right" shrinkToFit="0" vertical="center" wrapText="0"/>
    </xf>
    <xf borderId="0" fillId="5" fontId="32" numFmtId="10" xfId="0" applyAlignment="1" applyFill="1" applyFont="1" applyNumberFormat="1">
      <alignment readingOrder="0" shrinkToFit="0" vertical="center" wrapText="0"/>
    </xf>
    <xf borderId="0" fillId="5" fontId="32" numFmtId="0" xfId="0" applyAlignment="1" applyFill="1" applyFont="1">
      <alignment readingOrder="0" shrinkToFit="0" vertical="bottom" wrapText="0"/>
    </xf>
    <xf borderId="0" fillId="0" fontId="6" numFmtId="164" xfId="0" applyAlignment="1" applyFont="1" applyNumberFormat="1">
      <alignment readingOrder="0"/>
    </xf>
    <xf borderId="0" fillId="0" fontId="6" numFmtId="164" xfId="0" applyAlignment="1" applyFont="1" applyNumberFormat="1">
      <alignment readingOrder="0" shrinkToFit="0" vertical="center" wrapText="0"/>
    </xf>
    <xf borderId="0" fillId="0" fontId="6" numFmtId="10" xfId="0" applyAlignment="1" applyFont="1" applyNumberFormat="1">
      <alignment horizontal="left" readingOrder="0"/>
    </xf>
    <xf borderId="0" fillId="0" fontId="6" numFmtId="10" xfId="0" applyAlignment="1" applyFont="1" applyNumberFormat="1">
      <alignment horizontal="center" readingOrder="0"/>
    </xf>
    <xf borderId="0" fillId="0" fontId="6" numFmtId="174" xfId="0" applyAlignment="1" applyFont="1" applyNumberFormat="1">
      <alignment readingOrder="0"/>
    </xf>
    <xf borderId="0" fillId="5" fontId="30" numFmtId="0" xfId="0" applyAlignment="1" applyFill="1" applyFont="1">
      <alignment shrinkToFit="0" vertical="bottom" wrapText="0"/>
    </xf>
    <xf borderId="0" fillId="5" fontId="30" numFmtId="10" xfId="0" applyAlignment="1" applyFill="1" applyFont="1" applyNumberFormat="1">
      <alignment horizontal="right" readingOrder="0" shrinkToFit="0" vertical="center" wrapText="0"/>
    </xf>
    <xf borderId="0" fillId="5" fontId="33" numFmtId="10" xfId="0" applyAlignment="1" applyFill="1" applyFont="1" applyNumberFormat="1">
      <alignment horizontal="right" shrinkToFit="0" vertical="center" wrapText="0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26" numFmtId="10" xfId="0" applyAlignment="1" applyFont="1" applyNumberFormat="1">
      <alignment horizontal="center"/>
    </xf>
    <xf borderId="0" fillId="0" fontId="26" numFmtId="164" xfId="0" applyAlignment="1" applyFont="1" applyNumberFormat="1">
      <alignment horizontal="center"/>
    </xf>
    <xf borderId="0" fillId="0" fontId="26" numFmtId="164" xfId="0" applyAlignment="1" applyFont="1" applyNumberFormat="1">
      <alignment horizontal="center" readingOrder="0"/>
    </xf>
    <xf borderId="0" fillId="0" fontId="26" numFmtId="49" xfId="0" applyAlignment="1" applyFont="1" applyNumberFormat="1">
      <alignment horizontal="center" readingOrder="0"/>
    </xf>
    <xf borderId="0" fillId="0" fontId="26" numFmtId="10" xfId="0" applyAlignment="1" applyFont="1" applyNumberFormat="1">
      <alignment horizontal="center" readingOrder="0"/>
    </xf>
    <xf borderId="0" fillId="0" fontId="6" numFmtId="164" xfId="0" applyAlignment="1" applyFont="1" applyNumberFormat="1">
      <alignment horizontal="center"/>
    </xf>
    <xf borderId="0" fillId="0" fontId="6" numFmtId="164" xfId="0" applyAlignment="1" applyFont="1" applyNumberFormat="1">
      <alignment horizontal="center" readingOrder="0"/>
    </xf>
    <xf borderId="0" fillId="0" fontId="6" numFmtId="10" xfId="0" applyAlignment="1" applyFont="1" applyNumberFormat="1">
      <alignment readingOrder="0"/>
    </xf>
    <xf borderId="0" fillId="0" fontId="26" numFmtId="4" xfId="0" applyAlignment="1" applyFont="1" applyNumberFormat="1">
      <alignment horizontal="center" readingOrder="0"/>
    </xf>
    <xf borderId="0" fillId="0" fontId="6" numFmtId="0" xfId="0" applyAlignment="1" applyFont="1">
      <alignment readingOrder="0" vertical="bottom"/>
    </xf>
    <xf borderId="0" fillId="0" fontId="26" numFmtId="0" xfId="0" applyAlignment="1" applyFont="1">
      <alignment horizontal="center" readingOrder="0"/>
    </xf>
    <xf borderId="0" fillId="0" fontId="34" numFmtId="0" xfId="0" applyAlignment="1" applyFont="1">
      <alignment horizontal="left" readingOrder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3" fontId="6" numFmtId="0" xfId="0" applyAlignment="1" applyFill="1" applyFont="1">
      <alignment readingOrder="0" shrinkToFit="0" vertical="center" wrapText="0"/>
    </xf>
    <xf borderId="0" fillId="3" fontId="22" numFmtId="0" xfId="0" applyAlignment="1" applyFill="1" applyFont="1">
      <alignment readingOrder="0" shrinkToFit="0" vertical="center" wrapText="0"/>
    </xf>
    <xf borderId="0" fillId="3" fontId="6" numFmtId="10" xfId="0" applyAlignment="1" applyFill="1" applyFont="1" applyNumberFormat="1">
      <alignment shrinkToFit="0" vertical="center" wrapText="0"/>
    </xf>
    <xf borderId="0" fillId="3" fontId="6" numFmtId="10" xfId="0" applyAlignment="1" applyFill="1" applyFont="1" applyNumberFormat="1">
      <alignment readingOrder="0" shrinkToFit="0" vertical="center" wrapText="0"/>
    </xf>
    <xf borderId="0" fillId="14" fontId="6" numFmtId="164" xfId="0" applyAlignment="1" applyFill="1" applyFont="1" applyNumberFormat="1">
      <alignment shrinkToFit="0" vertical="center" wrapText="0"/>
    </xf>
    <xf borderId="0" fillId="15" fontId="35" numFmtId="164" xfId="0" applyAlignment="1" applyFill="1" applyFont="1" applyNumberFormat="1">
      <alignment shrinkToFit="0" vertical="center" wrapText="0"/>
    </xf>
    <xf borderId="0" fillId="16" fontId="6" numFmtId="4" xfId="0" applyAlignment="1" applyFill="1" applyFont="1" applyNumberFormat="1">
      <alignment shrinkToFit="0" vertical="center" wrapText="0"/>
    </xf>
    <xf borderId="0" fillId="17" fontId="6" numFmtId="164" xfId="0" applyAlignment="1" applyFill="1" applyFont="1" applyNumberFormat="1">
      <alignment readingOrder="0" shrinkToFit="0" vertical="center" wrapText="0"/>
    </xf>
    <xf borderId="0" fillId="15" fontId="6" numFmtId="164" xfId="0" applyAlignment="1" applyFill="1" applyFont="1" applyNumberFormat="1">
      <alignment readingOrder="0" shrinkToFit="0" vertical="center" wrapText="0"/>
    </xf>
    <xf borderId="0" fillId="13" fontId="6" numFmtId="174" xfId="0" applyAlignment="1" applyFill="1" applyFont="1" applyNumberFormat="1">
      <alignment readingOrder="0" shrinkToFit="0" vertical="center" wrapText="0"/>
    </xf>
    <xf borderId="0" fillId="14" fontId="6" numFmtId="174" xfId="0" applyAlignment="1" applyFill="1" applyFont="1" applyNumberFormat="1">
      <alignment readingOrder="0" shrinkToFit="0" vertical="center" wrapText="0"/>
    </xf>
    <xf borderId="0" fillId="0" fontId="1" numFmtId="4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14" fontId="5" numFmtId="10" xfId="0" applyAlignment="1" applyFill="1" applyFont="1" applyNumberFormat="1">
      <alignment readingOrder="0" shrinkToFit="0" vertical="center" wrapText="0"/>
    </xf>
    <xf borderId="0" fillId="14" fontId="5" numFmtId="10" xfId="0" applyAlignment="1" applyFill="1" applyFont="1" applyNumberFormat="1">
      <alignment shrinkToFit="0" vertical="center" wrapText="0"/>
    </xf>
    <xf borderId="0" fillId="16" fontId="5" numFmtId="10" xfId="0" applyAlignment="1" applyFill="1" applyFont="1" applyNumberFormat="1">
      <alignment readingOrder="0" shrinkToFit="0" vertical="center" wrapText="0"/>
    </xf>
    <xf borderId="0" fillId="16" fontId="5" numFmtId="10" xfId="0" applyAlignment="1" applyFill="1" applyFont="1" applyNumberFormat="1">
      <alignment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0" fillId="18" fontId="5" numFmtId="10" xfId="0" applyAlignment="1" applyFill="1" applyFont="1" applyNumberFormat="1">
      <alignment readingOrder="0" shrinkToFit="0" vertical="center" wrapText="0"/>
    </xf>
    <xf borderId="0" fillId="18" fontId="5" numFmtId="10" xfId="0" applyAlignment="1" applyFill="1" applyFont="1" applyNumberFormat="1">
      <alignment shrinkToFit="0" vertical="center" wrapText="0"/>
    </xf>
    <xf borderId="0" fillId="3" fontId="35" numFmtId="10" xfId="0" applyAlignment="1" applyFill="1" applyFont="1" applyNumberFormat="1">
      <alignment readingOrder="0" shrinkToFit="0" vertical="center" wrapText="0"/>
    </xf>
    <xf borderId="0" fillId="15" fontId="35" numFmtId="164" xfId="0" applyAlignment="1" applyFill="1" applyFont="1" applyNumberFormat="1">
      <alignment readingOrder="0" shrinkToFit="0" vertical="center" wrapText="0"/>
    </xf>
    <xf borderId="0" fillId="15" fontId="35" numFmtId="164" xfId="0" applyAlignment="1" applyFill="1" applyFont="1" applyNumberFormat="1">
      <alignment readingOrder="0" shrinkToFit="0" vertical="center" wrapText="0"/>
    </xf>
    <xf borderId="0" fillId="0" fontId="36" numFmtId="4" xfId="0" applyAlignment="1" applyFont="1" applyNumberFormat="1">
      <alignment readingOrder="0" shrinkToFit="0" vertical="center" wrapText="0"/>
    </xf>
    <xf borderId="0" fillId="0" fontId="36" numFmtId="164" xfId="0" applyAlignment="1" applyFont="1" applyNumberFormat="1">
      <alignment readingOrder="0" shrinkToFit="0" vertical="center" wrapText="0"/>
    </xf>
    <xf borderId="0" fillId="14" fontId="6" numFmtId="10" xfId="0" applyAlignment="1" applyFill="1" applyFont="1" applyNumberFormat="1">
      <alignment readingOrder="0" shrinkToFit="0" vertical="center" wrapText="0"/>
    </xf>
    <xf borderId="0" fillId="0" fontId="36" numFmtId="10" xfId="0" applyAlignment="1" applyFont="1" applyNumberFormat="1">
      <alignment readingOrder="0" shrinkToFit="0" vertical="center" wrapText="0"/>
    </xf>
    <xf borderId="0" fillId="19" fontId="6" numFmtId="164" xfId="0" applyAlignment="1" applyFill="1" applyFont="1" applyNumberFormat="1">
      <alignment shrinkToFit="0" vertical="center" wrapText="0"/>
    </xf>
    <xf borderId="0" fillId="19" fontId="6" numFmtId="174" xfId="0" applyAlignment="1" applyFill="1" applyFont="1" applyNumberFormat="1">
      <alignment readingOrder="0" shrinkToFit="0" vertical="center" wrapText="0"/>
    </xf>
    <xf borderId="0" fillId="11" fontId="1" numFmtId="4" xfId="0" applyAlignment="1" applyFill="1" applyFont="1" applyNumberFormat="1">
      <alignment shrinkToFit="0" vertical="center" wrapText="0"/>
    </xf>
    <xf borderId="0" fillId="19" fontId="5" numFmtId="10" xfId="0" applyAlignment="1" applyFill="1" applyFont="1" applyNumberFormat="1">
      <alignment readingOrder="0" shrinkToFit="0" vertical="center" wrapText="0"/>
    </xf>
    <xf borderId="0" fillId="19" fontId="5" numFmtId="10" xfId="0" applyAlignment="1" applyFill="1" applyFont="1" applyNumberFormat="1">
      <alignment shrinkToFit="0" vertical="center" wrapText="0"/>
    </xf>
    <xf borderId="0" fillId="0" fontId="6" numFmtId="4" xfId="0" applyAlignment="1" applyFont="1" applyNumberFormat="1">
      <alignment readingOrder="0" shrinkToFit="0" vertical="center" wrapText="0"/>
    </xf>
    <xf borderId="0" fillId="0" fontId="6" numFmtId="164" xfId="0" applyAlignment="1" applyFont="1" applyNumberFormat="1">
      <alignment readingOrder="0" shrinkToFit="0" vertical="center" wrapText="0"/>
    </xf>
    <xf borderId="0" fillId="19" fontId="6" numFmtId="10" xfId="0" applyAlignment="1" applyFill="1" applyFont="1" applyNumberFormat="1">
      <alignment readingOrder="0" shrinkToFit="0" vertical="center" wrapText="0"/>
    </xf>
    <xf borderId="0" fillId="0" fontId="37" numFmtId="164" xfId="0" applyAlignment="1" applyFont="1" applyNumberFormat="1">
      <alignment readingOrder="0" shrinkToFit="0" vertical="center" wrapText="0"/>
    </xf>
    <xf borderId="0" fillId="0" fontId="35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6" numFmtId="10" xfId="0" applyFont="1" applyNumberFormat="1"/>
    <xf borderId="0" fillId="0" fontId="6" numFmtId="164" xfId="0" applyFont="1" applyNumberFormat="1"/>
    <xf borderId="0" fillId="0" fontId="35" numFmtId="10" xfId="0" applyAlignment="1" applyFont="1" applyNumberFormat="1">
      <alignment readingOrder="0"/>
    </xf>
    <xf borderId="0" fillId="0" fontId="35" numFmtId="10" xfId="0" applyAlignment="1" applyFont="1" applyNumberFormat="1">
      <alignment horizontal="left" readingOrder="0"/>
    </xf>
    <xf borderId="0" fillId="0" fontId="35" numFmtId="10" xfId="0" applyAlignment="1" applyFont="1" applyNumberFormat="1">
      <alignment horizontal="left"/>
    </xf>
    <xf borderId="0" fillId="0" fontId="35" numFmtId="4" xfId="0" applyAlignment="1" applyFont="1" applyNumberFormat="1">
      <alignment horizontal="left" readingOrder="0"/>
    </xf>
    <xf borderId="0" fillId="0" fontId="35" numFmtId="164" xfId="0" applyAlignment="1" applyFont="1" applyNumberFormat="1">
      <alignment horizontal="left"/>
    </xf>
    <xf borderId="0" fillId="0" fontId="6" numFmtId="164" xfId="0" applyAlignment="1" applyFont="1" applyNumberFormat="1">
      <alignment horizontal="left"/>
    </xf>
    <xf borderId="0" fillId="0" fontId="6" numFmtId="164" xfId="0" applyAlignment="1" applyFont="1" applyNumberFormat="1">
      <alignment horizontal="left" readingOrder="0"/>
    </xf>
    <xf borderId="0" fillId="2" fontId="2" numFmtId="4" xfId="0" applyAlignment="1" applyFill="1" applyFont="1" applyNumberFormat="1">
      <alignment readingOrder="0" shrinkToFit="0" vertical="center" wrapText="0"/>
    </xf>
    <xf borderId="0" fillId="2" fontId="1" numFmtId="164" xfId="0" applyAlignment="1" applyFill="1" applyFont="1" applyNumberFormat="1">
      <alignment readingOrder="0" shrinkToFit="0" vertical="center" wrapText="0"/>
    </xf>
    <xf borderId="0" fillId="2" fontId="1" numFmtId="10" xfId="0" applyAlignment="1" applyFill="1" applyFont="1" applyNumberFormat="1">
      <alignment shrinkToFit="0" vertical="center" wrapText="0"/>
    </xf>
    <xf borderId="0" fillId="2" fontId="1" numFmtId="10" xfId="0" applyAlignment="1" applyFill="1" applyFont="1" applyNumberFormat="1">
      <alignment readingOrder="0" shrinkToFit="0" vertical="center" wrapText="0"/>
    </xf>
    <xf borderId="0" fillId="10" fontId="2" numFmtId="173" xfId="0" applyAlignment="1" applyFill="1" applyFont="1" applyNumberFormat="1">
      <alignment readingOrder="0" shrinkToFit="0" vertical="center" wrapText="0"/>
    </xf>
    <xf borderId="0" fillId="2" fontId="38" numFmtId="173" xfId="0" applyAlignment="1" applyFill="1" applyFont="1" applyNumberFormat="1">
      <alignment horizontal="right" readingOrder="0" shrinkToFit="0" vertical="center" wrapText="0"/>
    </xf>
    <xf borderId="0" fillId="2" fontId="3" numFmtId="0" xfId="0" applyAlignment="1" applyFill="1" applyFont="1">
      <alignment shrinkToFit="0" vertical="center" wrapText="0"/>
    </xf>
    <xf borderId="0" fillId="2" fontId="3" numFmtId="164" xfId="0" applyAlignment="1" applyFill="1" applyFont="1" applyNumberFormat="1">
      <alignment horizontal="right" shrinkToFit="0" vertical="center" wrapText="0"/>
    </xf>
    <xf borderId="0" fillId="2" fontId="1" numFmtId="175" xfId="0" applyAlignment="1" applyFill="1" applyFont="1" applyNumberFormat="1">
      <alignment shrinkToFit="0" vertical="center" wrapText="0"/>
    </xf>
    <xf borderId="0" fillId="2" fontId="1" numFmtId="4" xfId="0" applyAlignment="1" applyFill="1" applyFont="1" applyNumberFormat="1">
      <alignment readingOrder="0" shrinkToFit="0" vertical="center" wrapText="0"/>
    </xf>
    <xf borderId="0" fillId="10" fontId="1" numFmtId="173" xfId="0" applyAlignment="1" applyFill="1" applyFont="1" applyNumberFormat="1">
      <alignment readingOrder="0" shrinkToFit="0" vertical="center" wrapText="0"/>
    </xf>
    <xf borderId="0" fillId="2" fontId="1" numFmtId="10" xfId="0" applyAlignment="1" applyFill="1" applyFont="1" applyNumberFormat="1">
      <alignment shrinkToFit="0" vertical="center" wrapText="0"/>
    </xf>
    <xf borderId="0" fillId="2" fontId="1" numFmtId="173" xfId="0" applyAlignment="1" applyFill="1" applyFont="1" applyNumberFormat="1">
      <alignment shrinkToFit="0" vertical="center" wrapText="0"/>
    </xf>
    <xf borderId="0" fillId="2" fontId="1" numFmtId="0" xfId="0" applyAlignment="1" applyFill="1" applyFont="1">
      <alignment shrinkToFit="0" vertical="center" wrapText="0"/>
    </xf>
    <xf borderId="0" fillId="2" fontId="1" numFmtId="164" xfId="0" applyAlignment="1" applyFill="1" applyFont="1" applyNumberFormat="1">
      <alignment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0" fillId="4" fontId="1" numFmtId="10" xfId="0" applyAlignment="1" applyFill="1" applyFont="1" applyNumberFormat="1">
      <alignment shrinkToFit="0" vertical="center" wrapText="0"/>
    </xf>
    <xf borderId="0" fillId="4" fontId="1" numFmtId="164" xfId="0" applyAlignment="1" applyFill="1" applyFont="1" applyNumberFormat="1">
      <alignment readingOrder="0" shrinkToFit="0" vertical="center" wrapText="0"/>
    </xf>
    <xf borderId="0" fillId="4" fontId="1" numFmtId="170" xfId="0" applyAlignment="1" applyFill="1" applyFont="1" applyNumberFormat="1">
      <alignment shrinkToFit="0" vertical="center" wrapText="0"/>
    </xf>
    <xf borderId="0" fillId="4" fontId="1" numFmtId="2" xfId="0" applyAlignment="1" applyFill="1" applyFont="1" applyNumberFormat="1">
      <alignment readingOrder="0" shrinkToFit="0" vertical="center" wrapText="0"/>
    </xf>
    <xf borderId="0" fillId="0" fontId="1" numFmtId="170" xfId="0" applyFont="1" applyNumberFormat="1"/>
    <xf borderId="0" fillId="4" fontId="2" numFmtId="0" xfId="0" applyAlignment="1" applyFill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18" fillId="2" fontId="3" numFmtId="0" xfId="0" applyAlignment="1" applyBorder="1" applyFill="1" applyFont="1">
      <alignment shrinkToFit="0" vertical="center" wrapText="0"/>
    </xf>
    <xf borderId="19" fillId="2" fontId="3" numFmtId="0" xfId="0" applyAlignment="1" applyBorder="1" applyFill="1" applyFont="1">
      <alignment horizontal="right" readingOrder="0" shrinkToFit="0" vertical="center" wrapText="0"/>
    </xf>
    <xf borderId="19" fillId="2" fontId="3" numFmtId="10" xfId="0" applyAlignment="1" applyBorder="1" applyFill="1" applyFont="1" applyNumberFormat="1">
      <alignment horizontal="right" shrinkToFit="0" vertical="center" wrapText="0"/>
    </xf>
    <xf borderId="19" fillId="2" fontId="3" numFmtId="164" xfId="0" applyAlignment="1" applyBorder="1" applyFill="1" applyFont="1" applyNumberFormat="1">
      <alignment horizontal="right" shrinkToFit="0" vertical="center" wrapText="0"/>
    </xf>
    <xf borderId="19" fillId="2" fontId="3" numFmtId="170" xfId="0" applyAlignment="1" applyBorder="1" applyFill="1" applyFont="1" applyNumberFormat="1">
      <alignment shrinkToFit="0" vertical="center" wrapText="0"/>
    </xf>
    <xf borderId="19" fillId="2" fontId="3" numFmtId="170" xfId="0" applyAlignment="1" applyBorder="1" applyFill="1" applyFont="1" applyNumberFormat="1">
      <alignment readingOrder="0" shrinkToFit="0" vertical="center" wrapText="0"/>
    </xf>
    <xf borderId="18" fillId="2" fontId="3" numFmtId="0" xfId="0" applyAlignment="1" applyBorder="1" applyFill="1" applyFont="1">
      <alignment readingOrder="0" shrinkToFit="0" vertical="center" wrapText="0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>
        <color rgb="FF000000"/>
      </font>
      <fill>
        <patternFill patternType="solid">
          <fgColor rgb="FF00FF00"/>
          <bgColor rgb="FF00FF00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</dxfs>
  <tableStyles count="66">
    <tableStyle count="4" pivot="0" name="Decio_Baz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 1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 1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 1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 1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 1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 1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 1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 1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 1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 2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 2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 2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 2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 2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 2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 2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 2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 2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 2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dicador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 3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ficienc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 3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dicadore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 3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 3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 3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ficienci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 3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Eficiencia-style 3">
      <tableStyleElement dxfId="2" type="firstRowStripe"/>
      <tableStyleElement dxfId="3" type="secondRowStripe"/>
    </tableStyle>
    <tableStyle count="4" pivot="0" name="Decio_Bazin-style 3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 3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 3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 3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por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porte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porte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Aporte-style 4">
      <tableStyleElement dxfId="2" type="firstRowStripe"/>
      <tableStyleElement dxfId="3" type="secondRowStripe"/>
    </tableStyle>
    <tableStyle count="4" pivot="0" name="grafic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afic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afico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afico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afico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afico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grafico-style 7">
      <tableStyleElement dxfId="2" type="firstRowStripe"/>
      <tableStyleElement dxfId="3" type="secondRowStripe"/>
    </tableStyle>
    <tableStyle count="4" pivot="0" name="grafico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afico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afico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M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HOME-style 2">
      <tableStyleElement dxfId="2" type="firstRowStripe"/>
      <tableStyleElement dxfId="3" type="secondRowStripe"/>
    </tableStyle>
    <tableStyle count="4" pivot="0" name="HOME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ME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ME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ME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ME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ME-style 8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Setores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grafico!$H$3</c:f>
            </c:strRef>
          </c:tx>
          <c:dPt>
            <c:idx val="0"/>
            <c:explosion val="0"/>
            <c:spPr>
              <a:solidFill>
                <a:schemeClr val="accent1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rgbClr val="000000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grafico!$F$4:$F$9</c:f>
            </c:strRef>
          </c:cat>
          <c:val>
            <c:numRef>
              <c:f>grafico!$H$4:$H$9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Setores_Peso_Ideal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grafico!$Q$3</c:f>
            </c:strRef>
          </c:tx>
          <c:dPt>
            <c:idx val="0"/>
            <c:explosion val="0"/>
            <c:spPr>
              <a:solidFill>
                <a:schemeClr val="accent1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rgbClr val="000000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grafico!$O$4:$O$9</c:f>
            </c:strRef>
          </c:cat>
          <c:val>
            <c:numRef>
              <c:f>grafico!$Q$4:$Q$9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Setores_Setores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grafico!$AA$3</c:f>
            </c:strRef>
          </c:tx>
          <c:dPt>
            <c:idx val="0"/>
            <c:explosion val="0"/>
            <c:spPr>
              <a:solidFill>
                <a:schemeClr val="accent1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5"/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grafico!$Y$4:$Y$9</c:f>
            </c:strRef>
          </c:cat>
          <c:val>
            <c:numRef>
              <c:f>grafico!$AA$4:$AA$9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Carteira_segmento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grafico!$H$29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grafico!$F$30:$F$42</c:f>
            </c:strRef>
          </c:cat>
          <c:val>
            <c:numRef>
              <c:f>grafico!$H$30:$H$42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Baratos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Aporte!$F$31</c:f>
            </c:strRef>
          </c:tx>
          <c:dPt>
            <c:idx val="0"/>
            <c:explosion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Aporte!$E$32:$E$55</c:f>
            </c:strRef>
          </c:cat>
          <c:val>
            <c:numRef>
              <c:f>Aporte!$F$32:$F$55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l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Ações : 💸 Sem aporte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Aporte!$N$2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Aporte!$L$3:$L$14</c:f>
            </c:strRef>
          </c:cat>
          <c:val>
            <c:numRef>
              <c:f>Aporte!$N$3:$N$14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FIIs : 💸 Sem aporte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Aporte!$N$17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Aporte!$L$18:$L$30</c:f>
            </c:strRef>
          </c:cat>
          <c:val>
            <c:numRef>
              <c:f>Aporte!$N$18:$N$30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Setores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grafico!$H$3</c:f>
            </c:strRef>
          </c:tx>
          <c:dPt>
            <c:idx val="0"/>
            <c:explosion val="0"/>
            <c:spPr>
              <a:solidFill>
                <a:schemeClr val="accent1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rgbClr val="000000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grafico!$F$4:$F$9</c:f>
            </c:strRef>
          </c:cat>
          <c:val>
            <c:numRef>
              <c:f>grafico!$H$4:$H$9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Setores_Peso_Ideal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grafico!$Q$3</c:f>
            </c:strRef>
          </c:tx>
          <c:dPt>
            <c:idx val="0"/>
            <c:explosion val="0"/>
            <c:spPr>
              <a:solidFill>
                <a:schemeClr val="accent1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rgbClr val="000000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grafico!$O$4:$O$9</c:f>
            </c:strRef>
          </c:cat>
          <c:val>
            <c:numRef>
              <c:f>grafico!$Q$4:$Q$9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Setores_Setores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grafico!$AA$3</c:f>
            </c:strRef>
          </c:tx>
          <c:dPt>
            <c:idx val="0"/>
            <c:explosion val="0"/>
            <c:spPr>
              <a:solidFill>
                <a:schemeClr val="accent1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5"/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grafico!$Y$4:$Y$9</c:f>
            </c:strRef>
          </c:cat>
          <c:val>
            <c:numRef>
              <c:f>grafico!$AA$4:$AA$9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Carteira_segmento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grafico!$H$29</c:f>
            </c:strRef>
          </c:tx>
          <c:dPt>
            <c:idx val="0"/>
            <c:spPr>
              <a:solidFill>
                <a:srgbClr val="4285F4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7BAAF7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F07B72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FCD04F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71C287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rgbClr val="FF994D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1"/>
            <c:spPr>
              <a:solidFill>
                <a:srgbClr val="7ED1D7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2"/>
            <c:spPr>
              <a:solidFill>
                <a:srgbClr val="B3CEFB"/>
              </a:solidFill>
              <a:ln cmpd="sng" w="9525">
                <a:solidFill>
                  <a:srgbClr val="000000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grafico!$F$30:$F$42</c:f>
            </c:strRef>
          </c:cat>
          <c:val>
            <c:numRef>
              <c:f>grafico!$H$30:$H$42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image" Target="../media/Chart5.png"/><Relationship Id="rId6" Type="http://schemas.openxmlformats.org/officeDocument/2006/relationships/chart" Target="../charts/chart5.xml"/><Relationship Id="rId7" Type="http://schemas.openxmlformats.org/officeDocument/2006/relationships/image" Target="../media/Chart9.png"/><Relationship Id="rId8" Type="http://schemas.openxmlformats.org/officeDocument/2006/relationships/image" Target="../media/Chart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Chart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34</xdr:row>
      <xdr:rowOff>0</xdr:rowOff>
    </xdr:from>
    <xdr:ext cx="4695825" cy="29146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895350</xdr:colOff>
      <xdr:row>34</xdr:row>
      <xdr:rowOff>0</xdr:rowOff>
    </xdr:from>
    <xdr:ext cx="4762500" cy="29146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1038225</xdr:colOff>
      <xdr:row>34</xdr:row>
      <xdr:rowOff>0</xdr:rowOff>
    </xdr:from>
    <xdr:ext cx="4695825" cy="29146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914400</xdr:colOff>
      <xdr:row>0</xdr:row>
      <xdr:rowOff>133350</xdr:rowOff>
    </xdr:from>
    <xdr:ext cx="7600950" cy="472440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9</xdr:row>
      <xdr:rowOff>0</xdr:rowOff>
    </xdr:from>
    <xdr:ext cx="5715000" cy="1276350"/>
    <xdr:pic>
      <xdr:nvPicPr>
        <xdr:cNvPr id="2081193686" name="Chart5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1085850</xdr:colOff>
      <xdr:row>0</xdr:row>
      <xdr:rowOff>133350</xdr:rowOff>
    </xdr:from>
    <xdr:ext cx="3895725" cy="2438400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64</xdr:row>
      <xdr:rowOff>0</xdr:rowOff>
    </xdr:from>
    <xdr:ext cx="4667250" cy="2886075"/>
    <xdr:pic>
      <xdr:nvPicPr>
        <xdr:cNvPr id="1479736034" name="Chart9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866775</xdr:colOff>
      <xdr:row>64</xdr:row>
      <xdr:rowOff>0</xdr:rowOff>
    </xdr:from>
    <xdr:ext cx="4667250" cy="2886075"/>
    <xdr:pic>
      <xdr:nvPicPr>
        <xdr:cNvPr id="881327644" name="Chart14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419100</xdr:colOff>
      <xdr:row>61</xdr:row>
      <xdr:rowOff>180975</xdr:rowOff>
    </xdr:from>
    <xdr:ext cx="4610100" cy="2838450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1504950</xdr:colOff>
      <xdr:row>61</xdr:row>
      <xdr:rowOff>180975</xdr:rowOff>
    </xdr:from>
    <xdr:ext cx="4524375" cy="2838450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10</xdr:row>
      <xdr:rowOff>57150</xdr:rowOff>
    </xdr:from>
    <xdr:ext cx="4352925" cy="2695575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0</xdr:colOff>
      <xdr:row>9</xdr:row>
      <xdr:rowOff>47625</xdr:rowOff>
    </xdr:from>
    <xdr:ext cx="4352925" cy="2695575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19050</xdr:colOff>
      <xdr:row>15</xdr:row>
      <xdr:rowOff>123825</xdr:rowOff>
    </xdr:from>
    <xdr:ext cx="4352925" cy="2695575"/>
    <xdr:graphicFrame>
      <xdr:nvGraphicFramePr>
        <xdr:cNvPr id="12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0</xdr:colOff>
      <xdr:row>43</xdr:row>
      <xdr:rowOff>152400</xdr:rowOff>
    </xdr:from>
    <xdr:ext cx="5715000" cy="3533775"/>
    <xdr:graphicFrame>
      <xdr:nvGraphicFramePr>
        <xdr:cNvPr id="13" name="Chart 1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6</xdr:row>
      <xdr:rowOff>19050</xdr:rowOff>
    </xdr:from>
    <xdr:ext cx="5715000" cy="1276350"/>
    <xdr:pic>
      <xdr:nvPicPr>
        <xdr:cNvPr id="1221595576" name="Chart15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D9" displayName="Carteira" name="Carteira" id="59">
  <tableColumns count="4">
    <tableColumn name="Tipo" id="1"/>
    <tableColumn name="Capital" id="2"/>
    <tableColumn name="Peso(%)" id="3"/>
    <tableColumn name="Peso Ideal" id="4"/>
  </tableColumns>
  <tableStyleInfo name="HOME-style" showColumnStripes="0" showFirstColumn="1" showLastColumn="1" showRowStripes="1"/>
</table>
</file>

<file path=xl/tables/table2.xml><?xml version="1.0" encoding="utf-8"?>
<table xmlns="http://schemas.openxmlformats.org/spreadsheetml/2006/main" headerRowCount="0" ref="F2:F5" displayName="Table_4" name="Table_4" id="60">
  <tableColumns count="1">
    <tableColumn name="Column1" id="1"/>
  </tableColumns>
  <tableStyleInfo name="HOME-style 2" showColumnStripes="0" showFirstColumn="1" showLastColumn="1" showRowStripes="1"/>
</table>
</file>

<file path=xl/tables/table3.xml><?xml version="1.0" encoding="utf-8"?>
<table xmlns="http://schemas.openxmlformats.org/spreadsheetml/2006/main" ref="A21:P34" displayName="Ações_Nacionais" name="Ações_Nacionais" id="61">
  <tableColumns count="16">
    <tableColumn name="QTD" id="1"/>
    <tableColumn name="Ação" id="2"/>
    <tableColumn name="Peso" id="3"/>
    <tableColumn name="Nota" id="4"/>
    <tableColumn name="Peso Ideal" id="5"/>
    <tableColumn name="Financeiro" id="6"/>
    <tableColumn name="Fluxo_De_Caixa" id="7"/>
    <tableColumn name="Margen_Seg" id="8"/>
    <tableColumn name="Barato" id="9"/>
    <tableColumn name="Margen" id="10"/>
    <tableColumn name="Preço mercado" id="11"/>
    <tableColumn name="Bazin" id="12"/>
    <tableColumn name="DY" id="13"/>
    <tableColumn name="DY Barato" id="14"/>
    <tableColumn name="DPA" id="15"/>
    <tableColumn name="Total" id="16"/>
  </tableColumns>
  <tableStyleInfo name="HOME-style 3" showColumnStripes="0" showFirstColumn="1" showLastColumn="1" showRowStripes="1"/>
</table>
</file>

<file path=xl/tables/table4.xml><?xml version="1.0" encoding="utf-8"?>
<table xmlns="http://schemas.openxmlformats.org/spreadsheetml/2006/main" ref="A51:S64" displayName="Fiis" name="Fiis" id="62">
  <tableColumns count="19">
    <tableColumn name="QTD" id="1"/>
    <tableColumn name="Fii" id="2"/>
    <tableColumn name="Peso" id="3"/>
    <tableColumn name="Nota" id="4"/>
    <tableColumn name="Peso Ideal" id="5"/>
    <tableColumn name="Financeiro" id="6"/>
    <tableColumn name="Preço mercado" id="7"/>
    <tableColumn name="Barato" id="8"/>
    <tableColumn name="VP/Cota" id="9"/>
    <tableColumn name="Justo" id="10"/>
    <tableColumn name="Div/12" id="11"/>
    <tableColumn name="LPC 3 anos" id="12"/>
    <tableColumn name="Rend_Cota" id="13"/>
    <tableColumn name="Rendimento_Total" id="14"/>
    <tableColumn name="Spread" id="15"/>
    <tableColumn name="IPCA" id="16"/>
    <tableColumn name="Taxa_Total" id="17"/>
    <tableColumn name="P/M" id="18"/>
    <tableColumn name="Financeiro_P/M" id="19"/>
  </tableColumns>
  <tableStyleInfo name="HOME-style 4" showColumnStripes="0" showFirstColumn="1" showLastColumn="1" showRowStripes="1"/>
</table>
</file>

<file path=xl/tables/table5.xml><?xml version="1.0" encoding="utf-8"?>
<table xmlns="http://schemas.openxmlformats.org/spreadsheetml/2006/main" ref="A82:L85" displayName="Renda_Fixa" name="Renda_Fixa" id="63">
  <tableColumns count="12">
    <tableColumn name="Tipo" id="1"/>
    <tableColumn name="qtd" id="2"/>
    <tableColumn name="Financeiro" id="3"/>
    <tableColumn name="% Peso" id="4"/>
    <tableColumn name="CDI_Bruto" id="5"/>
    <tableColumn name="CDI_Liquido" id="6"/>
    <tableColumn name="Retorno(%)" id="7"/>
    <tableColumn name="Data da Aplicação" id="8"/>
    <tableColumn name="Hoje" id="9"/>
    <tableColumn name="Dia_Corridos" id="10"/>
    <tableColumn name="Redimento" id="11"/>
    <tableColumn name="CDI Diário (%)        " id="12"/>
  </tableColumns>
  <tableStyleInfo name="HOME-style 5" showColumnStripes="0" showFirstColumn="1" showLastColumn="1" showRowStripes="1"/>
</table>
</file>

<file path=xl/tables/table6.xml><?xml version="1.0" encoding="utf-8"?>
<table xmlns="http://schemas.openxmlformats.org/spreadsheetml/2006/main" ref="A88:H92" displayName="Tesouro" name="Tesouro" id="64">
  <tableColumns count="8">
    <tableColumn name="Tipo" id="1"/>
    <tableColumn name="qtd" id="2"/>
    <tableColumn name="preço" id="3"/>
    <tableColumn name="Financeiro" id="4"/>
    <tableColumn name="% Peso" id="5"/>
    <tableColumn name="Rent_Bruta" id="6"/>
    <tableColumn name="Rent_Liq" id="7"/>
    <tableColumn name="Retorno(%)" id="8"/>
  </tableColumns>
  <tableStyleInfo name="HOME-style 6" showColumnStripes="0" showFirstColumn="1" showLastColumn="1" showRowStripes="1"/>
</table>
</file>

<file path=xl/tables/table7.xml><?xml version="1.0" encoding="utf-8"?>
<table xmlns="http://schemas.openxmlformats.org/spreadsheetml/2006/main" ref="A96:G99" displayName="Etfs" name="Etfs" id="65">
  <tableColumns count="7">
    <tableColumn name="Etf" id="1"/>
    <tableColumn name="qtd" id="2"/>
    <tableColumn name="Peso" id="3"/>
    <tableColumn name="financeiro" id="4"/>
    <tableColumn name="financeiro ($)" id="5"/>
    <tableColumn name="preço" id="6"/>
    <tableColumn name="Dolar/REAL" id="7"/>
  </tableColumns>
  <tableStyleInfo name="HOME-style 7" showColumnStripes="0" showFirstColumn="1" showLastColumn="1" showRowStripes="1"/>
</table>
</file>

<file path=xl/tables/table8.xml><?xml version="1.0" encoding="utf-8"?>
<table xmlns="http://schemas.openxmlformats.org/spreadsheetml/2006/main" ref="A103:K105" displayName="Cripto" name="Cripto" id="66">
  <tableColumns count="11">
    <tableColumn name="Cripto" id="1"/>
    <tableColumn name="qtd" id="2"/>
    <tableColumn name="Peso" id="3"/>
    <tableColumn name="financeiro" id="4"/>
    <tableColumn name="financeiro ($)" id="5"/>
    <tableColumn name="preço" id="6"/>
    <tableColumn name="USD" id="7"/>
    <tableColumn name="Investido R$" id="8"/>
    <tableColumn name="% investido" id="9"/>
    <tableColumn name="Preço medio" id="10"/>
    <tableColumn name="Perda" id="11"/>
  </tableColumns>
  <tableStyleInfo name="HOME-style 8" showColumnStripes="0" showFirstColumn="1" showLastColumn="1" showRowStripes="1"/>
</table>
</file>

<file path=xl/tables/table9.xml><?xml version="1.0" encoding="utf-8"?>
<table xmlns="http://schemas.openxmlformats.org/spreadsheetml/2006/main" ref="B2:H3" displayName="desempenho" name="desempenho" id="28">
  <tableColumns count="7">
    <tableColumn name="Perfomance" id="1"/>
    <tableColumn name="Y Mensal Consolidado" id="2"/>
    <tableColumn name="YMC_Media" id="3"/>
    <tableColumn name="Y_Anual_FIIs" id="4"/>
    <tableColumn name="Y Mensal FIIs" id="5"/>
    <tableColumn name="YMF_Media" id="6"/>
    <tableColumn name="% Ganho Capital" id="7"/>
  </tableColumns>
  <tableStyleInfo name="Eficiencia-style" showColumnStripes="0" showFirstColumn="1" showLastColumn="1" showRowStripes="1"/>
</table>
</file>

<file path=xl/tables/table10.xml><?xml version="1.0" encoding="utf-8"?>
<table xmlns="http://schemas.openxmlformats.org/spreadsheetml/2006/main" ref="B6:F7" displayName="financeiros" name="financeiros" id="37">
  <tableColumns count="5">
    <tableColumn name="Total Proventos" id="1"/>
    <tableColumn name="FIIs_Provento" id="2"/>
    <tableColumn name="Valor Aplicado" id="3"/>
    <tableColumn name="Valor Bruto" id="4"/>
    <tableColumn name="Ganho Capital" id="5"/>
  </tableColumns>
  <tableStyleInfo name="Eficiencia-style 2" showColumnStripes="0" showFirstColumn="1" showLastColumn="1" showRowStripes="1"/>
</table>
</file>

<file path=xl/tables/table11.xml><?xml version="1.0" encoding="utf-8"?>
<table xmlns="http://schemas.openxmlformats.org/spreadsheetml/2006/main" headerRowCount="0" ref="A43:D53" displayName="Table_1" name="Table_1" id="40">
  <tableColumns count="4">
    <tableColumn name="Column1" id="1"/>
    <tableColumn name="Column2" id="2"/>
    <tableColumn name="Column3" id="3"/>
    <tableColumn name="Column4" id="4"/>
  </tableColumns>
  <tableStyleInfo name="Eficiencia-style 3" showColumnStripes="0" showFirstColumn="1" showLastColumn="1" showRowStripes="1"/>
</table>
</file>

<file path=xl/tables/table12.xml><?xml version="1.0" encoding="utf-8"?>
<table xmlns="http://schemas.openxmlformats.org/spreadsheetml/2006/main" ref="A2:C14" displayName="DPA" name="DPA" id="1">
  <tableColumns count="3">
    <tableColumn name="Ação" id="1"/>
    <tableColumn name="Media_DPA_3Anos" id="2"/>
    <tableColumn name="Anos_Media" id="3"/>
  </tableColumns>
  <tableStyleInfo name="Decio_Bazin-style" showColumnStripes="0" showFirstColumn="1" showLastColumn="1" showRowStripes="1"/>
</table>
</file>

<file path=xl/tables/table13.xml><?xml version="1.0" encoding="utf-8"?>
<table xmlns="http://schemas.openxmlformats.org/spreadsheetml/2006/main" ref="E2:G15" displayName="LCP_3Anos" name="LCP_3Anos" id="2">
  <tableColumns count="3">
    <tableColumn name="Fii" id="1"/>
    <tableColumn name="Media_DPA_3Anos" id="2"/>
    <tableColumn name="Anos_Media" id="3"/>
  </tableColumns>
  <tableStyleInfo name="Decio_Bazin-style 2" showColumnStripes="0" showFirstColumn="1" showLastColumn="1" showRowStripes="1"/>
</table>
</file>

<file path=xl/tables/table14.xml><?xml version="1.0" encoding="utf-8"?>
<table xmlns="http://schemas.openxmlformats.org/spreadsheetml/2006/main" ref="I2:J6" displayName="KNRI11" name="KNRI11" id="3">
  <tableColumns count="2">
    <tableColumn name="Ano" id="1"/>
    <tableColumn name="LPC" id="2"/>
  </tableColumns>
  <tableStyleInfo name="Decio_Bazin-style 3" showColumnStripes="0" showFirstColumn="1" showLastColumn="1" showRowStripes="1"/>
</table>
</file>

<file path=xl/tables/table15.xml><?xml version="1.0" encoding="utf-8"?>
<table xmlns="http://schemas.openxmlformats.org/spreadsheetml/2006/main" ref="L2:M6" displayName="XPLG11" name="XPLG11" id="4">
  <tableColumns count="2">
    <tableColumn name="Ano" id="1"/>
    <tableColumn name="LPC" id="2"/>
  </tableColumns>
  <tableStyleInfo name="Decio_Bazin-style 4" showColumnStripes="0" showFirstColumn="1" showLastColumn="1" showRowStripes="1"/>
</table>
</file>

<file path=xl/tables/table16.xml><?xml version="1.0" encoding="utf-8"?>
<table xmlns="http://schemas.openxmlformats.org/spreadsheetml/2006/main" ref="O2:P6" displayName="HGBS11" name="HGBS11" id="5">
  <tableColumns count="2">
    <tableColumn name="Ano" id="1"/>
    <tableColumn name="LPC" id="2"/>
  </tableColumns>
  <tableStyleInfo name="Decio_Bazin-style 5" showColumnStripes="0" showFirstColumn="1" showLastColumn="1" showRowStripes="1"/>
</table>
</file>

<file path=xl/tables/table17.xml><?xml version="1.0" encoding="utf-8"?>
<table xmlns="http://schemas.openxmlformats.org/spreadsheetml/2006/main" ref="R2:S6" displayName="PORD11" name="PORD11" id="6">
  <tableColumns count="2">
    <tableColumn name="Ano" id="1"/>
    <tableColumn name="LPC" id="2"/>
  </tableColumns>
  <tableStyleInfo name="Decio_Bazin-style 6" showColumnStripes="0" showFirstColumn="1" showLastColumn="1" showRowStripes="1"/>
</table>
</file>

<file path=xl/tables/table18.xml><?xml version="1.0" encoding="utf-8"?>
<table xmlns="http://schemas.openxmlformats.org/spreadsheetml/2006/main" ref="I9:J13" displayName="PMLL11" name="PMLL11" id="7">
  <tableColumns count="2">
    <tableColumn name="Ano" id="1"/>
    <tableColumn name="LPC" id="2"/>
  </tableColumns>
  <tableStyleInfo name="Decio_Bazin-style 7" showColumnStripes="0" showFirstColumn="1" showLastColumn="1" showRowStripes="1"/>
</table>
</file>

<file path=xl/tables/table19.xml><?xml version="1.0" encoding="utf-8"?>
<table xmlns="http://schemas.openxmlformats.org/spreadsheetml/2006/main" ref="L9:M13" displayName="BTLG11" name="BTLG11" id="8">
  <tableColumns count="2">
    <tableColumn name="Ano" id="1"/>
    <tableColumn name="LPC" id="2"/>
  </tableColumns>
  <tableStyleInfo name="Decio_Bazin-style 8" showColumnStripes="0" showFirstColumn="1" showLastColumn="1" showRowStripes="1"/>
</table>
</file>

<file path=xl/tables/table20.xml><?xml version="1.0" encoding="utf-8"?>
<table xmlns="http://schemas.openxmlformats.org/spreadsheetml/2006/main" ref="O9:P13" displayName="GGRC11" name="GGRC11" id="9">
  <tableColumns count="2">
    <tableColumn name="Ano" id="1"/>
    <tableColumn name="LPC" id="2"/>
  </tableColumns>
  <tableStyleInfo name="Decio_Bazin-style 9" showColumnStripes="0" showFirstColumn="1" showLastColumn="1" showRowStripes="1"/>
</table>
</file>

<file path=xl/tables/table21.xml><?xml version="1.0" encoding="utf-8"?>
<table xmlns="http://schemas.openxmlformats.org/spreadsheetml/2006/main" ref="R9:S13" displayName="BRCO11" name="BRCO11" id="10">
  <tableColumns count="2">
    <tableColumn name="Ano" id="1"/>
    <tableColumn name="LPC" id="2"/>
  </tableColumns>
  <tableStyleInfo name="Decio_Bazin-style 10" showColumnStripes="0" showFirstColumn="1" showLastColumn="1" showRowStripes="1"/>
</table>
</file>

<file path=xl/tables/table22.xml><?xml version="1.0" encoding="utf-8"?>
<table xmlns="http://schemas.openxmlformats.org/spreadsheetml/2006/main" ref="M16:N20" displayName="GARE11" name="GARE11" id="11">
  <tableColumns count="2">
    <tableColumn name="Ano" id="1"/>
    <tableColumn name="LPC" id="2"/>
  </tableColumns>
  <tableStyleInfo name="Decio_Bazin-style 11" showColumnStripes="0" showFirstColumn="1" showLastColumn="1" showRowStripes="1"/>
</table>
</file>

<file path=xl/tables/table23.xml><?xml version="1.0" encoding="utf-8"?>
<table xmlns="http://schemas.openxmlformats.org/spreadsheetml/2006/main" ref="P16:Q20" displayName="MXRF11" name="MXRF11" id="12">
  <tableColumns count="2">
    <tableColumn name="Ano" id="1"/>
    <tableColumn name="LPC" id="2"/>
  </tableColumns>
  <tableStyleInfo name="Decio_Bazin-style 12" showColumnStripes="0" showFirstColumn="1" showLastColumn="1" showRowStripes="1"/>
</table>
</file>

<file path=xl/tables/table24.xml><?xml version="1.0" encoding="utf-8"?>
<table xmlns="http://schemas.openxmlformats.org/spreadsheetml/2006/main" ref="A18:C22" displayName="BBSE3_DIV_2" name="BBSE3_DIV_2" id="13">
  <tableColumns count="3">
    <tableColumn name="Tipo" id="1"/>
    <tableColumn name="Bruto" id="2"/>
    <tableColumn name="Liquido" id="3"/>
  </tableColumns>
  <tableStyleInfo name="Decio_Bazin-style 13" showColumnStripes="0" showFirstColumn="1" showLastColumn="1" showRowStripes="1"/>
</table>
</file>

<file path=xl/tables/table25.xml><?xml version="1.0" encoding="utf-8"?>
<table xmlns="http://schemas.openxmlformats.org/spreadsheetml/2006/main" ref="E18:G22" displayName="TAEE11_DIV_2" name="TAEE11_DIV_2" id="14">
  <tableColumns count="3">
    <tableColumn name="Tipo" id="1"/>
    <tableColumn name="Bruto" id="2"/>
    <tableColumn name="Liquido" id="3"/>
  </tableColumns>
  <tableStyleInfo name="Decio_Bazin-style 14" showColumnStripes="0" showFirstColumn="1" showLastColumn="1" showRowStripes="1"/>
</table>
</file>

<file path=xl/tables/table26.xml><?xml version="1.0" encoding="utf-8"?>
<table xmlns="http://schemas.openxmlformats.org/spreadsheetml/2006/main" ref="I18:K22" displayName="WEGE3_DIV_2" name="WEGE3_DIV_2" id="15">
  <tableColumns count="3">
    <tableColumn name="Tipo" id="1"/>
    <tableColumn name="Bruto" id="2"/>
    <tableColumn name="Liquido" id="3"/>
  </tableColumns>
  <tableStyleInfo name="Decio_Bazin-style 15" showColumnStripes="0" showFirstColumn="1" showLastColumn="1" showRowStripes="1"/>
</table>
</file>

<file path=xl/tables/table27.xml><?xml version="1.0" encoding="utf-8"?>
<table xmlns="http://schemas.openxmlformats.org/spreadsheetml/2006/main" ref="M23:N27" displayName="HGLG11" name="HGLG11" id="16">
  <tableColumns count="2">
    <tableColumn name="Ano" id="1"/>
    <tableColumn name="LPC" id="2"/>
  </tableColumns>
  <tableStyleInfo name="Decio_Bazin-style 16" showColumnStripes="0" showFirstColumn="1" showLastColumn="1" showRowStripes="1"/>
</table>
</file>

<file path=xl/tables/table28.xml><?xml version="1.0" encoding="utf-8"?>
<table xmlns="http://schemas.openxmlformats.org/spreadsheetml/2006/main" ref="P23:Q27" displayName="HGRU11" name="HGRU11" id="17">
  <tableColumns count="2">
    <tableColumn name="Ano" id="1"/>
    <tableColumn name="LPC" id="2"/>
  </tableColumns>
  <tableStyleInfo name="Decio_Bazin-style 17" showColumnStripes="0" showFirstColumn="1" showLastColumn="1" showRowStripes="1"/>
</table>
</file>

<file path=xl/tables/table29.xml><?xml version="1.0" encoding="utf-8"?>
<table xmlns="http://schemas.openxmlformats.org/spreadsheetml/2006/main" ref="A25:C29" displayName="BBAS3_DIV_2" name="BBAS3_DIV_2" id="18">
  <tableColumns count="3">
    <tableColumn name="Tipo" id="1"/>
    <tableColumn name="Bruto" id="2"/>
    <tableColumn name="Liquido" id="3"/>
  </tableColumns>
  <tableStyleInfo name="Decio_Bazin-style 18" showColumnStripes="0" showFirstColumn="1" showLastColumn="1" showRowStripes="1"/>
</table>
</file>

<file path=xl/tables/table30.xml><?xml version="1.0" encoding="utf-8"?>
<table xmlns="http://schemas.openxmlformats.org/spreadsheetml/2006/main" ref="E25:G29" displayName="ISAE4_DIV_2" name="ISAE4_DIV_2" id="19">
  <tableColumns count="3">
    <tableColumn name="Tipo" id="1"/>
    <tableColumn name="Bruto" id="2"/>
    <tableColumn name="Liquido" id="3"/>
  </tableColumns>
  <tableStyleInfo name="Decio_Bazin-style 19" showColumnStripes="0" showFirstColumn="1" showLastColumn="1" showRowStripes="1"/>
</table>
</file>

<file path=xl/tables/table31.xml><?xml version="1.0" encoding="utf-8"?>
<table xmlns="http://schemas.openxmlformats.org/spreadsheetml/2006/main" ref="I25:K29" displayName="VALE3_DIV_2" name="VALE3_DIV_2" id="20">
  <tableColumns count="3">
    <tableColumn name="Tipo" id="1"/>
    <tableColumn name="Bruto" id="2"/>
    <tableColumn name="Liquido" id="3"/>
  </tableColumns>
  <tableStyleInfo name="Decio_Bazin-style 20" showColumnStripes="0" showFirstColumn="1" showLastColumn="1" showRowStripes="1"/>
</table>
</file>

<file path=xl/tables/table32.xml><?xml version="1.0" encoding="utf-8"?>
<table xmlns="http://schemas.openxmlformats.org/spreadsheetml/2006/main" ref="M30:N34" displayName="PCIP11" name="PCIP11" id="21">
  <tableColumns count="2">
    <tableColumn name="Ano" id="1"/>
    <tableColumn name="LPC" id="2"/>
  </tableColumns>
  <tableStyleInfo name="Decio_Bazin-style 21" showColumnStripes="0" showFirstColumn="1" showLastColumn="1" showRowStripes="1"/>
</table>
</file>

<file path=xl/tables/table33.xml><?xml version="1.0" encoding="utf-8"?>
<table xmlns="http://schemas.openxmlformats.org/spreadsheetml/2006/main" ref="A32:C36" displayName="ITUB3_DIV_2" name="ITUB3_DIV_2" id="22">
  <tableColumns count="3">
    <tableColumn name="Tipo" id="1"/>
    <tableColumn name="Bruto" id="2"/>
    <tableColumn name="Liquido" id="3"/>
  </tableColumns>
  <tableStyleInfo name="Decio_Bazin-style 22" showColumnStripes="0" showFirstColumn="1" showLastColumn="1" showRowStripes="1"/>
</table>
</file>

<file path=xl/tables/table34.xml><?xml version="1.0" encoding="utf-8"?>
<table xmlns="http://schemas.openxmlformats.org/spreadsheetml/2006/main" ref="E32:G36" displayName="CMIG4_DIV_2" name="CMIG4_DIV_2" id="23">
  <tableColumns count="3">
    <tableColumn name="Tipo" id="1"/>
    <tableColumn name="Bruto" id="2"/>
    <tableColumn name="Liquido" id="3"/>
  </tableColumns>
  <tableStyleInfo name="Decio_Bazin-style 23" showColumnStripes="0" showFirstColumn="1" showLastColumn="1" showRowStripes="1"/>
</table>
</file>

<file path=xl/tables/table35.xml><?xml version="1.0" encoding="utf-8"?>
<table xmlns="http://schemas.openxmlformats.org/spreadsheetml/2006/main" ref="I32:K36" displayName="PETR4_DIV_2" name="PETR4_DIV_2" id="24">
  <tableColumns count="3">
    <tableColumn name="Tipo" id="1"/>
    <tableColumn name="Bruto" id="2"/>
    <tableColumn name="Liquido" id="3"/>
  </tableColumns>
  <tableStyleInfo name="Decio_Bazin-style 24" showColumnStripes="0" showFirstColumn="1" showLastColumn="1" showRowStripes="1"/>
</table>
</file>

<file path=xl/tables/table36.xml><?xml version="1.0" encoding="utf-8"?>
<table xmlns="http://schemas.openxmlformats.org/spreadsheetml/2006/main" ref="A39:C43" displayName="BRBI11_DIV_2" name="BRBI11_DIV_2" id="25">
  <tableColumns count="3">
    <tableColumn name="Tipo" id="1"/>
    <tableColumn name="Bruto" id="2"/>
    <tableColumn name="Liquido" id="3"/>
  </tableColumns>
  <tableStyleInfo name="Decio_Bazin-style 25" showColumnStripes="0" showFirstColumn="1" showLastColumn="1" showRowStripes="1"/>
</table>
</file>

<file path=xl/tables/table37.xml><?xml version="1.0" encoding="utf-8"?>
<table xmlns="http://schemas.openxmlformats.org/spreadsheetml/2006/main" ref="E39:G43" displayName="SAPR4_DIV_2" name="SAPR4_DIV_2" id="26">
  <tableColumns count="3">
    <tableColumn name="Tipo" id="1"/>
    <tableColumn name="Bruto" id="2"/>
    <tableColumn name="Liquido" id="3"/>
  </tableColumns>
  <tableStyleInfo name="Decio_Bazin-style 26" showColumnStripes="0" showFirstColumn="1" showLastColumn="1" showRowStripes="1"/>
</table>
</file>

<file path=xl/tables/table38.xml><?xml version="1.0" encoding="utf-8"?>
<table xmlns="http://schemas.openxmlformats.org/spreadsheetml/2006/main" ref="I39:K43" displayName="ITSA4_DIV_2" name="ITSA4_DIV_2" id="27">
  <tableColumns count="3">
    <tableColumn name="Tipo" id="1"/>
    <tableColumn name="Bruto" id="2"/>
    <tableColumn name="Liquido" id="3"/>
  </tableColumns>
  <tableStyleInfo name="Decio_Bazin-style 27" showColumnStripes="0" showFirstColumn="1" showLastColumn="1" showRowStripes="1"/>
</table>
</file>

<file path=xl/tables/table39.xml><?xml version="1.0" encoding="utf-8"?>
<table xmlns="http://schemas.openxmlformats.org/spreadsheetml/2006/main" ref="A47:D56" displayName="BBSE3_2" name="BBSE3_2" id="29">
  <tableColumns count="4">
    <tableColumn name="Tipo" id="1"/>
    <tableColumn name="Data COM" id="2"/>
    <tableColumn name="Pagamento" id="3"/>
    <tableColumn name="Valor" id="4"/>
  </tableColumns>
  <tableStyleInfo name="Decio_Bazin-style 28" showColumnStripes="0" showFirstColumn="1" showLastColumn="1" showRowStripes="1"/>
</table>
</file>

<file path=xl/tables/table40.xml><?xml version="1.0" encoding="utf-8"?>
<table xmlns="http://schemas.openxmlformats.org/spreadsheetml/2006/main" ref="F47:I56" displayName="TAEE11_2" name="TAEE11_2" id="31">
  <tableColumns count="4">
    <tableColumn name="Tipo" id="1"/>
    <tableColumn name="Data COM" id="2"/>
    <tableColumn name="Pagamento" id="3"/>
    <tableColumn name="Valor" id="4"/>
  </tableColumns>
  <tableStyleInfo name="Decio_Bazin-style 29" showColumnStripes="0" showFirstColumn="1" showLastColumn="1" showRowStripes="1"/>
</table>
</file>

<file path=xl/tables/table41.xml><?xml version="1.0" encoding="utf-8"?>
<table xmlns="http://schemas.openxmlformats.org/spreadsheetml/2006/main" ref="K47:N63" displayName="WEGE3_2" name="WEGE3_2" id="32">
  <tableColumns count="4">
    <tableColumn name="Tipo" id="1"/>
    <tableColumn name="Data COM" id="2"/>
    <tableColumn name="Pagamento" id="3"/>
    <tableColumn name="Valor" id="4"/>
  </tableColumns>
  <tableStyleInfo name="Decio_Bazin-style 30" showColumnStripes="0" showFirstColumn="1" showLastColumn="1" showRowStripes="1"/>
</table>
</file>

<file path=xl/tables/table42.xml><?xml version="1.0" encoding="utf-8"?>
<table xmlns="http://schemas.openxmlformats.org/spreadsheetml/2006/main" ref="A59:D73" displayName="BBAS3_2" name="BBAS3_2" id="34">
  <tableColumns count="4">
    <tableColumn name="Tipo" id="1"/>
    <tableColumn name="Data COM" id="2"/>
    <tableColumn name="Pagamento" id="3"/>
    <tableColumn name="Valor" id="4"/>
  </tableColumns>
  <tableStyleInfo name="Decio_Bazin-style 31" showColumnStripes="0" showFirstColumn="1" showLastColumn="1" showRowStripes="1"/>
</table>
</file>

<file path=xl/tables/table43.xml><?xml version="1.0" encoding="utf-8"?>
<table xmlns="http://schemas.openxmlformats.org/spreadsheetml/2006/main" ref="F59:I92" displayName="CMIG4_2" name="CMIG4_2" id="35">
  <tableColumns count="4">
    <tableColumn name="Tipo" id="1"/>
    <tableColumn name="Data COM" id="2"/>
    <tableColumn name="Pagamento" id="3"/>
    <tableColumn name="Valor" id="4"/>
  </tableColumns>
  <tableStyleInfo name="Decio_Bazin-style 32" showColumnStripes="0" showFirstColumn="1" showLastColumn="1" showRowStripes="1"/>
</table>
</file>

<file path=xl/tables/table44.xml><?xml version="1.0" encoding="utf-8"?>
<table xmlns="http://schemas.openxmlformats.org/spreadsheetml/2006/main" ref="K66:N75" displayName="ISAE4_2" name="ISAE4_2" id="36">
  <tableColumns count="4">
    <tableColumn name="Tipo" id="1"/>
    <tableColumn name="Data COM" id="2"/>
    <tableColumn name="Pagamento" id="3"/>
    <tableColumn name="Valor" id="4"/>
  </tableColumns>
  <tableStyleInfo name="Decio_Bazin-style 33" showColumnStripes="0" showFirstColumn="1" showLastColumn="1" showRowStripes="1"/>
</table>
</file>

<file path=xl/tables/table45.xml><?xml version="1.0" encoding="utf-8"?>
<table xmlns="http://schemas.openxmlformats.org/spreadsheetml/2006/main" ref="A76:D123" displayName="ITUB3_2" name="ITUB3_2" id="38">
  <tableColumns count="4">
    <tableColumn name="Tipo" id="1"/>
    <tableColumn name="Data COM" id="2"/>
    <tableColumn name="Pagamento" id="3"/>
    <tableColumn name="Valor" id="4"/>
  </tableColumns>
  <tableStyleInfo name="Decio_Bazin-style 34" showColumnStripes="0" showFirstColumn="1" showLastColumn="1" showRowStripes="1"/>
</table>
</file>

<file path=xl/tables/table46.xml><?xml version="1.0" encoding="utf-8"?>
<table xmlns="http://schemas.openxmlformats.org/spreadsheetml/2006/main" ref="K78:N86" displayName="VALE3_2" name="VALE3_2" id="39">
  <tableColumns count="4">
    <tableColumn name="Tipo" id="1"/>
    <tableColumn name="Data COM" id="2"/>
    <tableColumn name="Pagamento" id="3"/>
    <tableColumn name="Valor" id="4"/>
  </tableColumns>
  <tableStyleInfo name="Decio_Bazin-style 35" showColumnStripes="0" showFirstColumn="1" showLastColumn="1" showRowStripes="1"/>
</table>
</file>

<file path=xl/tables/table47.xml><?xml version="1.0" encoding="utf-8"?>
<table xmlns="http://schemas.openxmlformats.org/spreadsheetml/2006/main" ref="K89:N105" displayName="PETR4_2" name="PETR4_2" id="41">
  <tableColumns count="4">
    <tableColumn name="Tipo" id="1"/>
    <tableColumn name="Data COM" id="2"/>
    <tableColumn name="Pagamento" id="3"/>
    <tableColumn name="Valor" id="4"/>
  </tableColumns>
  <tableStyleInfo name="Decio_Bazin-style 36" showColumnStripes="0" showFirstColumn="1" showLastColumn="1" showRowStripes="1"/>
</table>
</file>

<file path=xl/tables/table48.xml><?xml version="1.0" encoding="utf-8"?>
<table xmlns="http://schemas.openxmlformats.org/spreadsheetml/2006/main" ref="F95:I100" displayName="BRBI11_2" name="BRBI11_2" id="42">
  <tableColumns count="4">
    <tableColumn name="Tipo" id="1"/>
    <tableColumn name="Data COM" id="2"/>
    <tableColumn name="Pagamento" id="3"/>
    <tableColumn name="Valor" id="4"/>
  </tableColumns>
  <tableStyleInfo name="Decio_Bazin-style 37" showColumnStripes="0" showFirstColumn="1" showLastColumn="1" showRowStripes="1"/>
</table>
</file>

<file path=xl/tables/table49.xml><?xml version="1.0" encoding="utf-8"?>
<table xmlns="http://schemas.openxmlformats.org/spreadsheetml/2006/main" ref="F103:I109" displayName="SAPR4_2" name="SAPR4_2" id="43">
  <tableColumns count="4">
    <tableColumn name="Tipo" id="1"/>
    <tableColumn name="Data COM" id="2"/>
    <tableColumn name="Pagamento" id="3"/>
    <tableColumn name="Valor" id="4"/>
  </tableColumns>
  <tableStyleInfo name="Decio_Bazin-style 38" showColumnStripes="0" showFirstColumn="1" showLastColumn="1" showRowStripes="1"/>
</table>
</file>

<file path=xl/tables/table50.xml><?xml version="1.0" encoding="utf-8"?>
<table xmlns="http://schemas.openxmlformats.org/spreadsheetml/2006/main" ref="A127:D174" displayName="ITSA4_2" name="ITSA4_2" id="44">
  <tableColumns count="4">
    <tableColumn name="Tipo" id="1"/>
    <tableColumn name="Data COM" id="2"/>
    <tableColumn name="Pagamento" id="3"/>
    <tableColumn name="Valor" id="4"/>
  </tableColumns>
  <tableStyleInfo name="Decio_Bazin-style 39" showColumnStripes="0" showFirstColumn="1" showLastColumn="1" showRowStripes="1"/>
</table>
</file>

<file path=xl/tables/table51.xml><?xml version="1.0" encoding="utf-8"?>
<table xmlns="http://schemas.openxmlformats.org/spreadsheetml/2006/main" ref="A2:G7" displayName="IPCA" name="IPCA" id="30">
  <tableColumns count="7">
    <tableColumn name="Título" id="1"/>
    <tableColumn name="Taxa de Compra" id="2"/>
    <tableColumn name="Preço_Uni" id="3"/>
    <tableColumn name="Taxa de Resgate" id="4"/>
    <tableColumn name="Preço Unitário de Resgate" id="5"/>
    <tableColumn name="Data/Hora da Atualização" id="6"/>
    <tableColumn name="Data do Vencimento" id="7"/>
  </tableColumns>
  <tableStyleInfo name="Indicadores-style" showColumnStripes="0" showFirstColumn="1" showLastColumn="1" showRowStripes="1"/>
</table>
</file>

<file path=xl/tables/table52.xml><?xml version="1.0" encoding="utf-8"?>
<table xmlns="http://schemas.openxmlformats.org/spreadsheetml/2006/main" ref="I2:J5" displayName="BCB" name="BCB" id="33">
  <tableColumns count="2">
    <tableColumn name="Renda" id="1"/>
    <tableColumn name="valor" id="2"/>
  </tableColumns>
  <tableStyleInfo name="Indicadores-style 2" showColumnStripes="0" showFirstColumn="1" showLastColumn="1" showRowStripes="1"/>
</table>
</file>

<file path=xl/tables/table53.xml><?xml version="1.0" encoding="utf-8"?>
<table xmlns="http://schemas.openxmlformats.org/spreadsheetml/2006/main" ref="A3:K14" displayName="Aporte_Mensal" name="Aporte_Mensal" id="45">
  <tableColumns count="11">
    <tableColumn name="Ticker" id="1"/>
    <tableColumn name="Está barato?" id="2"/>
    <tableColumn name="% atual" id="3"/>
    <tableColumn name="% ideal" id="4"/>
    <tableColumn name="Diferença" id="5"/>
    <tableColumn name="Nota" id="6"/>
    <tableColumn name="Peso do aporte" id="7"/>
    <tableColumn name="R$ Aportar" id="8"/>
    <tableColumn name="QTD_Compra" id="9"/>
    <tableColumn name="Valor_Total" id="10"/>
    <tableColumn name="% Somada" id="11"/>
  </tableColumns>
  <tableStyleInfo name="Aporte-style" showColumnStripes="0" showFirstColumn="1" showLastColumn="1" showRowStripes="1"/>
</table>
</file>

<file path=xl/tables/table54.xml><?xml version="1.0" encoding="utf-8"?>
<table xmlns="http://schemas.openxmlformats.org/spreadsheetml/2006/main" ref="A18:K28" displayName="Fiis_Aporte" name="Fiis_Aporte" id="46">
  <tableColumns count="11">
    <tableColumn name="Ticker" id="1"/>
    <tableColumn name="Está barato?" id="2"/>
    <tableColumn name="% atual" id="3"/>
    <tableColumn name="% ideal" id="4"/>
    <tableColumn name="Diferença" id="5"/>
    <tableColumn name="Nota" id="6"/>
    <tableColumn name="Peso do aporte" id="7"/>
    <tableColumn name="R$ Aportar" id="8"/>
    <tableColumn name="QTD_Compra" id="9"/>
    <tableColumn name="Valor_Total" id="10"/>
    <tableColumn name="% Somada" id="11"/>
  </tableColumns>
  <tableStyleInfo name="Aporte-style 2" showColumnStripes="0" showFirstColumn="1" showLastColumn="1" showRowStripes="1"/>
</table>
</file>

<file path=xl/tables/table55.xml><?xml version="1.0" encoding="utf-8"?>
<table xmlns="http://schemas.openxmlformats.org/spreadsheetml/2006/main" ref="A32:C56" displayName="Baratos" name="Baratos" id="47">
  <tableColumns count="3">
    <tableColumn name="Ticker" id="1"/>
    <tableColumn name="Está barato?" id="2"/>
    <tableColumn name="Valor" id="3"/>
  </tableColumns>
  <tableStyleInfo name="Aporte-style 3" showColumnStripes="0" showFirstColumn="1" showLastColumn="1" showRowStripes="1"/>
</table>
</file>

<file path=xl/tables/table56.xml><?xml version="1.0" encoding="utf-8"?>
<table xmlns="http://schemas.openxmlformats.org/spreadsheetml/2006/main" headerRowCount="0" ref="A88:C88" displayName="Table_2" name="Table_2" id="48">
  <tableColumns count="3">
    <tableColumn name="Column1" id="1"/>
    <tableColumn name="Column2" id="2"/>
    <tableColumn name="Column3" id="3"/>
  </tableColumns>
  <tableStyleInfo name="Aporte-style 4" showColumnStripes="0" showFirstColumn="1" showLastColumn="1" showRowStripes="1"/>
</table>
</file>

<file path=xl/tables/table57.xml><?xml version="1.0" encoding="utf-8"?>
<table xmlns="http://schemas.openxmlformats.org/spreadsheetml/2006/main" ref="A3:D15" displayName="Setores_Ações" name="Setores_Ações" id="49">
  <tableColumns count="4">
    <tableColumn name="ticker" id="1"/>
    <tableColumn name="setor" id="2"/>
    <tableColumn name="peso" id="3"/>
    <tableColumn name="financeiro" id="4"/>
  </tableColumns>
  <tableStyleInfo name="grafico-style" showColumnStripes="0" showFirstColumn="1" showLastColumn="1" showRowStripes="1"/>
</table>
</file>

<file path=xl/tables/table58.xml><?xml version="1.0" encoding="utf-8"?>
<table xmlns="http://schemas.openxmlformats.org/spreadsheetml/2006/main" ref="F3:H9" displayName="Total_Setor_Ações" name="Total_Setor_Ações" id="50">
  <tableColumns count="3">
    <tableColumn name="Setor" id="1"/>
    <tableColumn name="% do total" id="2"/>
    <tableColumn name="Total Investido" id="3"/>
  </tableColumns>
  <tableStyleInfo name="grafico-style 2" showColumnStripes="0" showFirstColumn="1" showLastColumn="1" showRowStripes="1"/>
</table>
</file>

<file path=xl/tables/table59.xml><?xml version="1.0" encoding="utf-8"?>
<table xmlns="http://schemas.openxmlformats.org/spreadsheetml/2006/main" ref="J3:M15" displayName="Peso_Ideal_Ações" name="Peso_Ideal_Ações" id="51">
  <tableColumns count="4">
    <tableColumn name="ticker" id="1"/>
    <tableColumn name="setor" id="2"/>
    <tableColumn name="peso" id="3"/>
    <tableColumn name="financeiro" id="4"/>
  </tableColumns>
  <tableStyleInfo name="grafico-style 3" showColumnStripes="0" showFirstColumn="1" showLastColumn="1" showRowStripes="1"/>
</table>
</file>

<file path=xl/tables/table60.xml><?xml version="1.0" encoding="utf-8"?>
<table xmlns="http://schemas.openxmlformats.org/spreadsheetml/2006/main" ref="O3:Q9" displayName="Total_Peso_Ideal_Ações" name="Total_Peso_Ideal_Ações" id="52">
  <tableColumns count="3">
    <tableColumn name="Setor" id="1"/>
    <tableColumn name="% do total" id="2"/>
    <tableColumn name="Total Investido" id="3"/>
  </tableColumns>
  <tableStyleInfo name="grafico-style 4" showColumnStripes="0" showFirstColumn="1" showLastColumn="1" showRowStripes="1"/>
</table>
</file>

<file path=xl/tables/table61.xml><?xml version="1.0" encoding="utf-8"?>
<table xmlns="http://schemas.openxmlformats.org/spreadsheetml/2006/main" ref="T3:W15" displayName="Peso_Setores_Ideal" name="Peso_Setores_Ideal" id="53">
  <tableColumns count="4">
    <tableColumn name="ticker" id="1"/>
    <tableColumn name="setor" id="2"/>
    <tableColumn name="peso" id="3"/>
    <tableColumn name="financeiro" id="4"/>
  </tableColumns>
  <tableStyleInfo name="grafico-style 5" showColumnStripes="0" showFirstColumn="1" showLastColumn="1" showRowStripes="1"/>
</table>
</file>

<file path=xl/tables/table62.xml><?xml version="1.0" encoding="utf-8"?>
<table xmlns="http://schemas.openxmlformats.org/spreadsheetml/2006/main" ref="Y3:AA8" displayName="Peso_Total_Setores_Ideal" name="Peso_Total_Setores_Ideal" id="54">
  <tableColumns count="3">
    <tableColumn name="Setor" id="1"/>
    <tableColumn name="% do total" id="2"/>
    <tableColumn name="Total Investido" id="3"/>
  </tableColumns>
  <tableStyleInfo name="grafico-style 6" showColumnStripes="0" showFirstColumn="1" showLastColumn="1" showRowStripes="1"/>
</table>
</file>

<file path=xl/tables/table63.xml><?xml version="1.0" encoding="utf-8"?>
<table xmlns="http://schemas.openxmlformats.org/spreadsheetml/2006/main" headerRowCount="0" ref="F18:F19" displayName="Table_3" name="Table_3" id="55">
  <tableColumns count="1">
    <tableColumn name="Column1" id="1"/>
  </tableColumns>
  <tableStyleInfo name="grafico-style 7" showColumnStripes="0" showFirstColumn="1" showLastColumn="1" showRowStripes="1"/>
</table>
</file>

<file path=xl/tables/table64.xml><?xml version="1.0" encoding="utf-8"?>
<table xmlns="http://schemas.openxmlformats.org/spreadsheetml/2006/main" ref="F29:H42" displayName="Segmento" name="Segmento" id="56">
  <tableColumns count="3">
    <tableColumn name="Sub_Setor" id="1"/>
    <tableColumn name="% do Total" id="2"/>
    <tableColumn name="Total Investido" id="3"/>
  </tableColumns>
  <tableStyleInfo name="grafico-style 8" showColumnStripes="0" showFirstColumn="1" showLastColumn="1" showRowStripes="1"/>
</table>
</file>

<file path=xl/tables/table65.xml><?xml version="1.0" encoding="utf-8"?>
<table xmlns="http://schemas.openxmlformats.org/spreadsheetml/2006/main" ref="A30:D56" displayName="Grafico_Total" name="Grafico_Total" id="57">
  <tableColumns count="4">
    <tableColumn name="ticker" id="1"/>
    <tableColumn name="setor" id="2"/>
    <tableColumn name="peso" id="3"/>
    <tableColumn name="financeiro" id="4"/>
  </tableColumns>
  <tableStyleInfo name="grafico-style 9" showColumnStripes="0" showFirstColumn="1" showLastColumn="1" showRowStripes="1"/>
</table>
</file>

<file path=xl/tables/table66.xml><?xml version="1.0" encoding="utf-8"?>
<table xmlns="http://schemas.openxmlformats.org/spreadsheetml/2006/main" ref="A60:G73" displayName="Setores_FIIs" name="Setores_FIIs" id="58">
  <tableColumns count="7">
    <tableColumn name="Fundo" id="1"/>
    <tableColumn name="Segmento" id="2"/>
    <tableColumn name="Classificação de Risco" id="3"/>
    <tableColumn name="Qtidade Cotas Atual" id="4"/>
    <tableColumn name="Cotação Atual" id="5"/>
    <tableColumn name="Saldo Atual" id="6"/>
    <tableColumn name="Posição" id="7"/>
  </tableColumns>
  <tableStyleInfo name="grafico-style 10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9.xml"/><Relationship Id="rId6" Type="http://schemas.openxmlformats.org/officeDocument/2006/relationships/table" Target="../tables/table10.xml"/><Relationship Id="rId7" Type="http://schemas.openxmlformats.org/officeDocument/2006/relationships/table" Target="../tables/table11.xml"/></Relationships>
</file>

<file path=xl/worksheets/_rels/sheet3.xml.rels><?xml version="1.0" encoding="UTF-8" standalone="yes"?><Relationships xmlns="http://schemas.openxmlformats.org/package/2006/relationships"><Relationship Id="rId62" Type="http://schemas.openxmlformats.org/officeDocument/2006/relationships/table" Target="../tables/table33.xml"/><Relationship Id="rId61" Type="http://schemas.openxmlformats.org/officeDocument/2006/relationships/table" Target="../tables/table32.xml"/><Relationship Id="rId42" Type="http://schemas.openxmlformats.org/officeDocument/2006/relationships/table" Target="../tables/table13.xml"/><Relationship Id="rId64" Type="http://schemas.openxmlformats.org/officeDocument/2006/relationships/table" Target="../tables/table35.xml"/><Relationship Id="rId41" Type="http://schemas.openxmlformats.org/officeDocument/2006/relationships/table" Target="../tables/table12.xml"/><Relationship Id="rId63" Type="http://schemas.openxmlformats.org/officeDocument/2006/relationships/table" Target="../tables/table34.xml"/><Relationship Id="rId44" Type="http://schemas.openxmlformats.org/officeDocument/2006/relationships/table" Target="../tables/table15.xml"/><Relationship Id="rId66" Type="http://schemas.openxmlformats.org/officeDocument/2006/relationships/table" Target="../tables/table37.xml"/><Relationship Id="rId43" Type="http://schemas.openxmlformats.org/officeDocument/2006/relationships/table" Target="../tables/table14.xml"/><Relationship Id="rId65" Type="http://schemas.openxmlformats.org/officeDocument/2006/relationships/table" Target="../tables/table36.xml"/><Relationship Id="rId46" Type="http://schemas.openxmlformats.org/officeDocument/2006/relationships/table" Target="../tables/table17.xml"/><Relationship Id="rId68" Type="http://schemas.openxmlformats.org/officeDocument/2006/relationships/table" Target="../tables/table39.xml"/><Relationship Id="rId45" Type="http://schemas.openxmlformats.org/officeDocument/2006/relationships/table" Target="../tables/table16.xml"/><Relationship Id="rId67" Type="http://schemas.openxmlformats.org/officeDocument/2006/relationships/table" Target="../tables/table38.xml"/><Relationship Id="rId60" Type="http://schemas.openxmlformats.org/officeDocument/2006/relationships/table" Target="../tables/table31.xml"/><Relationship Id="rId1" Type="http://schemas.openxmlformats.org/officeDocument/2006/relationships/drawing" Target="../drawings/drawing3.xml"/><Relationship Id="rId48" Type="http://schemas.openxmlformats.org/officeDocument/2006/relationships/table" Target="../tables/table19.xml"/><Relationship Id="rId47" Type="http://schemas.openxmlformats.org/officeDocument/2006/relationships/table" Target="../tables/table18.xml"/><Relationship Id="rId69" Type="http://schemas.openxmlformats.org/officeDocument/2006/relationships/table" Target="../tables/table40.xml"/><Relationship Id="rId49" Type="http://schemas.openxmlformats.org/officeDocument/2006/relationships/table" Target="../tables/table20.xml"/><Relationship Id="rId51" Type="http://schemas.openxmlformats.org/officeDocument/2006/relationships/table" Target="../tables/table22.xml"/><Relationship Id="rId73" Type="http://schemas.openxmlformats.org/officeDocument/2006/relationships/table" Target="../tables/table44.xml"/><Relationship Id="rId50" Type="http://schemas.openxmlformats.org/officeDocument/2006/relationships/table" Target="../tables/table21.xml"/><Relationship Id="rId72" Type="http://schemas.openxmlformats.org/officeDocument/2006/relationships/table" Target="../tables/table43.xml"/><Relationship Id="rId53" Type="http://schemas.openxmlformats.org/officeDocument/2006/relationships/table" Target="../tables/table24.xml"/><Relationship Id="rId75" Type="http://schemas.openxmlformats.org/officeDocument/2006/relationships/table" Target="../tables/table46.xml"/><Relationship Id="rId52" Type="http://schemas.openxmlformats.org/officeDocument/2006/relationships/table" Target="../tables/table23.xml"/><Relationship Id="rId74" Type="http://schemas.openxmlformats.org/officeDocument/2006/relationships/table" Target="../tables/table45.xml"/><Relationship Id="rId55" Type="http://schemas.openxmlformats.org/officeDocument/2006/relationships/table" Target="../tables/table26.xml"/><Relationship Id="rId77" Type="http://schemas.openxmlformats.org/officeDocument/2006/relationships/table" Target="../tables/table48.xml"/><Relationship Id="rId54" Type="http://schemas.openxmlformats.org/officeDocument/2006/relationships/table" Target="../tables/table25.xml"/><Relationship Id="rId76" Type="http://schemas.openxmlformats.org/officeDocument/2006/relationships/table" Target="../tables/table47.xml"/><Relationship Id="rId57" Type="http://schemas.openxmlformats.org/officeDocument/2006/relationships/table" Target="../tables/table28.xml"/><Relationship Id="rId79" Type="http://schemas.openxmlformats.org/officeDocument/2006/relationships/table" Target="../tables/table50.xml"/><Relationship Id="rId56" Type="http://schemas.openxmlformats.org/officeDocument/2006/relationships/table" Target="../tables/table27.xml"/><Relationship Id="rId78" Type="http://schemas.openxmlformats.org/officeDocument/2006/relationships/table" Target="../tables/table49.xml"/><Relationship Id="rId71" Type="http://schemas.openxmlformats.org/officeDocument/2006/relationships/table" Target="../tables/table42.xml"/><Relationship Id="rId70" Type="http://schemas.openxmlformats.org/officeDocument/2006/relationships/table" Target="../tables/table41.xml"/><Relationship Id="rId59" Type="http://schemas.openxmlformats.org/officeDocument/2006/relationships/table" Target="../tables/table30.xml"/><Relationship Id="rId58" Type="http://schemas.openxmlformats.org/officeDocument/2006/relationships/table" Target="../tables/table29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51.xml"/><Relationship Id="rId5" Type="http://schemas.openxmlformats.org/officeDocument/2006/relationships/table" Target="../tables/table5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9" Type="http://schemas.openxmlformats.org/officeDocument/2006/relationships/table" Target="../tables/table56.xml"/><Relationship Id="rId6" Type="http://schemas.openxmlformats.org/officeDocument/2006/relationships/table" Target="../tables/table53.xml"/><Relationship Id="rId7" Type="http://schemas.openxmlformats.org/officeDocument/2006/relationships/table" Target="../tables/table54.xml"/><Relationship Id="rId8" Type="http://schemas.openxmlformats.org/officeDocument/2006/relationships/table" Target="../tables/table55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table" Target="../tables/table65.xml"/><Relationship Id="rId21" Type="http://schemas.openxmlformats.org/officeDocument/2006/relationships/table" Target="../tables/table66.xml"/><Relationship Id="rId1" Type="http://schemas.openxmlformats.org/officeDocument/2006/relationships/drawing" Target="../drawings/drawing6.xml"/><Relationship Id="rId13" Type="http://schemas.openxmlformats.org/officeDocument/2006/relationships/table" Target="../tables/table58.xml"/><Relationship Id="rId12" Type="http://schemas.openxmlformats.org/officeDocument/2006/relationships/table" Target="../tables/table57.xml"/><Relationship Id="rId15" Type="http://schemas.openxmlformats.org/officeDocument/2006/relationships/table" Target="../tables/table60.xml"/><Relationship Id="rId14" Type="http://schemas.openxmlformats.org/officeDocument/2006/relationships/table" Target="../tables/table59.xml"/><Relationship Id="rId17" Type="http://schemas.openxmlformats.org/officeDocument/2006/relationships/table" Target="../tables/table62.xml"/><Relationship Id="rId16" Type="http://schemas.openxmlformats.org/officeDocument/2006/relationships/table" Target="../tables/table61.xml"/><Relationship Id="rId19" Type="http://schemas.openxmlformats.org/officeDocument/2006/relationships/table" Target="../tables/table64.xml"/><Relationship Id="rId18" Type="http://schemas.openxmlformats.org/officeDocument/2006/relationships/table" Target="../tables/table6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4.63"/>
    <col customWidth="1" min="3" max="3" width="15.63"/>
    <col customWidth="1" min="4" max="4" width="14.13"/>
    <col customWidth="1" min="5" max="5" width="13.5"/>
    <col customWidth="1" min="6" max="6" width="14.63"/>
    <col customWidth="1" min="7" max="7" width="18.38"/>
    <col customWidth="1" min="8" max="8" width="20.38"/>
    <col customWidth="1" min="9" max="9" width="17.88"/>
    <col customWidth="1" min="10" max="10" width="15.0"/>
    <col customWidth="1" min="11" max="11" width="17.0"/>
    <col customWidth="1" min="12" max="12" width="16.0"/>
    <col customWidth="1" min="13" max="13" width="15.25"/>
    <col customWidth="1" min="14" max="14" width="20.5"/>
    <col customWidth="1" min="15" max="15" width="16.88"/>
    <col customWidth="1" min="16" max="16" width="17.5"/>
    <col customWidth="1" min="17" max="17" width="19.38"/>
    <col customWidth="1" min="18" max="18" width="23.0"/>
    <col customWidth="1" min="19" max="19" width="16.13"/>
    <col customWidth="1" min="20" max="21" width="17.38"/>
    <col customWidth="1" min="22" max="22" width="17.75"/>
    <col customWidth="1" min="23" max="23" width="22.13"/>
  </cols>
  <sheetData>
    <row r="1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S1" s="146"/>
      <c r="T1" s="54"/>
      <c r="V1" s="147"/>
      <c r="W1" s="148"/>
    </row>
    <row r="2" ht="22.5" customHeight="1">
      <c r="A2" s="1" t="s">
        <v>65</v>
      </c>
      <c r="B2" s="1" t="s">
        <v>162</v>
      </c>
      <c r="C2" s="1" t="s">
        <v>163</v>
      </c>
      <c r="D2" s="50" t="s">
        <v>164</v>
      </c>
      <c r="E2" s="58"/>
      <c r="F2" s="149" t="s">
        <v>24</v>
      </c>
      <c r="G2" s="58"/>
      <c r="H2" s="58"/>
      <c r="I2" s="58"/>
      <c r="J2" s="58"/>
      <c r="K2" s="58"/>
      <c r="L2" s="58"/>
      <c r="M2" s="58"/>
      <c r="N2" s="58"/>
      <c r="O2" s="58"/>
      <c r="V2" s="150"/>
    </row>
    <row r="3" ht="22.5" customHeight="1">
      <c r="A3" s="151" t="s">
        <v>165</v>
      </c>
      <c r="B3" s="152">
        <f>SUM(Ações_Nacionais[Financeiro])</f>
        <v>40893</v>
      </c>
      <c r="C3" s="153">
        <f t="shared" ref="C3:C8" si="1">IFERROR((B3/$B$9), 0)</f>
        <v>0.3064759146</v>
      </c>
      <c r="D3" s="154">
        <v>0.45</v>
      </c>
      <c r="E3" s="58"/>
      <c r="F3" s="155">
        <f>Indicadores!J3</f>
        <v>0.139</v>
      </c>
      <c r="G3" s="58"/>
      <c r="H3" s="58"/>
      <c r="I3" s="58"/>
      <c r="J3" s="58"/>
      <c r="K3" s="58"/>
      <c r="L3" s="58"/>
      <c r="M3" s="58"/>
      <c r="N3" s="58"/>
      <c r="O3" s="58"/>
      <c r="R3" s="142"/>
      <c r="S3" s="157"/>
    </row>
    <row r="4" ht="22.5" customHeight="1">
      <c r="A4" s="151" t="s">
        <v>169</v>
      </c>
      <c r="B4" s="161">
        <f>SUM(Fiis[Financeiro])</f>
        <v>51728</v>
      </c>
      <c r="C4" s="153">
        <f t="shared" si="1"/>
        <v>0.3876797034</v>
      </c>
      <c r="D4" s="154">
        <v>0.25</v>
      </c>
      <c r="E4" s="58"/>
      <c r="F4" s="149" t="s">
        <v>28</v>
      </c>
      <c r="G4" s="162"/>
      <c r="H4" s="163"/>
      <c r="I4" s="164"/>
      <c r="J4" s="58"/>
      <c r="K4" s="58"/>
      <c r="L4" s="58"/>
      <c r="M4" s="58"/>
      <c r="N4" s="58"/>
      <c r="O4" s="58"/>
      <c r="R4" s="142"/>
    </row>
    <row r="5" ht="22.5" customHeight="1">
      <c r="A5" s="151" t="s">
        <v>158</v>
      </c>
      <c r="B5" s="161">
        <f>SUM(Renda_Fixa[Financeiro])</f>
        <v>29920.86414</v>
      </c>
      <c r="C5" s="153">
        <f t="shared" si="1"/>
        <v>0.22424435</v>
      </c>
      <c r="D5" s="154">
        <v>0.12</v>
      </c>
      <c r="E5" s="58"/>
      <c r="F5" s="165">
        <f>Indicadores!J4</f>
        <v>0.04443024618</v>
      </c>
      <c r="G5" s="164"/>
      <c r="H5" s="58"/>
      <c r="I5" s="58"/>
      <c r="J5" s="58"/>
      <c r="K5" s="58"/>
      <c r="L5" s="58"/>
      <c r="M5" s="58"/>
      <c r="N5" s="58"/>
      <c r="O5" s="58"/>
    </row>
    <row r="6" ht="22.5" customHeight="1">
      <c r="A6" s="151" t="s">
        <v>183</v>
      </c>
      <c r="B6" s="152">
        <f>SUM(Etfs[financeiro])</f>
        <v>5747.30487</v>
      </c>
      <c r="C6" s="153">
        <f t="shared" si="1"/>
        <v>0.04307364382</v>
      </c>
      <c r="D6" s="154">
        <v>0.14</v>
      </c>
      <c r="E6" s="58"/>
      <c r="F6" s="163"/>
      <c r="G6" s="164"/>
      <c r="H6" s="162"/>
      <c r="I6" s="162"/>
      <c r="J6" s="58"/>
      <c r="K6" s="58"/>
      <c r="L6" s="58"/>
      <c r="M6" s="58"/>
      <c r="N6" s="58"/>
      <c r="O6" s="58"/>
    </row>
    <row r="7" ht="22.5" customHeight="1">
      <c r="A7" s="151" t="s">
        <v>161</v>
      </c>
      <c r="B7" s="161">
        <f>SUM(Tesouro[Financeiro])</f>
        <v>1908.4273</v>
      </c>
      <c r="C7" s="153">
        <f t="shared" si="1"/>
        <v>0.01430286363</v>
      </c>
      <c r="D7" s="154">
        <v>0.02</v>
      </c>
      <c r="E7" s="58"/>
      <c r="F7" s="163"/>
      <c r="G7" s="164"/>
      <c r="H7" s="162"/>
      <c r="I7" s="162"/>
      <c r="J7" s="58"/>
      <c r="K7" s="58"/>
      <c r="L7" s="58"/>
      <c r="M7" s="58"/>
      <c r="N7" s="58"/>
      <c r="O7" s="58"/>
    </row>
    <row r="8" ht="22.5" customHeight="1">
      <c r="A8" s="167" t="s">
        <v>160</v>
      </c>
      <c r="B8" s="168">
        <f>SUM(Cripto[financeiro])</f>
        <v>3232.138443</v>
      </c>
      <c r="C8" s="169">
        <f t="shared" si="1"/>
        <v>0.02422352446</v>
      </c>
      <c r="D8" s="170">
        <v>0.02</v>
      </c>
      <c r="E8" s="58"/>
      <c r="F8" s="163"/>
      <c r="G8" s="164"/>
      <c r="H8" s="162"/>
      <c r="I8" s="162"/>
      <c r="J8" s="58"/>
      <c r="K8" s="58"/>
      <c r="L8" s="58"/>
      <c r="M8" s="58"/>
      <c r="N8" s="58"/>
      <c r="O8" s="58"/>
    </row>
    <row r="9" ht="22.5" customHeight="1">
      <c r="A9" s="151" t="s">
        <v>162</v>
      </c>
      <c r="B9" s="161">
        <f t="shared" ref="B9:D9" si="2">SUM(B3:B8)</f>
        <v>133429.7348</v>
      </c>
      <c r="C9" s="173">
        <f t="shared" si="2"/>
        <v>1</v>
      </c>
      <c r="D9" s="175">
        <f t="shared" si="2"/>
        <v>1</v>
      </c>
      <c r="E9" s="58"/>
      <c r="F9" s="58"/>
      <c r="G9" s="58"/>
      <c r="H9" s="58"/>
      <c r="I9" s="58"/>
      <c r="J9" s="58"/>
      <c r="K9" s="58"/>
      <c r="L9" s="163"/>
      <c r="M9" s="164"/>
      <c r="N9" s="162"/>
      <c r="O9" s="162"/>
    </row>
    <row r="10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163"/>
      <c r="N10" s="164"/>
      <c r="O10" s="162"/>
      <c r="P10" s="5"/>
    </row>
    <row r="11">
      <c r="E11" s="58"/>
      <c r="F11" s="58"/>
      <c r="G11" s="58"/>
      <c r="H11" s="58"/>
      <c r="I11" s="58"/>
      <c r="J11" s="58"/>
      <c r="K11" s="58"/>
      <c r="L11" s="58"/>
      <c r="M11" s="163"/>
      <c r="N11" s="164"/>
      <c r="O11" s="162"/>
      <c r="P11" s="5"/>
    </row>
    <row r="12">
      <c r="E12" s="58"/>
      <c r="F12" s="58"/>
      <c r="G12" s="58"/>
      <c r="H12" s="58"/>
      <c r="I12" s="58"/>
      <c r="J12" s="58"/>
      <c r="K12" s="58"/>
      <c r="L12" s="58"/>
      <c r="M12" s="163"/>
      <c r="N12" s="164"/>
      <c r="O12" s="162"/>
      <c r="P12" s="5"/>
    </row>
    <row r="13">
      <c r="E13" s="58"/>
      <c r="F13" s="58"/>
      <c r="G13" s="58"/>
      <c r="H13" s="58"/>
      <c r="I13" s="58"/>
      <c r="J13" s="58"/>
      <c r="K13" s="58"/>
      <c r="L13" s="58"/>
      <c r="M13" s="163"/>
      <c r="N13" s="164"/>
      <c r="O13" s="162"/>
      <c r="P13" s="5"/>
    </row>
    <row r="14">
      <c r="E14" s="58"/>
      <c r="F14" s="58"/>
      <c r="G14" s="58"/>
      <c r="H14" s="58"/>
      <c r="I14" s="58"/>
      <c r="J14" s="58"/>
      <c r="K14" s="58"/>
      <c r="L14" s="58"/>
      <c r="M14" s="163"/>
      <c r="N14" s="164"/>
      <c r="O14" s="162"/>
      <c r="P14" s="5"/>
    </row>
    <row r="15">
      <c r="E15" s="58"/>
      <c r="F15" s="58"/>
      <c r="G15" s="58"/>
      <c r="H15" s="58"/>
      <c r="I15" s="58"/>
      <c r="J15" s="58"/>
      <c r="K15" s="58"/>
      <c r="L15" s="58"/>
      <c r="M15" s="163"/>
      <c r="N15" s="164"/>
      <c r="O15" s="162"/>
      <c r="P15" s="5"/>
    </row>
    <row r="16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163"/>
      <c r="N16" s="186"/>
      <c r="O16" s="162"/>
      <c r="P16" s="5"/>
      <c r="Q16" s="5"/>
    </row>
    <row r="17">
      <c r="A17" s="188"/>
      <c r="B17" s="189"/>
      <c r="C17" s="190"/>
      <c r="D17" s="190"/>
      <c r="E17" s="190"/>
      <c r="F17" s="190"/>
      <c r="G17" s="58"/>
      <c r="H17" s="58"/>
      <c r="I17" s="58"/>
      <c r="J17" s="58"/>
      <c r="K17" s="58"/>
      <c r="L17" s="58"/>
      <c r="M17" s="163"/>
      <c r="N17" s="186"/>
      <c r="O17" s="162"/>
      <c r="Q17" s="5"/>
    </row>
    <row r="18">
      <c r="A18" s="188"/>
      <c r="B18" s="189"/>
      <c r="C18" s="190"/>
      <c r="D18" s="191"/>
      <c r="E18" s="192"/>
      <c r="F18" s="190"/>
      <c r="G18" s="58"/>
      <c r="H18" s="58"/>
      <c r="I18" s="58"/>
      <c r="J18" s="58"/>
      <c r="K18" s="58"/>
      <c r="L18" s="58"/>
      <c r="M18" s="163"/>
      <c r="N18" s="186"/>
      <c r="O18" s="162"/>
      <c r="P18" s="5"/>
      <c r="Q18" s="5"/>
    </row>
    <row r="19">
      <c r="A19" s="193"/>
      <c r="C19" s="190"/>
      <c r="D19" s="191"/>
      <c r="E19" s="192"/>
      <c r="F19" s="190"/>
      <c r="G19" s="58"/>
      <c r="H19" s="58"/>
      <c r="I19" s="58"/>
      <c r="J19" s="58"/>
      <c r="K19" s="58"/>
      <c r="L19" s="58"/>
      <c r="M19" s="194"/>
      <c r="N19" s="186"/>
      <c r="O19" s="162"/>
      <c r="P19" s="5"/>
      <c r="Q19" s="5"/>
    </row>
    <row r="20">
      <c r="A20" s="59"/>
      <c r="B20" s="59"/>
      <c r="C20" s="190"/>
      <c r="D20" s="191"/>
      <c r="E20" s="195"/>
      <c r="F20" s="190"/>
      <c r="G20" s="197"/>
      <c r="H20" s="197"/>
      <c r="I20" s="197"/>
      <c r="J20" s="58"/>
      <c r="K20" s="58"/>
      <c r="L20" s="197"/>
      <c r="M20" s="59"/>
      <c r="N20" s="198"/>
      <c r="O20" s="197"/>
      <c r="P20" s="199"/>
      <c r="Q20" s="199"/>
      <c r="R20" s="199"/>
      <c r="S20" s="199"/>
      <c r="T20" s="199"/>
      <c r="U20" s="199"/>
      <c r="V20" s="199"/>
      <c r="W20" s="199"/>
    </row>
    <row r="21" ht="22.5" customHeight="1">
      <c r="A21" s="1" t="s">
        <v>70</v>
      </c>
      <c r="B21" s="1" t="s">
        <v>10</v>
      </c>
      <c r="C21" s="1" t="s">
        <v>210</v>
      </c>
      <c r="D21" s="4" t="s">
        <v>76</v>
      </c>
      <c r="E21" s="4" t="s">
        <v>164</v>
      </c>
      <c r="F21" s="1" t="s">
        <v>141</v>
      </c>
      <c r="G21" s="4" t="s">
        <v>211</v>
      </c>
      <c r="H21" s="4" t="s">
        <v>212</v>
      </c>
      <c r="I21" s="4" t="s">
        <v>213</v>
      </c>
      <c r="J21" s="4" t="s">
        <v>214</v>
      </c>
      <c r="K21" s="1" t="s">
        <v>215</v>
      </c>
      <c r="L21" s="8" t="s">
        <v>216</v>
      </c>
      <c r="M21" s="4" t="s">
        <v>217</v>
      </c>
      <c r="N21" s="4" t="s">
        <v>218</v>
      </c>
      <c r="O21" s="4" t="s">
        <v>219</v>
      </c>
      <c r="P21" s="8" t="s">
        <v>41</v>
      </c>
    </row>
    <row r="22" ht="22.5" customHeight="1">
      <c r="A22" s="200">
        <v>100.0</v>
      </c>
      <c r="B22" s="52" t="s">
        <v>30</v>
      </c>
      <c r="C22" s="201">
        <f t="shared" ref="C22:C34" si="3">IFERROR((F22/$B$9), 0)</f>
        <v>0.01381251341</v>
      </c>
      <c r="D22" s="202">
        <v>10.0</v>
      </c>
      <c r="E22" s="203">
        <f>(D22/SUM(Ações_Nacionais[Nota]))*$D$3</f>
        <v>0.0375</v>
      </c>
      <c r="F22" s="204">
        <f t="shared" ref="F22:F34" si="4">A22*K22</f>
        <v>1843</v>
      </c>
      <c r="G22" s="205">
        <f>IFERROR(__xludf.DUMMYFUNCTION("IFERROR(QUERY(IMPORTRANGE(""https://docs.google.com/spreadsheets/d/1ujByqR8S8LRZ2kRtkvuCwCRPYw31ta3JdfXYcMP7NC4/edit?usp=sharing"", ""Indicadores_Ações!A30:B""), ""SELECT Col2 WHERE Col1 = '""&amp;B22  &amp;""'"", 0), 0)"),24.63079005370153)</f>
        <v>24.63079005</v>
      </c>
      <c r="H22" s="206">
        <v>0.2</v>
      </c>
      <c r="I22" s="205">
        <f t="shared" ref="I22:I34" si="5">G22*(1-H22)</f>
        <v>19.70463204</v>
      </c>
      <c r="J22" s="207">
        <f t="shared" ref="J22:J34" si="6">1-(K22/G22)</f>
        <v>0.2517495395</v>
      </c>
      <c r="K22" s="208">
        <f>IFERROR(__xludf.DUMMYFUNCTION("(GOOGLEFINANCE(""BVMF:"" &amp; B22))"),18.43)</f>
        <v>18.43</v>
      </c>
      <c r="L22" s="209">
        <f t="shared" ref="L22:L34" si="7">O22/N22</f>
        <v>16.92082433</v>
      </c>
      <c r="M22" s="210">
        <f t="shared" ref="M22:M34" si="8">O22/K22</f>
        <v>0.05508678568</v>
      </c>
      <c r="N22" s="210">
        <v>0.06</v>
      </c>
      <c r="O22" s="211">
        <f t="array" ref="O22">IFERROR(INDEX(DPA[], MATCH(B22, DPA[Ação], 0), MATCH(DPA[[#HEADERS],[Media_DPA_3Anos]], DPA[#HEADERS], 0)),"")</f>
        <v>1.01524946</v>
      </c>
      <c r="P22" s="18">
        <f t="shared" ref="P22:P34" si="9">O22*A22</f>
        <v>101.524946</v>
      </c>
    </row>
    <row r="23" ht="22.5" customHeight="1">
      <c r="A23" s="200">
        <v>100.0</v>
      </c>
      <c r="B23" s="212" t="s">
        <v>62</v>
      </c>
      <c r="C23" s="213">
        <f t="shared" si="3"/>
        <v>0.009368226672</v>
      </c>
      <c r="D23" s="214">
        <v>10.0</v>
      </c>
      <c r="E23" s="203">
        <f>(D23/SUM(Ações_Nacionais[Nota]))*$D$3</f>
        <v>0.0375</v>
      </c>
      <c r="F23" s="215">
        <f t="shared" si="4"/>
        <v>1250</v>
      </c>
      <c r="G23" s="205">
        <f>IFERROR(__xludf.DUMMYFUNCTION("IFERROR(QUERY(IMPORTRANGE(""https://docs.google.com/spreadsheets/d/1ujByqR8S8LRZ2kRtkvuCwCRPYw31ta3JdfXYcMP7NC4/edit?usp=sharing"", ""Indicadores_Ações!A30:B""), ""SELECT Col2 WHERE Col1 = '""&amp;B23  &amp;""'"", 0), 0)"),15.042719947244418)</f>
        <v>15.04271995</v>
      </c>
      <c r="H23" s="206">
        <v>0.17</v>
      </c>
      <c r="I23" s="216">
        <f t="shared" si="5"/>
        <v>12.48545756</v>
      </c>
      <c r="J23" s="207">
        <f t="shared" si="6"/>
        <v>0.169033257</v>
      </c>
      <c r="K23" s="217">
        <f>IFERROR(__xludf.DUMMYFUNCTION("(GOOGLEFINANCE(""BVMF:"" &amp; B23))"),12.5)</f>
        <v>12.5</v>
      </c>
      <c r="L23" s="218">
        <f t="shared" si="7"/>
        <v>10.45497463</v>
      </c>
      <c r="M23" s="219">
        <f t="shared" si="8"/>
        <v>0.083639797</v>
      </c>
      <c r="N23" s="210">
        <v>0.1</v>
      </c>
      <c r="O23" s="211">
        <f t="array" ref="O23">IFERROR(INDEX(DPA[], MATCH(B23, DPA[Ação], 0), MATCH(DPA[[#HEADERS],[Media_DPA_3Anos]], DPA[#HEADERS], 0)),"")</f>
        <v>1.045497463</v>
      </c>
      <c r="P23" s="220">
        <f t="shared" si="9"/>
        <v>104.5497463</v>
      </c>
    </row>
    <row r="24" ht="22.5" customHeight="1">
      <c r="A24" s="200">
        <v>100.0</v>
      </c>
      <c r="B24" s="95" t="s">
        <v>39</v>
      </c>
      <c r="C24" s="221">
        <f t="shared" si="3"/>
        <v>0.009105916325</v>
      </c>
      <c r="D24" s="202">
        <v>0.0</v>
      </c>
      <c r="E24" s="203">
        <f>(D24/SUM(Ações_Nacionais[Nota]))*$D$3</f>
        <v>0</v>
      </c>
      <c r="F24" s="204">
        <f t="shared" si="4"/>
        <v>1215</v>
      </c>
      <c r="G24" s="205">
        <f>IFERROR(__xludf.DUMMYFUNCTION("IFERROR(QUERY(IMPORTRANGE(""https://docs.google.com/spreadsheets/d/1ujByqR8S8LRZ2kRtkvuCwCRPYw31ta3JdfXYcMP7NC4/edit?usp=sharing"", ""Indicadores_Ações!A30:B""), ""SELECT Col2 WHERE Col1 = '""&amp;B24  &amp;""'"", 0), 0)"),14.327743339727128)</f>
        <v>14.32774334</v>
      </c>
      <c r="H24" s="206">
        <v>0.2</v>
      </c>
      <c r="I24" s="205">
        <f t="shared" si="5"/>
        <v>11.46219467</v>
      </c>
      <c r="J24" s="207">
        <f t="shared" si="6"/>
        <v>0.1519948598</v>
      </c>
      <c r="K24" s="204">
        <f>IFERROR(__xludf.DUMMYFUNCTION("(GOOGLEFINANCE(""BVMF:"" &amp; B24))"),12.15)</f>
        <v>12.15</v>
      </c>
      <c r="L24" s="209">
        <f t="shared" si="7"/>
        <v>15.5</v>
      </c>
      <c r="M24" s="210">
        <f t="shared" si="8"/>
        <v>0.1530864198</v>
      </c>
      <c r="N24" s="210">
        <v>0.12</v>
      </c>
      <c r="O24" s="211">
        <f t="array" ref="O24">IFERROR(INDEX(DPA[], MATCH(B24, DPA[Ação], 0), MATCH(DPA[[#HEADERS],[Media_DPA_3Anos]], DPA[#HEADERS], 0)),"")</f>
        <v>1.86</v>
      </c>
      <c r="P24" s="18">
        <f t="shared" si="9"/>
        <v>186</v>
      </c>
    </row>
    <row r="25" ht="22.5" customHeight="1">
      <c r="A25" s="200">
        <v>100.0</v>
      </c>
      <c r="B25" s="222" t="s">
        <v>220</v>
      </c>
      <c r="C25" s="223">
        <f t="shared" si="3"/>
        <v>0.02892908396</v>
      </c>
      <c r="D25" s="224">
        <v>10.0</v>
      </c>
      <c r="E25" s="203">
        <f>(D25/SUM(Ações_Nacionais[Nota]))*$D$3</f>
        <v>0.0375</v>
      </c>
      <c r="F25" s="217">
        <f t="shared" si="4"/>
        <v>3860</v>
      </c>
      <c r="G25" s="205">
        <f>IFERROR(__xludf.DUMMYFUNCTION("IFERROR(QUERY(IMPORTRANGE(""https://docs.google.com/spreadsheets/d/1ujByqR8S8LRZ2kRtkvuCwCRPYw31ta3JdfXYcMP7NC4/edit?usp=sharing"", ""Indicadores_Ações!A30:B""), ""SELECT Col2 WHERE Col1 = '""&amp;""ITUB3""  &amp;""'"", 0), 0)"),43.47196062603119)</f>
        <v>43.47196063</v>
      </c>
      <c r="H25" s="206">
        <v>0.15</v>
      </c>
      <c r="I25" s="225">
        <f t="shared" si="5"/>
        <v>36.95116653</v>
      </c>
      <c r="J25" s="226">
        <f t="shared" si="6"/>
        <v>0.1120713342</v>
      </c>
      <c r="K25" s="217">
        <f>IFERROR(__xludf.DUMMYFUNCTION("(GOOGLEFINANCE(""BVMF:"" &amp; B25))"),38.6)</f>
        <v>38.6</v>
      </c>
      <c r="L25" s="227">
        <f t="shared" si="7"/>
        <v>33.5490675</v>
      </c>
      <c r="M25" s="226">
        <f t="shared" si="8"/>
        <v>0.08691468264</v>
      </c>
      <c r="N25" s="210">
        <v>0.1</v>
      </c>
      <c r="O25" s="211">
        <f t="array" ref="O25">IFERROR(INDEX(DPA[], MATCH("ITUB3", DPA[Ação], 0), MATCH(DPA[[#HEADERS],[Media_DPA_3Anos]], DPA[#HEADERS], 0)),"")</f>
        <v>3.35490675</v>
      </c>
      <c r="P25" s="228">
        <f t="shared" si="9"/>
        <v>335.490675</v>
      </c>
    </row>
    <row r="26" ht="22.5" customHeight="1">
      <c r="A26" s="200">
        <v>100.0</v>
      </c>
      <c r="B26" s="95" t="s">
        <v>56</v>
      </c>
      <c r="C26" s="221">
        <f t="shared" si="3"/>
        <v>0.03320099533</v>
      </c>
      <c r="D26" s="202">
        <v>10.0</v>
      </c>
      <c r="E26" s="203">
        <f>(D26/SUM(Ações_Nacionais[Nota]))*$D$3</f>
        <v>0.0375</v>
      </c>
      <c r="F26" s="204">
        <f t="shared" si="4"/>
        <v>4430</v>
      </c>
      <c r="G26" s="205">
        <f>IFERROR(__xludf.DUMMYFUNCTION("IFERROR(QUERY(IMPORTRANGE(""https://docs.google.com/spreadsheets/d/1ujByqR8S8LRZ2kRtkvuCwCRPYw31ta3JdfXYcMP7NC4/edit?usp=sharing"", ""Indicadores_Ações!A30:B""), ""SELECT Col2 WHERE Col1 = '""&amp;B26  &amp;""'"", 0), 0)"),49.6828752076028)</f>
        <v>49.68287521</v>
      </c>
      <c r="H26" s="206">
        <v>0.2</v>
      </c>
      <c r="I26" s="205">
        <f t="shared" si="5"/>
        <v>39.74630017</v>
      </c>
      <c r="J26" s="207">
        <f t="shared" si="6"/>
        <v>0.1083446798</v>
      </c>
      <c r="K26" s="204">
        <f>IFERROR(__xludf.DUMMYFUNCTION("(GOOGLEFINANCE(""BVMF:"" &amp; B26))"),44.3)</f>
        <v>44.3</v>
      </c>
      <c r="L26" s="209">
        <f t="shared" si="7"/>
        <v>29.76067165</v>
      </c>
      <c r="M26" s="210">
        <f t="shared" si="8"/>
        <v>0.0671798457</v>
      </c>
      <c r="N26" s="229">
        <v>0.1</v>
      </c>
      <c r="O26" s="211">
        <f t="array" ref="O26">IFERROR(INDEX(DPA[], MATCH(B26, DPA[Ação], 0), MATCH(DPA[[#HEADERS],[Media_DPA_3Anos]], DPA[#HEADERS], 0)),"")</f>
        <v>2.976067165</v>
      </c>
      <c r="P26" s="18">
        <f t="shared" si="9"/>
        <v>297.6067165</v>
      </c>
    </row>
    <row r="27" ht="22.5" customHeight="1">
      <c r="A27" s="200">
        <v>100.0</v>
      </c>
      <c r="B27" s="95" t="s">
        <v>58</v>
      </c>
      <c r="C27" s="221">
        <f t="shared" si="3"/>
        <v>0.004826510381</v>
      </c>
      <c r="D27" s="202">
        <v>10.0</v>
      </c>
      <c r="E27" s="203">
        <f>(D27/SUM(Ações_Nacionais[Nota]))*$D$3</f>
        <v>0.0375</v>
      </c>
      <c r="F27" s="204">
        <f t="shared" si="4"/>
        <v>644</v>
      </c>
      <c r="G27" s="205">
        <f>IFERROR(__xludf.DUMMYFUNCTION("IFERROR(QUERY(IMPORTRANGE(""https://docs.google.com/spreadsheets/d/1ujByqR8S8LRZ2kRtkvuCwCRPYw31ta3JdfXYcMP7NC4/edit?usp=sharing"", ""Indicadores_Ações!A30:B""), ""SELECT Col2 WHERE Col1 = '""&amp;B27  &amp;""'"", 0), 0)"),7.22573807968191)</f>
        <v>7.22573808</v>
      </c>
      <c r="H27" s="206">
        <v>0.1</v>
      </c>
      <c r="I27" s="205">
        <f t="shared" si="5"/>
        <v>6.503164272</v>
      </c>
      <c r="J27" s="207">
        <f t="shared" si="6"/>
        <v>0.1087415667</v>
      </c>
      <c r="K27" s="208">
        <f>IFERROR(__xludf.DUMMYFUNCTION("(GOOGLEFINANCE(""BVMF:"" &amp; B27))"),6.44)</f>
        <v>6.44</v>
      </c>
      <c r="L27" s="209">
        <f t="shared" si="7"/>
        <v>6.907616544</v>
      </c>
      <c r="M27" s="210">
        <f t="shared" si="8"/>
        <v>0.04504967311</v>
      </c>
      <c r="N27" s="229">
        <v>0.042</v>
      </c>
      <c r="O27" s="211">
        <f t="array" ref="O27">IFERROR(INDEX(DPA[], MATCH(B27, DPA[Ação], 0), MATCH(DPA[[#HEADERS],[Media_DPA_3Anos]], DPA[#HEADERS], 0)),"")</f>
        <v>0.2901198948</v>
      </c>
      <c r="P27" s="18">
        <f t="shared" si="9"/>
        <v>29.01198948</v>
      </c>
    </row>
    <row r="28" ht="22.5" customHeight="1">
      <c r="A28" s="200">
        <v>100.0</v>
      </c>
      <c r="B28" s="230" t="s">
        <v>49</v>
      </c>
      <c r="C28" s="221">
        <f t="shared" si="3"/>
        <v>0.007524559663</v>
      </c>
      <c r="D28" s="202">
        <v>10.0</v>
      </c>
      <c r="E28" s="203">
        <f>(D28/SUM(Ações_Nacionais[Nota]))*$D$3</f>
        <v>0.0375</v>
      </c>
      <c r="F28" s="204">
        <f t="shared" si="4"/>
        <v>1004</v>
      </c>
      <c r="G28" s="205">
        <f>IFERROR(__xludf.DUMMYFUNCTION("IFERROR(QUERY(IMPORTRANGE(""https://docs.google.com/spreadsheets/d/1ujByqR8S8LRZ2kRtkvuCwCRPYw31ta3JdfXYcMP7NC4/edit?usp=sharing"", ""Indicadores_Ações!A30:B""), ""SELECT Col2 WHERE Col1 = '""&amp;B28  &amp;""'"", 0), 0)"),11.027542743522044)</f>
        <v>11.02754274</v>
      </c>
      <c r="H28" s="206">
        <v>0.17</v>
      </c>
      <c r="I28" s="205">
        <f t="shared" si="5"/>
        <v>9.152860477</v>
      </c>
      <c r="J28" s="207">
        <f t="shared" si="6"/>
        <v>0.08955238411</v>
      </c>
      <c r="K28" s="204">
        <f>IFERROR(__xludf.DUMMYFUNCTION("(GOOGLEFINANCE(""BVMF:"" &amp; B28))"),10.04)</f>
        <v>10.04</v>
      </c>
      <c r="L28" s="209">
        <f t="shared" si="7"/>
        <v>10.5605226</v>
      </c>
      <c r="M28" s="210">
        <f t="shared" si="8"/>
        <v>0.13148061</v>
      </c>
      <c r="N28" s="229">
        <v>0.125</v>
      </c>
      <c r="O28" s="211">
        <f t="array" ref="O28">IFERROR(INDEX(DPA[], MATCH(B28, DPA[Ação], 0), MATCH(DPA[[#HEADERS],[Media_DPA_3Anos]], DPA[#HEADERS], 0)),"")</f>
        <v>1.320065325</v>
      </c>
      <c r="P28" s="18">
        <f t="shared" si="9"/>
        <v>132.0065325</v>
      </c>
    </row>
    <row r="29" ht="22.5" customHeight="1">
      <c r="A29" s="200">
        <v>100.0</v>
      </c>
      <c r="B29" s="52" t="s">
        <v>23</v>
      </c>
      <c r="C29" s="221">
        <f t="shared" si="3"/>
        <v>0.02787234799</v>
      </c>
      <c r="D29" s="202">
        <v>10.0</v>
      </c>
      <c r="E29" s="203">
        <f>(D29/SUM(Ações_Nacionais[Nota]))*$D$3</f>
        <v>0.0375</v>
      </c>
      <c r="F29" s="204">
        <f t="shared" si="4"/>
        <v>3719</v>
      </c>
      <c r="G29" s="205">
        <f>IFERROR(__xludf.DUMMYFUNCTION("IFERROR(QUERY(IMPORTRANGE(""https://docs.google.com/spreadsheets/d/1ujByqR8S8LRZ2kRtkvuCwCRPYw31ta3JdfXYcMP7NC4/edit?usp=sharing"", ""Indicadores_Ações!A30:B""), ""SELECT Col2 WHERE Col1 = '""&amp;B29  &amp;""'"", 0), 0)"),40.20978014310791)</f>
        <v>40.20978014</v>
      </c>
      <c r="H29" s="206">
        <v>0.15</v>
      </c>
      <c r="I29" s="205">
        <f t="shared" si="5"/>
        <v>34.17831312</v>
      </c>
      <c r="J29" s="207">
        <f t="shared" si="6"/>
        <v>0.07510063801</v>
      </c>
      <c r="K29" s="204">
        <f>IFERROR(__xludf.DUMMYFUNCTION("(GOOGLEFINANCE(""BVMF:"" &amp; B29))"),37.19)</f>
        <v>37.19</v>
      </c>
      <c r="L29" s="209">
        <f t="shared" si="7"/>
        <v>34.2360446</v>
      </c>
      <c r="M29" s="210">
        <f t="shared" si="8"/>
        <v>0.0920571245</v>
      </c>
      <c r="N29" s="210">
        <v>0.1</v>
      </c>
      <c r="O29" s="211">
        <f t="array" ref="O29">IFERROR(INDEX(DPA[], MATCH(B29, DPA[Ação], 0), MATCH(DPA[[#HEADERS],[Media_DPA_3Anos]], DPA[#HEADERS], 0)),"")</f>
        <v>3.42360446</v>
      </c>
      <c r="P29" s="18">
        <f t="shared" si="9"/>
        <v>342.360446</v>
      </c>
    </row>
    <row r="30" ht="22.5" customHeight="1">
      <c r="A30" s="200">
        <v>100.0</v>
      </c>
      <c r="B30" s="95" t="s">
        <v>34</v>
      </c>
      <c r="C30" s="221">
        <f t="shared" si="3"/>
        <v>0.03102007216</v>
      </c>
      <c r="D30" s="202">
        <v>10.0</v>
      </c>
      <c r="E30" s="203">
        <f>(D30/SUM(Ações_Nacionais[Nota]))*$D$3</f>
        <v>0.0375</v>
      </c>
      <c r="F30" s="204">
        <f t="shared" si="4"/>
        <v>4139</v>
      </c>
      <c r="G30" s="205">
        <f>IFERROR(__xludf.DUMMYFUNCTION("IFERROR(QUERY(IMPORTRANGE(""https://docs.google.com/spreadsheets/d/1ujByqR8S8LRZ2kRtkvuCwCRPYw31ta3JdfXYcMP7NC4/edit?usp=sharing"", ""Indicadores_Ações!A30:B""), ""SELECT Col2 WHERE Col1 = '""&amp;B30  &amp;""'"", 0), 0)"),43.47196062603119)</f>
        <v>43.47196063</v>
      </c>
      <c r="H30" s="206">
        <v>0.15</v>
      </c>
      <c r="I30" s="205">
        <f t="shared" si="5"/>
        <v>36.95116653</v>
      </c>
      <c r="J30" s="207">
        <f t="shared" si="6"/>
        <v>0.04789203422</v>
      </c>
      <c r="K30" s="204">
        <f>IFERROR(__xludf.DUMMYFUNCTION("(GOOGLEFINANCE(""BVMF:"" &amp; B30))"),41.39)</f>
        <v>41.39</v>
      </c>
      <c r="L30" s="209">
        <f t="shared" si="7"/>
        <v>33.5490675</v>
      </c>
      <c r="M30" s="210">
        <f t="shared" si="8"/>
        <v>0.08105597367</v>
      </c>
      <c r="N30" s="210">
        <v>0.1</v>
      </c>
      <c r="O30" s="211">
        <f t="array" ref="O30">IFERROR(INDEX(DPA[], MATCH(B30, DPA[Ação], 0), MATCH(DPA[[#HEADERS],[Media_DPA_3Anos]], DPA[#HEADERS], 0)),"")</f>
        <v>3.35490675</v>
      </c>
      <c r="P30" s="18">
        <f t="shared" si="9"/>
        <v>335.490675</v>
      </c>
    </row>
    <row r="31" ht="22.5" customHeight="1">
      <c r="A31" s="200">
        <v>100.0</v>
      </c>
      <c r="B31" s="52" t="s">
        <v>54</v>
      </c>
      <c r="C31" s="221">
        <f t="shared" si="3"/>
        <v>0.05623184378</v>
      </c>
      <c r="D31" s="202">
        <v>10.0</v>
      </c>
      <c r="E31" s="203">
        <f>(D31/SUM(Ações_Nacionais[Nota]))*$D$3</f>
        <v>0.0375</v>
      </c>
      <c r="F31" s="204">
        <f t="shared" si="4"/>
        <v>7503</v>
      </c>
      <c r="G31" s="205">
        <f>IFERROR(__xludf.DUMMYFUNCTION("IFERROR(QUERY(IMPORTRANGE(""https://docs.google.com/spreadsheets/d/1ujByqR8S8LRZ2kRtkvuCwCRPYw31ta3JdfXYcMP7NC4/edit?usp=sharing"", ""Indicadores_Ações!A30:B""), ""SELECT Col2 WHERE Col1 = '""&amp;B31  &amp;""'"", 0), 0)"),66.68989552863204)</f>
        <v>66.68989553</v>
      </c>
      <c r="H31" s="206">
        <v>0.2</v>
      </c>
      <c r="I31" s="205">
        <f t="shared" si="5"/>
        <v>53.35191642</v>
      </c>
      <c r="J31" s="207">
        <f t="shared" si="6"/>
        <v>-0.1250579927</v>
      </c>
      <c r="K31" s="208">
        <f>IFERROR(__xludf.DUMMYFUNCTION("(GOOGLEFINANCE(""BVMF:"" &amp; B31))"),75.03)</f>
        <v>75.03</v>
      </c>
      <c r="L31" s="209">
        <f t="shared" si="7"/>
        <v>60.2999766</v>
      </c>
      <c r="M31" s="210">
        <f t="shared" si="8"/>
        <v>0.08036782166</v>
      </c>
      <c r="N31" s="229">
        <v>0.1</v>
      </c>
      <c r="O31" s="211">
        <f t="array" ref="O31">IFERROR(INDEX(DPA[], MATCH(B31, DPA[Ação], 0), MATCH(DPA[[#HEADERS],[Media_DPA_3Anos]], DPA[#HEADERS], 0)),"")</f>
        <v>6.02999766</v>
      </c>
      <c r="P31" s="18">
        <f t="shared" si="9"/>
        <v>602.999766</v>
      </c>
      <c r="Q31" s="231"/>
      <c r="R31" s="231"/>
      <c r="S31" s="231"/>
      <c r="T31" s="231"/>
      <c r="U31" s="231"/>
    </row>
    <row r="32" ht="22.5" customHeight="1">
      <c r="A32" s="200">
        <v>100.0</v>
      </c>
      <c r="B32" s="95" t="s">
        <v>60</v>
      </c>
      <c r="C32" s="221">
        <f t="shared" si="3"/>
        <v>0.03692580225</v>
      </c>
      <c r="D32" s="202">
        <v>10.0</v>
      </c>
      <c r="E32" s="203">
        <f>(D32/SUM(Ações_Nacionais[Nota]))*$D$3</f>
        <v>0.0375</v>
      </c>
      <c r="F32" s="204">
        <f t="shared" si="4"/>
        <v>4927</v>
      </c>
      <c r="G32" s="205">
        <f>IFERROR(__xludf.DUMMYFUNCTION("IFERROR(QUERY(IMPORTRANGE(""https://docs.google.com/spreadsheets/d/1ujByqR8S8LRZ2kRtkvuCwCRPYw31ta3JdfXYcMP7NC4/edit?usp=sharing"", ""Indicadores_Ações!A30:B""), ""SELECT Col2 WHERE Col1 = '""&amp;B32  &amp;""'"", 0), 0)"),43.463711792231344)</f>
        <v>43.46371179</v>
      </c>
      <c r="H32" s="206">
        <v>0.18</v>
      </c>
      <c r="I32" s="205">
        <f t="shared" si="5"/>
        <v>35.64024367</v>
      </c>
      <c r="J32" s="207">
        <f t="shared" si="6"/>
        <v>-0.1335893316</v>
      </c>
      <c r="K32" s="208">
        <f>IFERROR(__xludf.DUMMYFUNCTION("(GOOGLEFINANCE(""BVMF:"" &amp; B32))"),49.27)</f>
        <v>49.27</v>
      </c>
      <c r="L32" s="209">
        <f t="shared" si="7"/>
        <v>38.83053838</v>
      </c>
      <c r="M32" s="210">
        <f t="shared" si="8"/>
        <v>0.0315246912</v>
      </c>
      <c r="N32" s="210">
        <v>0.04</v>
      </c>
      <c r="O32" s="211">
        <f t="array" ref="O32">IFERROR(INDEX(DPA[], MATCH(B32, DPA[Ação], 0), MATCH(DPA[[#HEADERS],[Media_DPA_3Anos]], DPA[#HEADERS], 0)),"")</f>
        <v>1.553221535</v>
      </c>
      <c r="P32" s="232">
        <f t="shared" si="9"/>
        <v>155.3221535</v>
      </c>
      <c r="Q32" s="231"/>
      <c r="R32" s="231"/>
      <c r="S32" s="231"/>
      <c r="T32" s="231"/>
      <c r="U32" s="231"/>
      <c r="V32" s="231"/>
      <c r="W32" s="231"/>
    </row>
    <row r="33" ht="22.5" customHeight="1">
      <c r="A33" s="200">
        <v>100.0</v>
      </c>
      <c r="B33" s="95" t="s">
        <v>52</v>
      </c>
      <c r="C33" s="221">
        <f t="shared" si="3"/>
        <v>0.01950090064</v>
      </c>
      <c r="D33" s="202">
        <v>10.0</v>
      </c>
      <c r="E33" s="203">
        <f>(D33/SUM(Ações_Nacionais[Nota]))*$D$3</f>
        <v>0.0375</v>
      </c>
      <c r="F33" s="204">
        <f t="shared" si="4"/>
        <v>2602</v>
      </c>
      <c r="G33" s="205">
        <f>IFERROR(__xludf.DUMMYFUNCTION("IFERROR(QUERY(IMPORTRANGE(""https://docs.google.com/spreadsheets/d/1ujByqR8S8LRZ2kRtkvuCwCRPYw31ta3JdfXYcMP7NC4/edit?usp=sharing"", ""Indicadores_Ações!A30:B""), ""SELECT Col2 WHERE Col1 = '""&amp;B33  &amp;""'"", 0), 0)"),22.856505078982625)</f>
        <v>22.85650508</v>
      </c>
      <c r="H33" s="206">
        <v>0.1</v>
      </c>
      <c r="I33" s="205">
        <f t="shared" si="5"/>
        <v>20.57085457</v>
      </c>
      <c r="J33" s="207">
        <f t="shared" si="6"/>
        <v>-0.1384067647</v>
      </c>
      <c r="K33" s="204">
        <f>IFERROR(__xludf.DUMMYFUNCTION("(GOOGLEFINANCE(""BVMF:"" &amp; B33))"),26.02)</f>
        <v>26.02</v>
      </c>
      <c r="L33" s="209">
        <f t="shared" si="7"/>
        <v>23.334489</v>
      </c>
      <c r="M33" s="210">
        <f t="shared" si="8"/>
        <v>0.08967905073</v>
      </c>
      <c r="N33" s="229">
        <v>0.1</v>
      </c>
      <c r="O33" s="211">
        <f t="array" ref="O33">IFERROR(INDEX(DPA[], MATCH(B33, DPA[Ação], 0), MATCH(DPA[[#HEADERS],[Media_DPA_3Anos]], DPA[#HEADERS], 0)),"")</f>
        <v>2.3334489</v>
      </c>
      <c r="P33" s="232">
        <f t="shared" si="9"/>
        <v>233.34489</v>
      </c>
      <c r="Q33" s="233"/>
      <c r="R33" s="234"/>
      <c r="S33" s="231"/>
      <c r="T33" s="235"/>
      <c r="U33" s="231"/>
      <c r="V33" s="231"/>
      <c r="W33" s="231"/>
    </row>
    <row r="34" ht="22.5" customHeight="1">
      <c r="A34" s="200">
        <v>100.0</v>
      </c>
      <c r="B34" s="236" t="s">
        <v>47</v>
      </c>
      <c r="C34" s="223">
        <f t="shared" si="3"/>
        <v>0.02815714209</v>
      </c>
      <c r="D34" s="224">
        <v>10.0</v>
      </c>
      <c r="E34" s="203">
        <f>(D34/SUM(Ações_Nacionais[Nota]))*$D$3</f>
        <v>0.0375</v>
      </c>
      <c r="F34" s="217">
        <f t="shared" si="4"/>
        <v>3757</v>
      </c>
      <c r="G34" s="205">
        <f>IFERROR(__xludf.DUMMYFUNCTION("IFERROR(QUERY(IMPORTRANGE(""https://docs.google.com/spreadsheets/d/1ujByqR8S8LRZ2kRtkvuCwCRPYw31ta3JdfXYcMP7NC4/edit?usp=sharing"", ""Indicadores_Ações!A30:B""), ""SELECT Col2 WHERE Col1 = '""&amp;B34  &amp;""'"", 0), 0)"),31.145258480966675)</f>
        <v>31.14525848</v>
      </c>
      <c r="H34" s="237">
        <v>0.1</v>
      </c>
      <c r="I34" s="225">
        <f t="shared" si="5"/>
        <v>28.03073263</v>
      </c>
      <c r="J34" s="226">
        <f t="shared" si="6"/>
        <v>-0.2062831337</v>
      </c>
      <c r="K34" s="217">
        <f>IFERROR(__xludf.DUMMYFUNCTION("(GOOGLEFINANCE(""BVMF:"" &amp; B34))"),37.57)</f>
        <v>37.57</v>
      </c>
      <c r="L34" s="227">
        <f t="shared" si="7"/>
        <v>37.35654805</v>
      </c>
      <c r="M34" s="226">
        <f t="shared" si="8"/>
        <v>0.07954548427</v>
      </c>
      <c r="N34" s="238">
        <v>0.08</v>
      </c>
      <c r="O34" s="211">
        <f t="array" ref="O34">IFERROR(INDEX(DPA[], MATCH(B34, DPA[Ação], 0), MATCH(DPA[[#HEADERS],[Media_DPA_3Anos]], DPA[#HEADERS], 0)),"")</f>
        <v>2.988523844</v>
      </c>
      <c r="P34" s="228">
        <f t="shared" si="9"/>
        <v>298.8523844</v>
      </c>
      <c r="Q34" s="233"/>
      <c r="R34" s="234"/>
      <c r="S34" s="231"/>
      <c r="U34" s="231"/>
      <c r="V34" s="231"/>
      <c r="W34" s="231"/>
    </row>
    <row r="35" ht="18.75" customHeight="1">
      <c r="A35" s="239"/>
      <c r="B35" s="240"/>
      <c r="C35" s="241"/>
      <c r="D35" s="242"/>
      <c r="E35" s="140"/>
      <c r="F35" s="140"/>
      <c r="G35" s="243"/>
      <c r="I35" s="244"/>
      <c r="J35" s="245"/>
      <c r="K35" s="245"/>
      <c r="L35" s="243"/>
      <c r="M35" s="242"/>
      <c r="N35" s="246"/>
      <c r="O35" s="247"/>
      <c r="P35" s="231"/>
      <c r="Q35" s="247"/>
      <c r="R35" s="233"/>
      <c r="S35" s="234"/>
      <c r="T35" s="231"/>
      <c r="V35" s="231"/>
      <c r="W35" s="231"/>
    </row>
    <row r="36">
      <c r="A36" s="239"/>
      <c r="B36" s="240"/>
      <c r="C36" s="241"/>
      <c r="D36" s="242"/>
      <c r="E36" s="140"/>
      <c r="F36" s="140"/>
      <c r="G36" s="243"/>
      <c r="I36" s="244"/>
      <c r="J36" s="245"/>
      <c r="K36" s="245"/>
      <c r="L36" s="243"/>
      <c r="M36" s="242"/>
      <c r="N36" s="246"/>
      <c r="O36" s="247"/>
      <c r="P36" s="231"/>
      <c r="Q36" s="247"/>
      <c r="R36" s="233"/>
      <c r="S36" s="234"/>
      <c r="T36" s="231"/>
      <c r="V36" s="231"/>
      <c r="W36" s="231"/>
    </row>
    <row r="37">
      <c r="A37" s="239"/>
      <c r="B37" s="240"/>
      <c r="C37" s="241"/>
      <c r="D37" s="242"/>
      <c r="E37" s="140"/>
      <c r="F37" s="140"/>
      <c r="G37" s="243"/>
      <c r="H37" s="243"/>
      <c r="I37" s="244"/>
      <c r="J37" s="245"/>
      <c r="K37" s="245"/>
      <c r="L37" s="243"/>
      <c r="M37" s="242"/>
      <c r="N37" s="246"/>
      <c r="O37" s="247"/>
      <c r="P37" s="231"/>
      <c r="Q37" s="247"/>
      <c r="R37" s="233"/>
      <c r="S37" s="234"/>
      <c r="T37" s="231"/>
      <c r="U37" s="235"/>
      <c r="V37" s="231"/>
      <c r="W37" s="231"/>
    </row>
    <row r="38">
      <c r="A38" s="239"/>
      <c r="B38" s="240"/>
      <c r="C38" s="241"/>
      <c r="D38" s="242"/>
      <c r="E38" s="140"/>
      <c r="F38" s="140"/>
      <c r="G38" s="243"/>
      <c r="H38" s="243"/>
      <c r="I38" s="244"/>
      <c r="J38" s="245"/>
      <c r="K38" s="245"/>
      <c r="L38" s="243"/>
      <c r="M38" s="242"/>
      <c r="N38" s="246"/>
      <c r="O38" s="247"/>
      <c r="P38" s="231"/>
      <c r="Q38" s="247"/>
      <c r="R38" s="233"/>
      <c r="S38" s="234"/>
      <c r="T38" s="231"/>
      <c r="U38" s="235"/>
      <c r="V38" s="231"/>
      <c r="W38" s="231"/>
    </row>
    <row r="39">
      <c r="A39" s="239"/>
      <c r="B39" s="240"/>
      <c r="C39" s="241"/>
      <c r="D39" s="242"/>
      <c r="E39" s="140"/>
      <c r="F39" s="140"/>
      <c r="G39" s="243"/>
      <c r="H39" s="243"/>
      <c r="I39" s="244"/>
      <c r="J39" s="245"/>
      <c r="K39" s="245"/>
      <c r="L39" s="243"/>
      <c r="M39" s="242"/>
      <c r="N39" s="246"/>
      <c r="O39" s="247"/>
      <c r="P39" s="231"/>
      <c r="Q39" s="247"/>
      <c r="R39" s="233"/>
      <c r="S39" s="234"/>
      <c r="T39" s="231"/>
      <c r="U39" s="235"/>
      <c r="V39" s="231"/>
      <c r="W39" s="231"/>
    </row>
    <row r="40">
      <c r="A40" s="239"/>
      <c r="B40" s="240"/>
      <c r="C40" s="241"/>
      <c r="D40" s="242"/>
      <c r="E40" s="244"/>
      <c r="F40" s="245"/>
      <c r="G40" s="243"/>
      <c r="H40" s="243"/>
      <c r="I40" s="244"/>
      <c r="J40" s="245"/>
      <c r="K40" s="245"/>
      <c r="L40" s="243"/>
      <c r="M40" s="242"/>
      <c r="N40" s="246"/>
      <c r="O40" s="247"/>
      <c r="P40" s="231"/>
      <c r="Q40" s="247"/>
      <c r="R40" s="233"/>
      <c r="S40" s="234"/>
      <c r="T40" s="231"/>
      <c r="U40" s="248"/>
      <c r="V40" s="231"/>
      <c r="W40" s="231"/>
    </row>
    <row r="41">
      <c r="A41" s="239"/>
      <c r="B41" s="240"/>
      <c r="C41" s="241"/>
      <c r="D41" s="242"/>
      <c r="E41" s="6"/>
      <c r="F41" s="5"/>
      <c r="G41" s="243"/>
      <c r="H41" s="243"/>
      <c r="I41" s="244"/>
      <c r="J41" s="245"/>
      <c r="K41" s="245"/>
      <c r="L41" s="243"/>
      <c r="M41" s="242"/>
      <c r="N41" s="246"/>
      <c r="O41" s="247"/>
      <c r="P41" s="231"/>
      <c r="Q41" s="247"/>
      <c r="R41" s="233"/>
      <c r="S41" s="234"/>
      <c r="T41" s="231"/>
      <c r="U41" s="235"/>
      <c r="V41" s="231"/>
      <c r="W41" s="231"/>
    </row>
    <row r="42">
      <c r="A42" s="239"/>
      <c r="B42" s="240"/>
      <c r="C42" s="241"/>
      <c r="D42" s="242"/>
      <c r="E42" s="6"/>
      <c r="F42" s="6"/>
      <c r="G42" s="243"/>
      <c r="H42" s="243"/>
      <c r="I42" s="244"/>
      <c r="J42" s="245"/>
      <c r="K42" s="245"/>
      <c r="L42" s="243"/>
      <c r="M42" s="242"/>
      <c r="N42" s="246"/>
      <c r="O42" s="247"/>
      <c r="P42" s="231"/>
      <c r="Q42" s="247"/>
      <c r="R42" s="233"/>
      <c r="S42" s="234"/>
      <c r="T42" s="231"/>
      <c r="U42" s="235"/>
      <c r="V42" s="231"/>
      <c r="W42" s="231"/>
    </row>
    <row r="43">
      <c r="A43" s="239"/>
      <c r="B43" s="240"/>
      <c r="C43" s="241"/>
      <c r="D43" s="242"/>
      <c r="E43" s="6"/>
      <c r="F43" s="6"/>
      <c r="G43" s="243"/>
      <c r="H43" s="243"/>
      <c r="I43" s="244"/>
      <c r="J43" s="245"/>
      <c r="K43" s="245"/>
      <c r="L43" s="243"/>
      <c r="M43" s="242"/>
      <c r="N43" s="246"/>
      <c r="O43" s="247"/>
      <c r="P43" s="231"/>
      <c r="Q43" s="247"/>
      <c r="R43" s="233"/>
      <c r="S43" s="234"/>
      <c r="T43" s="231"/>
      <c r="U43" s="235"/>
      <c r="V43" s="231"/>
      <c r="W43" s="231"/>
    </row>
    <row r="44">
      <c r="A44" s="239"/>
      <c r="B44" s="240"/>
      <c r="C44" s="241"/>
      <c r="D44" s="242"/>
      <c r="E44" s="6"/>
      <c r="F44" s="6"/>
      <c r="G44" s="243"/>
      <c r="H44" s="243"/>
      <c r="I44" s="244"/>
      <c r="J44" s="245"/>
      <c r="K44" s="245"/>
      <c r="L44" s="243"/>
      <c r="M44" s="242"/>
      <c r="N44" s="246"/>
      <c r="O44" s="247"/>
      <c r="P44" s="231"/>
      <c r="Q44" s="247"/>
      <c r="R44" s="233"/>
      <c r="S44" s="234"/>
      <c r="T44" s="231"/>
      <c r="U44" s="235"/>
      <c r="V44" s="231"/>
      <c r="W44" s="231"/>
    </row>
    <row r="45">
      <c r="A45" s="239"/>
      <c r="B45" s="240"/>
      <c r="C45" s="241"/>
      <c r="D45" s="242"/>
      <c r="E45" s="6"/>
      <c r="F45" s="6"/>
      <c r="G45" s="243"/>
      <c r="H45" s="243"/>
      <c r="I45" s="244"/>
      <c r="J45" s="245"/>
      <c r="K45" s="245"/>
      <c r="L45" s="243"/>
      <c r="M45" s="242"/>
      <c r="N45" s="246"/>
      <c r="O45" s="247"/>
      <c r="P45" s="231"/>
      <c r="Q45" s="247"/>
      <c r="R45" s="233"/>
      <c r="S45" s="234"/>
      <c r="T45" s="231"/>
      <c r="U45" s="235"/>
      <c r="V45" s="231"/>
      <c r="W45" s="231"/>
    </row>
    <row r="46">
      <c r="A46" s="239"/>
      <c r="B46" s="240"/>
      <c r="C46" s="241"/>
      <c r="D46" s="242"/>
      <c r="E46" s="6"/>
      <c r="F46" s="6"/>
      <c r="G46" s="243"/>
      <c r="H46" s="243"/>
      <c r="I46" s="244"/>
      <c r="J46" s="245"/>
      <c r="K46" s="249"/>
      <c r="L46" s="243"/>
      <c r="M46" s="242"/>
      <c r="N46" s="246"/>
      <c r="O46" s="247"/>
      <c r="P46" s="231"/>
      <c r="Q46" s="247"/>
      <c r="R46" s="233"/>
      <c r="S46" s="234"/>
      <c r="T46" s="231"/>
      <c r="U46" s="235"/>
      <c r="V46" s="231"/>
      <c r="W46" s="231"/>
    </row>
    <row r="47">
      <c r="A47" s="239"/>
      <c r="B47" s="240"/>
      <c r="C47" s="241"/>
      <c r="D47" s="242"/>
      <c r="E47" s="244"/>
      <c r="F47" s="245"/>
      <c r="G47" s="243"/>
      <c r="H47" s="243"/>
      <c r="I47" s="244"/>
      <c r="J47" s="245"/>
      <c r="K47" s="245"/>
      <c r="L47" s="243"/>
      <c r="M47" s="242"/>
      <c r="N47" s="246"/>
      <c r="O47" s="247"/>
      <c r="P47" s="231"/>
      <c r="Q47" s="247"/>
      <c r="R47" s="233"/>
      <c r="S47" s="234"/>
      <c r="T47" s="231"/>
      <c r="U47" s="235"/>
      <c r="V47" s="231"/>
      <c r="W47" s="231"/>
    </row>
    <row r="48">
      <c r="A48" s="239"/>
      <c r="B48" s="250"/>
      <c r="C48" s="241"/>
      <c r="D48" s="242"/>
      <c r="E48" s="251"/>
      <c r="F48" s="245"/>
      <c r="G48" s="244"/>
      <c r="H48" s="244"/>
      <c r="I48" s="244"/>
      <c r="J48" s="245"/>
      <c r="K48" s="245"/>
      <c r="L48" s="243"/>
      <c r="M48" s="242"/>
      <c r="N48" s="246"/>
      <c r="O48" s="247"/>
      <c r="P48" s="231"/>
      <c r="Q48" s="247"/>
      <c r="R48" s="233"/>
      <c r="S48" s="234"/>
      <c r="T48" s="231"/>
      <c r="U48" s="235"/>
      <c r="V48" s="231"/>
      <c r="W48" s="231"/>
    </row>
    <row r="49">
      <c r="A49" s="239"/>
      <c r="B49" s="250"/>
      <c r="C49" s="241"/>
      <c r="D49" s="242"/>
      <c r="E49" s="251"/>
      <c r="F49" s="245"/>
      <c r="G49" s="244"/>
      <c r="H49" s="244"/>
      <c r="I49" s="244"/>
      <c r="J49" s="245"/>
      <c r="K49" s="245"/>
      <c r="L49" s="243"/>
      <c r="M49" s="242"/>
      <c r="N49" s="246"/>
      <c r="O49" s="247"/>
      <c r="P49" s="231"/>
      <c r="Q49" s="247"/>
      <c r="R49" s="233"/>
      <c r="S49" s="234"/>
      <c r="T49" s="231"/>
      <c r="U49" s="235"/>
      <c r="V49" s="231"/>
      <c r="W49" s="231"/>
    </row>
    <row r="50">
      <c r="A50" s="252"/>
      <c r="D50" s="6"/>
      <c r="I50" s="5"/>
      <c r="J50" s="5"/>
      <c r="K50" s="5"/>
      <c r="L50" s="5"/>
      <c r="M50" s="5"/>
      <c r="O50" s="5"/>
      <c r="P50" s="5"/>
    </row>
    <row r="51" ht="22.5" customHeight="1">
      <c r="A51" s="1" t="s">
        <v>70</v>
      </c>
      <c r="B51" s="1" t="s">
        <v>17</v>
      </c>
      <c r="C51" s="1" t="s">
        <v>210</v>
      </c>
      <c r="D51" s="253" t="s">
        <v>76</v>
      </c>
      <c r="E51" s="253" t="s">
        <v>164</v>
      </c>
      <c r="F51" s="2" t="s">
        <v>141</v>
      </c>
      <c r="G51" s="2" t="s">
        <v>215</v>
      </c>
      <c r="H51" s="254" t="s">
        <v>213</v>
      </c>
      <c r="I51" s="8" t="s">
        <v>222</v>
      </c>
      <c r="J51" s="8" t="s">
        <v>223</v>
      </c>
      <c r="K51" s="4" t="s">
        <v>224</v>
      </c>
      <c r="L51" s="8" t="s">
        <v>225</v>
      </c>
      <c r="M51" s="8" t="s">
        <v>226</v>
      </c>
      <c r="N51" s="50" t="s">
        <v>227</v>
      </c>
      <c r="O51" s="50" t="s">
        <v>228</v>
      </c>
      <c r="P51" s="50" t="s">
        <v>28</v>
      </c>
      <c r="Q51" s="8" t="s">
        <v>229</v>
      </c>
      <c r="R51" s="8" t="s">
        <v>230</v>
      </c>
      <c r="S51" s="8" t="s">
        <v>231</v>
      </c>
    </row>
    <row r="52" ht="22.5" customHeight="1">
      <c r="A52" s="255">
        <v>50.0</v>
      </c>
      <c r="B52" s="256" t="s">
        <v>118</v>
      </c>
      <c r="C52" s="257">
        <f t="shared" ref="C52:C64" si="10">IFERROR((F52/$B$9), 0)</f>
        <v>0.0369070658</v>
      </c>
      <c r="D52" s="255">
        <v>10.0</v>
      </c>
      <c r="E52" s="258">
        <f>(D52/SUM(Fiis[Nota]))*$D$4</f>
        <v>0.02272727273</v>
      </c>
      <c r="F52" s="259">
        <f t="shared" ref="F52:F64" si="11">A52*G52</f>
        <v>4924.5</v>
      </c>
      <c r="G52" s="260">
        <f>IFERROR(__xludf.DUMMYFUNCTION("GOOGLEFINANCE(B52)"),98.49)</f>
        <v>98.49</v>
      </c>
      <c r="H52" s="261">
        <f t="shared" ref="H52:H64" si="12">G52/I52</f>
        <v>0.8176158061</v>
      </c>
      <c r="I52" s="262">
        <f>IFERROR(__xludf.DUMMYFUNCTION("IFERROR(QUERY(IMPORTRANGE(""16ctS2M9RWvjMVkO6L0BV75dNPXE73e0O2aKZF1Q8mU8"", ""Indicadores!A2:E""), ""SELECT Col2 WHERE Col1 = '""&amp;B52  &amp;""'"", 0), 0)"),120.46)</f>
        <v>120.46</v>
      </c>
      <c r="J52" s="263">
        <f t="shared" ref="J52:J64" si="13">SUM(L52/Q52)</f>
        <v>92.1923337</v>
      </c>
      <c r="K52" s="264">
        <f t="shared" ref="K52:K64" si="14">L52/12</f>
        <v>0.75</v>
      </c>
      <c r="L52" s="265">
        <v>9.0</v>
      </c>
      <c r="M52" s="266">
        <f t="shared" ref="M52:M64" si="15">A52*K52</f>
        <v>37.5</v>
      </c>
      <c r="N52" s="267">
        <f t="shared" ref="N52:N64" si="16">IFERROR(M52*12,0)</f>
        <v>450</v>
      </c>
      <c r="O52" s="268">
        <v>0.02</v>
      </c>
      <c r="P52" s="269">
        <f>$F$91</f>
        <v>0.0761</v>
      </c>
      <c r="Q52" s="20">
        <f t="shared" ref="Q52:Q64" si="17">IFERROR((1+O52) * (1+P52)-1, 0)</f>
        <v>0.097622</v>
      </c>
      <c r="R52" s="10">
        <v>104.65</v>
      </c>
      <c r="S52" s="18">
        <f t="shared" ref="S52:S64" si="18">R52*A52</f>
        <v>5232.5</v>
      </c>
    </row>
    <row r="53" ht="22.5" customHeight="1">
      <c r="A53" s="255">
        <v>50.0</v>
      </c>
      <c r="B53" s="256" t="s">
        <v>50</v>
      </c>
      <c r="C53" s="257">
        <f t="shared" si="10"/>
        <v>0.003395045346</v>
      </c>
      <c r="D53" s="255">
        <v>10.0</v>
      </c>
      <c r="E53" s="258">
        <f>(D53/SUM(Fiis[Nota]))*$D$4</f>
        <v>0.02272727273</v>
      </c>
      <c r="F53" s="259">
        <f t="shared" si="11"/>
        <v>453</v>
      </c>
      <c r="G53" s="260">
        <f>IFERROR(__xludf.DUMMYFUNCTION("GOOGLEFINANCE(B53)"),9.06)</f>
        <v>9.06</v>
      </c>
      <c r="H53" s="261">
        <f t="shared" si="12"/>
        <v>0.8213961922</v>
      </c>
      <c r="I53" s="262">
        <f>IFERROR(__xludf.DUMMYFUNCTION("IFERROR(QUERY(IMPORTRANGE(""16ctS2M9RWvjMVkO6L0BV75dNPXE73e0O2aKZF1Q8mU8"", ""Indicadores!A2:E""), ""SELECT Col2 WHERE Col1 = '""&amp;B53  &amp;""'"", 0), 0)"),11.03)</f>
        <v>11.03</v>
      </c>
      <c r="J53" s="263">
        <f t="shared" si="13"/>
        <v>10.2451777</v>
      </c>
      <c r="K53" s="264">
        <f t="shared" si="14"/>
        <v>0.09666666667</v>
      </c>
      <c r="L53" s="265">
        <f t="array" ref="L53">IFERROR(INDEX(LCP_3Anos[], MATCH(B53, LCP_3Anos[Fii], 0), MATCH(LCP_3Anos[[#HEADERS],[Media_DPA_3Anos]], LCP_3Anos[#HEADERS], 0)),"")</f>
        <v>1.16</v>
      </c>
      <c r="M53" s="266">
        <f t="shared" si="15"/>
        <v>4.833333333</v>
      </c>
      <c r="N53" s="267">
        <f t="shared" si="16"/>
        <v>58</v>
      </c>
      <c r="O53" s="270">
        <v>0.03</v>
      </c>
      <c r="P53" s="271">
        <f>$F$90</f>
        <v>0.0808</v>
      </c>
      <c r="Q53" s="20">
        <f t="shared" si="17"/>
        <v>0.113224</v>
      </c>
      <c r="R53" s="10">
        <v>10.01</v>
      </c>
      <c r="S53" s="18">
        <f t="shared" si="18"/>
        <v>500.5</v>
      </c>
    </row>
    <row r="54" ht="22.5" customHeight="1">
      <c r="A54" s="255">
        <v>50.0</v>
      </c>
      <c r="B54" s="256" t="s">
        <v>36</v>
      </c>
      <c r="C54" s="257">
        <f t="shared" si="10"/>
        <v>0.03372561602</v>
      </c>
      <c r="D54" s="255">
        <v>10.0</v>
      </c>
      <c r="E54" s="258">
        <f>(D54/SUM(Fiis[Nota]))*$D$4</f>
        <v>0.02272727273</v>
      </c>
      <c r="F54" s="259">
        <f t="shared" si="11"/>
        <v>4500</v>
      </c>
      <c r="G54" s="260">
        <f>IFERROR(__xludf.DUMMYFUNCTION("GOOGLEFINANCE(B54)"),90.0)</f>
        <v>90</v>
      </c>
      <c r="H54" s="261">
        <f t="shared" si="12"/>
        <v>0.8551068884</v>
      </c>
      <c r="I54" s="262">
        <f>IFERROR(__xludf.DUMMYFUNCTION("IFERROR(QUERY(IMPORTRANGE(""16ctS2M9RWvjMVkO6L0BV75dNPXE73e0O2aKZF1Q8mU8"", ""Indicadores!A2:E""), ""SELECT Col2 WHERE Col1 = '""&amp;B54  &amp;""'"", 0), 0)"),105.25)</f>
        <v>105.25</v>
      </c>
      <c r="J54" s="263">
        <f t="shared" si="13"/>
        <v>96.90438631</v>
      </c>
      <c r="K54" s="264">
        <f t="shared" si="14"/>
        <v>0.7883333333</v>
      </c>
      <c r="L54" s="265">
        <f t="array" ref="L54">IFERROR(INDEX(LCP_3Anos[], MATCH(B54, LCP_3Anos[Fii], 0), MATCH(LCP_3Anos[[#HEADERS],[Media_DPA_3Anos]], LCP_3Anos[#HEADERS], 0)),"")</f>
        <v>9.46</v>
      </c>
      <c r="M54" s="272">
        <f t="shared" si="15"/>
        <v>39.41666667</v>
      </c>
      <c r="N54" s="267">
        <f t="shared" si="16"/>
        <v>473</v>
      </c>
      <c r="O54" s="268">
        <v>0.02</v>
      </c>
      <c r="P54" s="269">
        <f>$F$91</f>
        <v>0.0761</v>
      </c>
      <c r="Q54" s="20">
        <f t="shared" si="17"/>
        <v>0.097622</v>
      </c>
      <c r="R54" s="10">
        <v>93.43</v>
      </c>
      <c r="S54" s="18">
        <f t="shared" si="18"/>
        <v>4671.5</v>
      </c>
    </row>
    <row r="55" ht="22.5" customHeight="1">
      <c r="A55" s="255">
        <v>50.0</v>
      </c>
      <c r="B55" s="256" t="s">
        <v>57</v>
      </c>
      <c r="C55" s="257">
        <f t="shared" si="10"/>
        <v>0.00308402022</v>
      </c>
      <c r="D55" s="255">
        <v>10.0</v>
      </c>
      <c r="E55" s="258">
        <f>(D55/SUM(Fiis[Nota]))*$D$4</f>
        <v>0.02272727273</v>
      </c>
      <c r="F55" s="259">
        <f t="shared" si="11"/>
        <v>411.5</v>
      </c>
      <c r="G55" s="260">
        <f>IFERROR(__xludf.DUMMYFUNCTION("GOOGLEFINANCE(B55)"),8.23)</f>
        <v>8.23</v>
      </c>
      <c r="H55" s="261">
        <f t="shared" si="12"/>
        <v>0.8878101402</v>
      </c>
      <c r="I55" s="262">
        <f>IFERROR(__xludf.DUMMYFUNCTION("IFERROR(QUERY(IMPORTRANGE(""16ctS2M9RWvjMVkO6L0BV75dNPXE73e0O2aKZF1Q8mU8"", ""Indicadores!A2:E""), ""SELECT Col2 WHERE Col1 = '""&amp;B55  &amp;""'"", 0), 0)"),9.27)</f>
        <v>9.27</v>
      </c>
      <c r="J55" s="263">
        <f t="shared" si="13"/>
        <v>8.478767752</v>
      </c>
      <c r="K55" s="264">
        <f t="shared" si="14"/>
        <v>0.08</v>
      </c>
      <c r="L55" s="265">
        <f t="array" ref="L55">IFERROR(INDEX(LCP_3Anos[], MATCH(B55, LCP_3Anos[Fii], 0), MATCH(LCP_3Anos[[#HEADERS],[Media_DPA_3Anos]], LCP_3Anos[#HEADERS], 0)),"")</f>
        <v>0.96</v>
      </c>
      <c r="M55" s="266">
        <f t="shared" si="15"/>
        <v>4</v>
      </c>
      <c r="N55" s="267">
        <f t="shared" si="16"/>
        <v>48</v>
      </c>
      <c r="O55" s="270">
        <v>0.03</v>
      </c>
      <c r="P55" s="271">
        <f>$F$90</f>
        <v>0.0808</v>
      </c>
      <c r="Q55" s="20">
        <f t="shared" si="17"/>
        <v>0.113224</v>
      </c>
      <c r="R55" s="10">
        <v>8.54</v>
      </c>
      <c r="S55" s="18">
        <f t="shared" si="18"/>
        <v>427</v>
      </c>
    </row>
    <row r="56" ht="22.5" customHeight="1">
      <c r="A56" s="255">
        <v>50.0</v>
      </c>
      <c r="B56" s="256" t="s">
        <v>31</v>
      </c>
      <c r="C56" s="257">
        <f t="shared" si="10"/>
        <v>0.03778393181</v>
      </c>
      <c r="D56" s="255">
        <v>10.0</v>
      </c>
      <c r="E56" s="258">
        <f>(D56/SUM(Fiis[Nota]))*$D$4</f>
        <v>0.02272727273</v>
      </c>
      <c r="F56" s="259">
        <f t="shared" si="11"/>
        <v>5041.5</v>
      </c>
      <c r="G56" s="260">
        <f>IFERROR(__xludf.DUMMYFUNCTION("GOOGLEFINANCE(B56)"),100.83)</f>
        <v>100.83</v>
      </c>
      <c r="H56" s="261">
        <f t="shared" si="12"/>
        <v>0.8642324505</v>
      </c>
      <c r="I56" s="262">
        <f>IFERROR(__xludf.DUMMYFUNCTION("IFERROR(QUERY(IMPORTRANGE(""16ctS2M9RWvjMVkO6L0BV75dNPXE73e0O2aKZF1Q8mU8"", ""Indicadores!A2:E""), ""SELECT Col2 WHERE Col1 = '""&amp;B56  &amp;""'"", 0), 0)"),116.67)</f>
        <v>116.67</v>
      </c>
      <c r="J56" s="263">
        <f t="shared" si="13"/>
        <v>102.1969092</v>
      </c>
      <c r="K56" s="264">
        <f t="shared" si="14"/>
        <v>0.8313888889</v>
      </c>
      <c r="L56" s="265">
        <f t="array" ref="L56">IFERROR(INDEX(LCP_3Anos[], MATCH(B56, LCP_3Anos[Fii], 0), MATCH(LCP_3Anos[[#HEADERS],[Media_DPA_3Anos]], LCP_3Anos[#HEADERS], 0)),"")</f>
        <v>9.976666667</v>
      </c>
      <c r="M56" s="266">
        <f t="shared" si="15"/>
        <v>41.56944444</v>
      </c>
      <c r="N56" s="267">
        <f t="shared" si="16"/>
        <v>498.8333333</v>
      </c>
      <c r="O56" s="273">
        <v>0.02</v>
      </c>
      <c r="P56" s="274">
        <f t="shared" ref="P56:P60" si="19">$F$91</f>
        <v>0.0761</v>
      </c>
      <c r="Q56" s="20">
        <f t="shared" si="17"/>
        <v>0.097622</v>
      </c>
      <c r="R56" s="10">
        <v>99.15</v>
      </c>
      <c r="S56" s="18">
        <f t="shared" si="18"/>
        <v>4957.5</v>
      </c>
    </row>
    <row r="57" ht="22.5" customHeight="1">
      <c r="A57" s="255">
        <v>50.0</v>
      </c>
      <c r="B57" s="256" t="s">
        <v>40</v>
      </c>
      <c r="C57" s="257">
        <f t="shared" si="10"/>
        <v>0.03686209831</v>
      </c>
      <c r="D57" s="255">
        <v>10.0</v>
      </c>
      <c r="E57" s="258">
        <f>(D57/SUM(Fiis[Nota]))*$D$4</f>
        <v>0.02272727273</v>
      </c>
      <c r="F57" s="259">
        <f t="shared" si="11"/>
        <v>4918.5</v>
      </c>
      <c r="G57" s="260">
        <f>IFERROR(__xludf.DUMMYFUNCTION("GOOGLEFINANCE(B57)"),98.37)</f>
        <v>98.37</v>
      </c>
      <c r="H57" s="261">
        <f t="shared" si="12"/>
        <v>0.9606445313</v>
      </c>
      <c r="I57" s="262">
        <f>IFERROR(__xludf.DUMMYFUNCTION("IFERROR(QUERY(IMPORTRANGE(""16ctS2M9RWvjMVkO6L0BV75dNPXE73e0O2aKZF1Q8mU8"", ""Indicadores!A2:E""), ""SELECT Col2 WHERE Col1 = '""&amp;B57  &amp;""'"", 0), 0)"),102.4)</f>
        <v>102.4</v>
      </c>
      <c r="J57" s="263">
        <f t="shared" si="13"/>
        <v>100.3163796</v>
      </c>
      <c r="K57" s="264">
        <f t="shared" si="14"/>
        <v>0.7711111111</v>
      </c>
      <c r="L57" s="265">
        <f t="array" ref="L57">IFERROR(INDEX(LCP_3Anos[], MATCH(B57, LCP_3Anos[Fii], 0), MATCH(LCP_3Anos[[#HEADERS],[Media_DPA_3Anos]], LCP_3Anos[#HEADERS], 0)),"")</f>
        <v>9.253333333</v>
      </c>
      <c r="M57" s="266">
        <f t="shared" si="15"/>
        <v>38.55555556</v>
      </c>
      <c r="N57" s="267">
        <f t="shared" si="16"/>
        <v>462.6666667</v>
      </c>
      <c r="O57" s="268">
        <v>0.015</v>
      </c>
      <c r="P57" s="269">
        <f t="shared" si="19"/>
        <v>0.0761</v>
      </c>
      <c r="Q57" s="20">
        <f t="shared" si="17"/>
        <v>0.0922415</v>
      </c>
      <c r="R57" s="10">
        <v>97.58</v>
      </c>
      <c r="S57" s="18">
        <f t="shared" si="18"/>
        <v>4879</v>
      </c>
    </row>
    <row r="58" ht="22.5" customHeight="1">
      <c r="A58" s="255">
        <v>50.0</v>
      </c>
      <c r="B58" s="256" t="s">
        <v>48</v>
      </c>
      <c r="C58" s="257">
        <f t="shared" si="10"/>
        <v>0.006969960644</v>
      </c>
      <c r="D58" s="255">
        <v>10.0</v>
      </c>
      <c r="E58" s="258">
        <f>(D58/SUM(Fiis[Nota]))*$D$4</f>
        <v>0.02272727273</v>
      </c>
      <c r="F58" s="259">
        <f t="shared" si="11"/>
        <v>930</v>
      </c>
      <c r="G58" s="260">
        <f>IFERROR(__xludf.DUMMYFUNCTION("GOOGLEFINANCE(B58)"),18.6)</f>
        <v>18.6</v>
      </c>
      <c r="H58" s="261">
        <f t="shared" si="12"/>
        <v>0.9126594701</v>
      </c>
      <c r="I58" s="262">
        <f>IFERROR(__xludf.DUMMYFUNCTION("IFERROR(QUERY(IMPORTRANGE(""16ctS2M9RWvjMVkO6L0BV75dNPXE73e0O2aKZF1Q8mU8"", ""Indicadores!A2:E""), ""SELECT Col2 WHERE Col1 = '""&amp;B58  &amp;""'"", 0), 0)"),20.38)</f>
        <v>20.38</v>
      </c>
      <c r="J58" s="263">
        <f t="shared" si="13"/>
        <v>19.0530823</v>
      </c>
      <c r="K58" s="264">
        <f t="shared" si="14"/>
        <v>0.155</v>
      </c>
      <c r="L58" s="265">
        <f t="array" ref="L58">IFERROR(INDEX(LCP_3Anos[], MATCH(B58, LCP_3Anos[Fii], 0), MATCH(LCP_3Anos[[#HEADERS],[Media_DPA_3Anos]], LCP_3Anos[#HEADERS], 0)),"")</f>
        <v>1.86</v>
      </c>
      <c r="M58" s="266">
        <f t="shared" si="15"/>
        <v>7.75</v>
      </c>
      <c r="N58" s="267">
        <f t="shared" si="16"/>
        <v>93</v>
      </c>
      <c r="O58" s="273">
        <v>0.02</v>
      </c>
      <c r="P58" s="274">
        <f t="shared" si="19"/>
        <v>0.0761</v>
      </c>
      <c r="Q58" s="20">
        <f t="shared" si="17"/>
        <v>0.097622</v>
      </c>
      <c r="R58" s="10">
        <v>18.42</v>
      </c>
      <c r="S58" s="18">
        <f t="shared" si="18"/>
        <v>921</v>
      </c>
    </row>
    <row r="59" ht="22.5" customHeight="1">
      <c r="A59" s="255">
        <v>50.0</v>
      </c>
      <c r="B59" s="256" t="s">
        <v>55</v>
      </c>
      <c r="C59" s="257">
        <f t="shared" si="10"/>
        <v>0.04190969884</v>
      </c>
      <c r="D59" s="255">
        <v>10.0</v>
      </c>
      <c r="E59" s="258">
        <f>(D59/SUM(Fiis[Nota]))*$D$4</f>
        <v>0.02272727273</v>
      </c>
      <c r="F59" s="259">
        <f t="shared" si="11"/>
        <v>5592</v>
      </c>
      <c r="G59" s="260">
        <f>IFERROR(__xludf.DUMMYFUNCTION("GOOGLEFINANCE(B59)"),111.84)</f>
        <v>111.84</v>
      </c>
      <c r="H59" s="261">
        <f t="shared" si="12"/>
        <v>0.9664707916</v>
      </c>
      <c r="I59" s="262">
        <f>IFERROR(__xludf.DUMMYFUNCTION("IFERROR(QUERY(IMPORTRANGE(""16ctS2M9RWvjMVkO6L0BV75dNPXE73e0O2aKZF1Q8mU8"", ""Indicadores!A2:E""), ""SELECT Col2 WHERE Col1 = '""&amp;B59  &amp;""'"", 0), 0)"),115.72)</f>
        <v>115.72</v>
      </c>
      <c r="J59" s="263">
        <f t="shared" si="13"/>
        <v>110.7238427</v>
      </c>
      <c r="K59" s="264">
        <f t="shared" si="14"/>
        <v>0.8511111111</v>
      </c>
      <c r="L59" s="265">
        <f t="array" ref="L59">IFERROR(INDEX(LCP_3Anos[], MATCH(B59, LCP_3Anos[Fii], 0), MATCH(LCP_3Anos[[#HEADERS],[Media_DPA_3Anos]], LCP_3Anos[#HEADERS], 0)),"")</f>
        <v>10.21333333</v>
      </c>
      <c r="M59" s="266">
        <f t="shared" si="15"/>
        <v>42.55555556</v>
      </c>
      <c r="N59" s="267">
        <f t="shared" si="16"/>
        <v>510.6666667</v>
      </c>
      <c r="O59" s="268">
        <v>0.015</v>
      </c>
      <c r="P59" s="269">
        <f t="shared" si="19"/>
        <v>0.0761</v>
      </c>
      <c r="Q59" s="20">
        <f t="shared" si="17"/>
        <v>0.0922415</v>
      </c>
      <c r="R59" s="10">
        <v>100.45</v>
      </c>
      <c r="S59" s="18">
        <f t="shared" si="18"/>
        <v>5022.5</v>
      </c>
    </row>
    <row r="60" ht="22.5" customHeight="1">
      <c r="A60" s="255">
        <v>50.0</v>
      </c>
      <c r="B60" s="256" t="s">
        <v>63</v>
      </c>
      <c r="C60" s="257">
        <f t="shared" si="10"/>
        <v>0.0430900954</v>
      </c>
      <c r="D60" s="255">
        <v>10.0</v>
      </c>
      <c r="E60" s="275">
        <f>(D60/SUM(Fiis[Nota]))*$D$4</f>
        <v>0.02272727273</v>
      </c>
      <c r="F60" s="259">
        <f t="shared" si="11"/>
        <v>5749.5</v>
      </c>
      <c r="G60" s="276">
        <f>IFERROR(__xludf.DUMMYFUNCTION("GOOGLEFINANCE(B60)"),114.99)</f>
        <v>114.99</v>
      </c>
      <c r="H60" s="261">
        <f t="shared" si="12"/>
        <v>0.8920868891</v>
      </c>
      <c r="I60" s="262">
        <f>IFERROR(__xludf.DUMMYFUNCTION("IFERROR(QUERY(IMPORTRANGE(""16ctS2M9RWvjMVkO6L0BV75dNPXE73e0O2aKZF1Q8mU8"", ""Indicadores!A2:E""), ""SELECT Col2 WHERE Col1 = '""&amp;B60  &amp;""'"", 0), 0)"),128.9)</f>
        <v>128.9</v>
      </c>
      <c r="J60" s="277">
        <f t="shared" si="13"/>
        <v>116.776956</v>
      </c>
      <c r="K60" s="264">
        <f t="shared" si="14"/>
        <v>0.95</v>
      </c>
      <c r="L60" s="265">
        <f t="array" ref="L60">IFERROR(INDEX(LCP_3Anos[], MATCH(B60, LCP_3Anos[Fii], 0), MATCH(LCP_3Anos[[#HEADERS],[Media_DPA_3Anos]], LCP_3Anos[#HEADERS], 0)),"")</f>
        <v>11.4</v>
      </c>
      <c r="M60" s="278">
        <f t="shared" si="15"/>
        <v>47.5</v>
      </c>
      <c r="N60" s="279">
        <f t="shared" si="16"/>
        <v>570</v>
      </c>
      <c r="O60" s="268">
        <v>0.02</v>
      </c>
      <c r="P60" s="280">
        <f t="shared" si="19"/>
        <v>0.0761</v>
      </c>
      <c r="Q60" s="281">
        <f t="shared" si="17"/>
        <v>0.097622</v>
      </c>
      <c r="R60" s="10">
        <v>120.0</v>
      </c>
      <c r="S60" s="18">
        <f t="shared" si="18"/>
        <v>6000</v>
      </c>
    </row>
    <row r="61" ht="22.5" customHeight="1">
      <c r="A61" s="255">
        <v>50.0</v>
      </c>
      <c r="B61" s="256" t="s">
        <v>59</v>
      </c>
      <c r="C61" s="257">
        <f t="shared" si="10"/>
        <v>0.003469991159</v>
      </c>
      <c r="D61" s="255">
        <v>10.0</v>
      </c>
      <c r="E61" s="258">
        <f>(D61/SUM(Fiis[Nota]))*$D$4</f>
        <v>0.02272727273</v>
      </c>
      <c r="F61" s="282">
        <f t="shared" si="11"/>
        <v>463</v>
      </c>
      <c r="G61" s="260">
        <f>IFERROR(__xludf.DUMMYFUNCTION("GOOGLEFINANCE(B61)"),9.26)</f>
        <v>9.26</v>
      </c>
      <c r="H61" s="261">
        <f t="shared" si="12"/>
        <v>0.9882604055</v>
      </c>
      <c r="I61" s="262">
        <f>IFERROR(__xludf.DUMMYFUNCTION("IFERROR(QUERY(IMPORTRANGE(""16ctS2M9RWvjMVkO6L0BV75dNPXE73e0O2aKZF1Q8mU8"", ""Indicadores!A2:E""), ""SELECT Col2 WHERE Col1 = '""&amp;B61  &amp;""'"", 0), 0)"),9.37)</f>
        <v>9.37</v>
      </c>
      <c r="J61" s="263">
        <f t="shared" si="13"/>
        <v>9.053835499</v>
      </c>
      <c r="K61" s="264">
        <f t="shared" si="14"/>
        <v>0.0975</v>
      </c>
      <c r="L61" s="283">
        <f t="array" ref="L61">IFERROR(INDEX(LCP_3Anos[], MATCH(B61, LCP_3Anos[Fii], 0), MATCH(LCP_3Anos[[#HEADERS],[Media_DPA_3Anos]], LCP_3Anos[#HEADERS], 0)),"")</f>
        <v>1.17</v>
      </c>
      <c r="M61" s="284">
        <f t="shared" si="15"/>
        <v>4.875</v>
      </c>
      <c r="N61" s="267">
        <f t="shared" si="16"/>
        <v>58.5</v>
      </c>
      <c r="O61" s="285">
        <v>0.045</v>
      </c>
      <c r="P61" s="286">
        <f t="shared" ref="P61:P62" si="20">$F$89</f>
        <v>0.0806</v>
      </c>
      <c r="Q61" s="20">
        <f t="shared" si="17"/>
        <v>0.129227</v>
      </c>
      <c r="R61" s="10">
        <v>9.25</v>
      </c>
      <c r="S61" s="18">
        <f t="shared" si="18"/>
        <v>462.5</v>
      </c>
    </row>
    <row r="62" ht="22.5" customHeight="1">
      <c r="A62" s="255">
        <v>50.0</v>
      </c>
      <c r="B62" s="256" t="s">
        <v>64</v>
      </c>
      <c r="C62" s="257">
        <f t="shared" si="10"/>
        <v>0.02705543863</v>
      </c>
      <c r="D62" s="255">
        <v>0.0</v>
      </c>
      <c r="E62" s="275">
        <f>(D62/SUM(Fiis[Nota]))*$D$4</f>
        <v>0</v>
      </c>
      <c r="F62" s="282">
        <f t="shared" si="11"/>
        <v>3610</v>
      </c>
      <c r="G62" s="276">
        <f>IFERROR(__xludf.DUMMYFUNCTION("GOOGLEFINANCE(B62)"),72.2)</f>
        <v>72.2</v>
      </c>
      <c r="H62" s="261">
        <f t="shared" si="12"/>
        <v>0.7773471146</v>
      </c>
      <c r="I62" s="262">
        <f>IFERROR(__xludf.DUMMYFUNCTION("IFERROR(QUERY(IMPORTRANGE(""16ctS2M9RWvjMVkO6L0BV75dNPXE73e0O2aKZF1Q8mU8"", ""Indicadores!A2:E""), ""SELECT Col2 WHERE Col1 = '""&amp;B62  &amp;""'"", 0), 0)"),92.88)</f>
        <v>92.88</v>
      </c>
      <c r="J62" s="277">
        <f t="shared" si="13"/>
        <v>74.28788102</v>
      </c>
      <c r="K62" s="264">
        <f t="shared" si="14"/>
        <v>0.8</v>
      </c>
      <c r="L62" s="283">
        <f t="array" ref="L62">IFERROR(INDEX(LCP_3Anos[], MATCH(B62, LCP_3Anos[Fii], 0), MATCH(LCP_3Anos[[#HEADERS],[Media_DPA_3Anos]], LCP_3Anos[#HEADERS], 0)),"")</f>
        <v>9.6</v>
      </c>
      <c r="M62" s="287">
        <f t="shared" si="15"/>
        <v>40</v>
      </c>
      <c r="N62" s="288">
        <f t="shared" si="16"/>
        <v>480</v>
      </c>
      <c r="O62" s="285">
        <v>0.045</v>
      </c>
      <c r="P62" s="289">
        <f t="shared" si="20"/>
        <v>0.0806</v>
      </c>
      <c r="Q62" s="281">
        <f t="shared" si="17"/>
        <v>0.129227</v>
      </c>
      <c r="R62" s="290">
        <v>0.0</v>
      </c>
      <c r="S62" s="290">
        <f t="shared" si="18"/>
        <v>0</v>
      </c>
    </row>
    <row r="63" ht="22.5" customHeight="1">
      <c r="A63" s="255">
        <v>50.0</v>
      </c>
      <c r="B63" s="256" t="s">
        <v>61</v>
      </c>
      <c r="C63" s="257">
        <f t="shared" si="10"/>
        <v>0.05516386594</v>
      </c>
      <c r="D63" s="255">
        <v>0.0</v>
      </c>
      <c r="E63" s="258">
        <f>(D63/SUM(Fiis[Nota]))*$D$4</f>
        <v>0</v>
      </c>
      <c r="F63" s="259">
        <f t="shared" si="11"/>
        <v>7360.5</v>
      </c>
      <c r="G63" s="260">
        <f>IFERROR(__xludf.DUMMYFUNCTION("GOOGLEFINANCE(B63)"),147.21)</f>
        <v>147.21</v>
      </c>
      <c r="H63" s="261">
        <f t="shared" si="12"/>
        <v>0.8868072289</v>
      </c>
      <c r="I63" s="262">
        <f>IFERROR(__xludf.DUMMYFUNCTION("IFERROR(QUERY(IMPORTRANGE(""16ctS2M9RWvjMVkO6L0BV75dNPXE73e0O2aKZF1Q8mU8"", ""Indicadores!A2:E""), ""SELECT Col2 WHERE Col1 = '""&amp;B63  &amp;""'"", 0), 0)"),166.0)</f>
        <v>166</v>
      </c>
      <c r="J63" s="263">
        <f t="shared" si="13"/>
        <v>151.9669357</v>
      </c>
      <c r="K63" s="264">
        <f t="shared" si="14"/>
        <v>1.1</v>
      </c>
      <c r="L63" s="265">
        <f t="array" ref="L63">IFERROR(INDEX(LCP_3Anos[], MATCH(B63, LCP_3Anos[Fii], 0), MATCH(LCP_3Anos[[#HEADERS],[Media_DPA_3Anos]], LCP_3Anos[#HEADERS], 0)),"")</f>
        <v>13.2</v>
      </c>
      <c r="M63" s="266">
        <f t="shared" si="15"/>
        <v>55</v>
      </c>
      <c r="N63" s="267">
        <f t="shared" si="16"/>
        <v>660</v>
      </c>
      <c r="O63" s="268">
        <v>0.01</v>
      </c>
      <c r="P63" s="269">
        <f t="shared" ref="P63:P64" si="21">$F$91</f>
        <v>0.0761</v>
      </c>
      <c r="Q63" s="20">
        <f t="shared" si="17"/>
        <v>0.086861</v>
      </c>
      <c r="R63" s="10">
        <v>0.0</v>
      </c>
      <c r="S63" s="18">
        <f t="shared" si="18"/>
        <v>0</v>
      </c>
    </row>
    <row r="64" ht="22.5" customHeight="1">
      <c r="A64" s="255">
        <v>50.0</v>
      </c>
      <c r="B64" s="256" t="s">
        <v>26</v>
      </c>
      <c r="C64" s="257">
        <f t="shared" si="10"/>
        <v>0.05826287532</v>
      </c>
      <c r="D64" s="255">
        <v>10.0</v>
      </c>
      <c r="E64" s="275">
        <f>(D64/SUM(Fiis[Nota]))*$D$4</f>
        <v>0.02272727273</v>
      </c>
      <c r="F64" s="259">
        <f t="shared" si="11"/>
        <v>7774</v>
      </c>
      <c r="G64" s="276">
        <f>IFERROR(__xludf.DUMMYFUNCTION("GOOGLEFINANCE(B64)"),155.48)</f>
        <v>155.48</v>
      </c>
      <c r="H64" s="261">
        <f t="shared" si="12"/>
        <v>0.9529880478</v>
      </c>
      <c r="I64" s="262">
        <f>IFERROR(__xludf.DUMMYFUNCTION("IFERROR(QUERY(IMPORTRANGE(""16ctS2M9RWvjMVkO6L0BV75dNPXE73e0O2aKZF1Q8mU8"", ""Indicadores!A2:E""), ""SELECT Col2 WHERE Col1 = '""&amp;B64  &amp;""'"", 0), 0)"),163.15)</f>
        <v>163.15</v>
      </c>
      <c r="J64" s="277">
        <f t="shared" si="13"/>
        <v>149.7977884</v>
      </c>
      <c r="K64" s="264">
        <f t="shared" si="14"/>
        <v>1.010416667</v>
      </c>
      <c r="L64" s="265">
        <f t="array" ref="L64">IFERROR(INDEX(LCP_3Anos[], MATCH(B64, LCP_3Anos[Fii], 0), MATCH(LCP_3Anos[[#HEADERS],[Media_DPA_3Anos]], LCP_3Anos[#HEADERS], 0)),"")</f>
        <v>12.125</v>
      </c>
      <c r="M64" s="278">
        <f t="shared" si="15"/>
        <v>50.52083333</v>
      </c>
      <c r="N64" s="279">
        <f t="shared" si="16"/>
        <v>606.25</v>
      </c>
      <c r="O64" s="268">
        <v>0.0045</v>
      </c>
      <c r="P64" s="280">
        <f t="shared" si="21"/>
        <v>0.0761</v>
      </c>
      <c r="Q64" s="281">
        <f t="shared" si="17"/>
        <v>0.08094245</v>
      </c>
      <c r="R64" s="10">
        <v>0.0</v>
      </c>
      <c r="S64" s="18">
        <f t="shared" si="18"/>
        <v>0</v>
      </c>
      <c r="T64" s="291"/>
    </row>
    <row r="65">
      <c r="W65" s="291"/>
    </row>
    <row r="66">
      <c r="A66" s="292"/>
      <c r="B66" s="293"/>
      <c r="C66" s="294"/>
      <c r="D66" s="295"/>
      <c r="G66" s="291"/>
      <c r="H66" s="296"/>
      <c r="I66" s="297"/>
      <c r="J66" s="298"/>
      <c r="K66" s="299"/>
      <c r="L66" s="300"/>
      <c r="M66" s="301"/>
      <c r="N66" s="302"/>
      <c r="O66" s="233"/>
      <c r="P66" s="234"/>
      <c r="Q66" s="233"/>
      <c r="R66" s="235"/>
      <c r="S66" s="235"/>
      <c r="T66" s="302"/>
      <c r="U66" s="231"/>
      <c r="V66" s="291"/>
      <c r="W66" s="291"/>
    </row>
    <row r="67">
      <c r="A67" s="292"/>
      <c r="B67" s="293"/>
      <c r="C67" s="294"/>
      <c r="D67" s="295"/>
      <c r="E67" s="291"/>
      <c r="F67" s="296"/>
      <c r="G67" s="291"/>
      <c r="H67" s="296"/>
      <c r="J67" s="298"/>
      <c r="K67" s="299"/>
      <c r="L67" s="300"/>
      <c r="M67" s="301"/>
      <c r="N67" s="302"/>
      <c r="O67" s="233"/>
      <c r="P67" s="234"/>
      <c r="Q67" s="233"/>
      <c r="R67" s="235"/>
      <c r="S67" s="235"/>
      <c r="T67" s="302"/>
      <c r="U67" s="231"/>
      <c r="V67" s="291"/>
      <c r="W67" s="291"/>
    </row>
    <row r="68">
      <c r="A68" s="292"/>
      <c r="B68" s="293"/>
      <c r="C68" s="294"/>
      <c r="D68" s="295"/>
      <c r="G68" s="291"/>
      <c r="H68" s="296"/>
      <c r="I68" s="297"/>
      <c r="J68" s="298"/>
      <c r="K68" s="299"/>
      <c r="L68" s="300"/>
      <c r="N68" s="302"/>
      <c r="O68" s="233"/>
      <c r="P68" s="234"/>
      <c r="Q68" s="233"/>
      <c r="R68" s="235"/>
      <c r="S68" s="235"/>
      <c r="T68" s="302"/>
      <c r="U68" s="231"/>
      <c r="V68" s="291"/>
      <c r="W68" s="291"/>
    </row>
    <row r="69">
      <c r="A69" s="292"/>
      <c r="B69" s="293"/>
      <c r="C69" s="294"/>
      <c r="D69" s="295"/>
      <c r="G69" s="291"/>
      <c r="H69" s="296"/>
      <c r="J69" s="298"/>
      <c r="K69" s="299"/>
      <c r="L69" s="300"/>
      <c r="M69" s="301"/>
      <c r="N69" s="302"/>
      <c r="O69" s="233"/>
      <c r="P69" s="234"/>
      <c r="Q69" s="233"/>
      <c r="R69" s="235"/>
      <c r="S69" s="235"/>
      <c r="T69" s="302"/>
      <c r="U69" s="231"/>
      <c r="V69" s="291"/>
      <c r="W69" s="291"/>
    </row>
    <row r="70">
      <c r="A70" s="292"/>
      <c r="B70" s="293"/>
      <c r="C70" s="294"/>
      <c r="D70" s="295"/>
      <c r="G70" s="291"/>
      <c r="H70" s="296"/>
      <c r="I70" s="297"/>
      <c r="J70" s="298"/>
      <c r="K70" s="299"/>
      <c r="L70" s="300"/>
      <c r="M70" s="301"/>
      <c r="N70" s="302"/>
      <c r="O70" s="233"/>
      <c r="P70" s="234"/>
      <c r="Q70" s="233"/>
      <c r="R70" s="235"/>
      <c r="S70" s="235"/>
      <c r="T70" s="302"/>
      <c r="U70" s="231"/>
      <c r="V70" s="291"/>
      <c r="W70" s="291"/>
    </row>
    <row r="71">
      <c r="A71" s="292"/>
      <c r="B71" s="293"/>
      <c r="C71" s="294"/>
      <c r="D71" s="295"/>
      <c r="G71" s="291"/>
      <c r="H71" s="296"/>
      <c r="I71" s="297"/>
      <c r="J71" s="298"/>
      <c r="K71" s="299"/>
      <c r="L71" s="300"/>
      <c r="M71" s="301"/>
      <c r="N71" s="302"/>
      <c r="O71" s="233"/>
      <c r="P71" s="234"/>
      <c r="Q71" s="233"/>
      <c r="R71" s="235"/>
      <c r="S71" s="235"/>
      <c r="T71" s="302"/>
      <c r="U71" s="231"/>
      <c r="V71" s="291"/>
      <c r="W71" s="291"/>
    </row>
    <row r="72">
      <c r="A72" s="292"/>
      <c r="B72" s="293"/>
      <c r="C72" s="294"/>
      <c r="D72" s="295"/>
      <c r="G72" s="291"/>
      <c r="H72" s="296"/>
      <c r="I72" s="297"/>
      <c r="J72" s="298"/>
      <c r="K72" s="299"/>
      <c r="L72" s="300"/>
      <c r="M72" s="301"/>
      <c r="N72" s="302"/>
      <c r="O72" s="233"/>
      <c r="P72" s="234"/>
      <c r="Q72" s="233"/>
      <c r="R72" s="235"/>
      <c r="S72" s="235"/>
      <c r="T72" s="302"/>
      <c r="U72" s="231"/>
      <c r="V72" s="291"/>
      <c r="W72" s="291"/>
    </row>
    <row r="73">
      <c r="A73" s="292"/>
      <c r="B73" s="293"/>
      <c r="C73" s="294"/>
      <c r="D73" s="295"/>
      <c r="G73" s="291"/>
      <c r="H73" s="296"/>
      <c r="I73" s="297"/>
      <c r="J73" s="298"/>
      <c r="K73" s="299"/>
      <c r="L73" s="300"/>
      <c r="M73" s="301"/>
      <c r="N73" s="302"/>
      <c r="O73" s="233"/>
      <c r="P73" s="234"/>
      <c r="Q73" s="233"/>
      <c r="R73" s="235"/>
      <c r="S73" s="235"/>
      <c r="T73" s="302"/>
      <c r="U73" s="231"/>
      <c r="V73" s="291"/>
      <c r="W73" s="291"/>
    </row>
    <row r="74">
      <c r="A74" s="292"/>
      <c r="B74" s="293"/>
      <c r="C74" s="294"/>
      <c r="D74" s="295"/>
      <c r="E74" s="291"/>
      <c r="F74" s="296"/>
      <c r="G74" s="291"/>
      <c r="H74" s="296"/>
      <c r="I74" s="297"/>
      <c r="J74" s="298"/>
      <c r="K74" s="299"/>
      <c r="L74" s="300"/>
      <c r="M74" s="301"/>
      <c r="N74" s="302"/>
      <c r="O74" s="233"/>
      <c r="P74" s="234"/>
      <c r="Q74" s="233"/>
      <c r="R74" s="235"/>
      <c r="S74" s="235"/>
      <c r="T74" s="302"/>
      <c r="U74" s="231"/>
      <c r="V74" s="291"/>
      <c r="W74" s="291"/>
    </row>
    <row r="75">
      <c r="A75" s="292"/>
      <c r="B75" s="293"/>
      <c r="C75" s="294"/>
      <c r="D75" s="295"/>
      <c r="E75" s="291"/>
      <c r="F75" s="296"/>
      <c r="G75" s="291"/>
      <c r="H75" s="296"/>
      <c r="I75" s="297"/>
      <c r="K75" s="299"/>
      <c r="L75" s="300"/>
      <c r="M75" s="301"/>
      <c r="N75" s="302"/>
      <c r="O75" s="233"/>
      <c r="P75" s="234"/>
      <c r="Q75" s="233"/>
      <c r="R75" s="235"/>
      <c r="S75" s="235"/>
      <c r="T75" s="302"/>
      <c r="U75" s="231"/>
      <c r="V75" s="291"/>
      <c r="W75" s="291"/>
    </row>
    <row r="76">
      <c r="A76" s="292"/>
      <c r="B76" s="293"/>
      <c r="C76" s="294"/>
      <c r="D76" s="295"/>
      <c r="E76" s="291"/>
      <c r="F76" s="296"/>
      <c r="G76" s="291"/>
      <c r="H76" s="296"/>
      <c r="I76" s="297"/>
      <c r="J76" s="298"/>
      <c r="K76" s="299"/>
      <c r="L76" s="300"/>
      <c r="M76" s="301"/>
      <c r="N76" s="302"/>
      <c r="O76" s="233"/>
      <c r="P76" s="234"/>
      <c r="Q76" s="233"/>
      <c r="R76" s="235"/>
      <c r="S76" s="235"/>
      <c r="T76" s="302"/>
      <c r="U76" s="231"/>
      <c r="V76" s="291"/>
      <c r="W76" s="291"/>
    </row>
    <row r="77">
      <c r="V77" s="291"/>
      <c r="W77" s="291"/>
    </row>
    <row r="78">
      <c r="V78" s="291"/>
      <c r="W78" s="291"/>
    </row>
    <row r="79">
      <c r="V79" s="291"/>
      <c r="W79" s="291"/>
    </row>
    <row r="80">
      <c r="V80" s="291"/>
      <c r="W80" s="291"/>
    </row>
    <row r="81">
      <c r="V81" s="291"/>
      <c r="W81" s="291"/>
    </row>
    <row r="82" ht="22.5" customHeight="1">
      <c r="A82" s="1" t="s">
        <v>65</v>
      </c>
      <c r="B82" s="4" t="s">
        <v>232</v>
      </c>
      <c r="C82" s="1" t="s">
        <v>141</v>
      </c>
      <c r="D82" s="1" t="s">
        <v>233</v>
      </c>
      <c r="E82" s="1" t="s">
        <v>234</v>
      </c>
      <c r="F82" s="4" t="s">
        <v>235</v>
      </c>
      <c r="G82" s="1" t="s">
        <v>236</v>
      </c>
      <c r="H82" s="50" t="s">
        <v>237</v>
      </c>
      <c r="I82" s="50" t="s">
        <v>238</v>
      </c>
      <c r="J82" s="8" t="s">
        <v>239</v>
      </c>
      <c r="K82" s="8" t="s">
        <v>240</v>
      </c>
      <c r="L82" s="8" t="s">
        <v>241</v>
      </c>
    </row>
    <row r="83" ht="22.5" customHeight="1">
      <c r="A83" s="14" t="s">
        <v>242</v>
      </c>
      <c r="B83" s="303">
        <v>20000.0</v>
      </c>
      <c r="C83" s="304">
        <f t="shared" ref="C83:C84" si="22">SUM(B83,K83)</f>
        <v>20046.3991</v>
      </c>
      <c r="D83" s="305">
        <f t="shared" ref="D83:D85" si="23">IFERROR(SUM(C83/$B$9),0)</f>
        <v>0.1502393686</v>
      </c>
      <c r="E83" s="306">
        <v>1.15</v>
      </c>
      <c r="F83" s="305">
        <f t="shared" ref="F83:F84" si="24">E83 * (1 - 0.225)</f>
        <v>0.89125</v>
      </c>
      <c r="G83" s="305">
        <f>F83*Indicadores!$J$3</f>
        <v>0.12388375</v>
      </c>
      <c r="H83" s="307">
        <v>46251.0</v>
      </c>
      <c r="I83" s="308">
        <f t="shared" ref="I83:I84" si="25">TODAY()</f>
        <v>46257</v>
      </c>
      <c r="J83" s="309">
        <f>NETWORKDAYS(H83, I83, FERIADOS!B:B)</f>
        <v>5</v>
      </c>
      <c r="K83" s="310">
        <f t="shared" ref="K83:K84" si="26">(B83 * ((1 + L83) ^ J83))-B83</f>
        <v>46.39910424</v>
      </c>
      <c r="L83" s="311">
        <f t="shared" ref="L83:L84" si="27">((1 + G83) ^ (1/252)) - 1
</f>
        <v>0.0004635610654</v>
      </c>
    </row>
    <row r="84" ht="22.5" customHeight="1">
      <c r="A84" s="14" t="s">
        <v>243</v>
      </c>
      <c r="B84" s="312">
        <v>50.0</v>
      </c>
      <c r="C84" s="304">
        <f t="shared" si="22"/>
        <v>50.2650397</v>
      </c>
      <c r="D84" s="305">
        <f t="shared" si="23"/>
        <v>0.0003767154285</v>
      </c>
      <c r="E84" s="306">
        <v>1.09</v>
      </c>
      <c r="F84" s="305">
        <f t="shared" si="24"/>
        <v>0.84475</v>
      </c>
      <c r="G84" s="305">
        <f>F84*Indicadores!$J$3</f>
        <v>0.11742025</v>
      </c>
      <c r="H84" s="313">
        <v>46240.0</v>
      </c>
      <c r="I84" s="308">
        <f t="shared" si="25"/>
        <v>46257</v>
      </c>
      <c r="J84" s="309">
        <f>NETWORKDAYS(H84, I84, FERIADOS!B:B)</f>
        <v>12</v>
      </c>
      <c r="K84" s="310">
        <f t="shared" si="26"/>
        <v>0.2650397029</v>
      </c>
      <c r="L84" s="311">
        <f t="shared" si="27"/>
        <v>0.0004406632552</v>
      </c>
    </row>
    <row r="85" ht="22.5" customHeight="1">
      <c r="A85" s="14" t="s">
        <v>244</v>
      </c>
      <c r="B85" s="14">
        <v>0.5</v>
      </c>
      <c r="C85" s="304">
        <f>B85*Indicadores!$E$7</f>
        <v>9824.2</v>
      </c>
      <c r="D85" s="305">
        <f t="shared" si="23"/>
        <v>0.07362826598</v>
      </c>
      <c r="E85" s="314"/>
      <c r="F85" s="305"/>
      <c r="G85" s="305"/>
      <c r="H85" s="315"/>
      <c r="I85" s="315"/>
      <c r="J85" s="316"/>
      <c r="K85" s="317"/>
      <c r="L85" s="316"/>
    </row>
    <row r="86">
      <c r="A86" s="6"/>
      <c r="B86" s="6"/>
      <c r="C86" s="6"/>
    </row>
    <row r="87">
      <c r="A87" s="6"/>
      <c r="B87" s="6"/>
      <c r="C87" s="6"/>
    </row>
    <row r="88" ht="22.5" customHeight="1">
      <c r="A88" s="1" t="s">
        <v>65</v>
      </c>
      <c r="B88" s="4" t="s">
        <v>232</v>
      </c>
      <c r="C88" s="4" t="s">
        <v>245</v>
      </c>
      <c r="D88" s="1" t="s">
        <v>141</v>
      </c>
      <c r="E88" s="1" t="s">
        <v>233</v>
      </c>
      <c r="F88" s="1" t="s">
        <v>246</v>
      </c>
      <c r="G88" s="4" t="s">
        <v>247</v>
      </c>
      <c r="H88" s="1" t="s">
        <v>236</v>
      </c>
    </row>
    <row r="89" ht="22.5" customHeight="1">
      <c r="A89" s="312" t="str">
        <f>Indicadores!A3</f>
        <v>Tesouro IPCA+ 2029</v>
      </c>
      <c r="B89" s="316"/>
      <c r="C89" s="304"/>
      <c r="D89" s="304"/>
      <c r="E89" s="305">
        <f t="shared" ref="E89:E92" si="28">IFERROR(SUM(D89/$B$9),0)</f>
        <v>0</v>
      </c>
      <c r="F89" s="306">
        <f>Indicadores!D3</f>
        <v>0.0806</v>
      </c>
      <c r="G89" s="305">
        <f t="shared" ref="G89:G92" si="29">F89 * (1 - 0.15)</f>
        <v>0.06851</v>
      </c>
      <c r="H89" s="305">
        <f>IFERROR((1+Indicadores!$J$4) * (1+G89)-1, 0)</f>
        <v>0.1159841623</v>
      </c>
    </row>
    <row r="90" ht="22.5" customHeight="1">
      <c r="A90" s="312" t="str">
        <f>Indicadores!A4</f>
        <v>Tesouro IPCA+ 2032</v>
      </c>
      <c r="B90" s="316"/>
      <c r="C90" s="304">
        <f>Indicadores!C4</f>
        <v>3007.31</v>
      </c>
      <c r="D90" s="304">
        <f t="shared" ref="D90:D91" si="30">B90*C90</f>
        <v>0</v>
      </c>
      <c r="E90" s="305">
        <f t="shared" si="28"/>
        <v>0</v>
      </c>
      <c r="F90" s="306">
        <f>Indicadores!D4</f>
        <v>0.0808</v>
      </c>
      <c r="G90" s="305">
        <f t="shared" si="29"/>
        <v>0.06868</v>
      </c>
      <c r="H90" s="305">
        <f>IFERROR((1+Indicadores!$J$4) * (1+G90)-1, 0)</f>
        <v>0.1161617155</v>
      </c>
    </row>
    <row r="91" ht="22.5" customHeight="1">
      <c r="A91" s="312" t="str">
        <f>Indicadores!A5</f>
        <v>Tesouro IPCA+ 2040</v>
      </c>
      <c r="B91" s="316"/>
      <c r="C91" s="304">
        <f>Indicadores!C5</f>
        <v>1737.24</v>
      </c>
      <c r="D91" s="304">
        <f t="shared" si="30"/>
        <v>0</v>
      </c>
      <c r="E91" s="305">
        <f t="shared" si="28"/>
        <v>0</v>
      </c>
      <c r="F91" s="306">
        <f>Indicadores!D5</f>
        <v>0.0761</v>
      </c>
      <c r="G91" s="305">
        <f t="shared" si="29"/>
        <v>0.064685</v>
      </c>
      <c r="H91" s="305">
        <f>IFERROR((1+Indicadores!$J$4) * (1+G91)-1, 0)</f>
        <v>0.1119892167</v>
      </c>
    </row>
    <row r="92" ht="22.5" customHeight="1">
      <c r="A92" s="312" t="str">
        <f>Indicadores!A6</f>
        <v>Tesouro Renda+ Aposentadoria Extra 2065</v>
      </c>
      <c r="B92" s="14">
        <v>10.79</v>
      </c>
      <c r="C92" s="304">
        <f>Indicadores!C6</f>
        <v>186.18</v>
      </c>
      <c r="D92" s="304">
        <f>B92*Indicadores!E6</f>
        <v>1908.4273</v>
      </c>
      <c r="E92" s="305">
        <f t="shared" si="28"/>
        <v>0.01430286363</v>
      </c>
      <c r="F92" s="306">
        <f>Indicadores!D6</f>
        <v>0.0726</v>
      </c>
      <c r="G92" s="305">
        <f t="shared" si="29"/>
        <v>0.06171</v>
      </c>
      <c r="H92" s="305">
        <f>IFERROR((1+Indicadores!$J$4) * (1+G92)-1, 0)</f>
        <v>0.1088820367</v>
      </c>
    </row>
    <row r="94">
      <c r="A94" s="6"/>
      <c r="B94" s="6"/>
      <c r="C94" s="6"/>
    </row>
    <row r="95">
      <c r="A95" s="6"/>
      <c r="B95" s="6"/>
      <c r="C95" s="6"/>
    </row>
    <row r="96" ht="22.5" customHeight="1">
      <c r="A96" s="1" t="s">
        <v>248</v>
      </c>
      <c r="B96" s="1" t="s">
        <v>232</v>
      </c>
      <c r="C96" s="1" t="s">
        <v>210</v>
      </c>
      <c r="D96" s="1" t="s">
        <v>136</v>
      </c>
      <c r="E96" s="4" t="s">
        <v>249</v>
      </c>
      <c r="F96" s="1" t="s">
        <v>245</v>
      </c>
      <c r="G96" s="4" t="s">
        <v>250</v>
      </c>
    </row>
    <row r="97" ht="22.5" customHeight="1">
      <c r="A97" s="318" t="s">
        <v>251</v>
      </c>
      <c r="B97" s="318">
        <v>1.04420291</v>
      </c>
      <c r="C97" s="319">
        <f t="shared" ref="C97:C99" si="31">IFERROR(SUM(D97/$B$9),0)</f>
        <v>0.02140643456</v>
      </c>
      <c r="D97" s="320">
        <f t="shared" ref="D97:D98" si="32">(B97*F97)*G97</f>
        <v>2856.254885</v>
      </c>
      <c r="E97" s="321">
        <f t="shared" ref="E97:E98" si="33">B97*F97</f>
        <v>555.7456728</v>
      </c>
      <c r="F97" s="61">
        <f>IFERROR(__xludf.DUMMYFUNCTION("GOOGLEFINANCE(A97)"),532.22)</f>
        <v>532.22</v>
      </c>
      <c r="G97" s="322">
        <f>IFERROR(__xludf.DUMMYFUNCTION("GOOGLEFINANCE(""CURRENCY:USD/BRL"")"),5.1395)</f>
        <v>5.1395</v>
      </c>
      <c r="J97" s="323"/>
    </row>
    <row r="98" ht="22.5" customHeight="1">
      <c r="A98" s="318" t="s">
        <v>252</v>
      </c>
      <c r="B98" s="318">
        <v>3.90443446</v>
      </c>
      <c r="C98" s="319">
        <f t="shared" si="31"/>
        <v>0.01514453194</v>
      </c>
      <c r="D98" s="320">
        <f t="shared" si="32"/>
        <v>2020.730879</v>
      </c>
      <c r="E98" s="321">
        <f t="shared" si="33"/>
        <v>393.1765501</v>
      </c>
      <c r="F98" s="61">
        <f>IFERROR(__xludf.DUMMYFUNCTION("GOOGLEFINANCE(A98)"),100.7)</f>
        <v>100.7</v>
      </c>
      <c r="G98" s="322">
        <f>IFERROR(__xludf.DUMMYFUNCTION("GOOGLEFINANCE(""CURRENCY:USD/BRL"")"),5.1395)</f>
        <v>5.1395</v>
      </c>
      <c r="J98" s="323"/>
    </row>
    <row r="99" ht="22.5" customHeight="1">
      <c r="A99" s="318" t="s">
        <v>253</v>
      </c>
      <c r="B99" s="324">
        <v>50.0</v>
      </c>
      <c r="C99" s="319">
        <f t="shared" si="31"/>
        <v>0.006522677327</v>
      </c>
      <c r="D99" s="320">
        <f>B99*F99</f>
        <v>870.3191056</v>
      </c>
      <c r="E99" s="321"/>
      <c r="F99" s="61">
        <f>IFERROR(__xludf.DUMMYFUNCTION("GOOGLEFINANCE(""IVVB11"")* 0.039040892927697"),17.40638211181371)</f>
        <v>17.40638211</v>
      </c>
      <c r="G99" s="322">
        <f>IFERROR(__xludf.DUMMYFUNCTION("GOOGLEFINANCE(""CURRENCY:USD/BRL"")"),5.1395)</f>
        <v>5.1395</v>
      </c>
      <c r="J99" s="323"/>
    </row>
    <row r="101">
      <c r="A101" s="5"/>
      <c r="B101" s="5"/>
      <c r="C101" s="5"/>
      <c r="D101" s="5"/>
      <c r="E101" s="5"/>
      <c r="F101" s="5"/>
      <c r="G101" s="5"/>
    </row>
    <row r="102">
      <c r="A102" s="5"/>
      <c r="B102" s="5"/>
      <c r="C102" s="5"/>
      <c r="D102" s="5"/>
      <c r="E102" s="5"/>
      <c r="F102" s="5"/>
      <c r="G102" s="5"/>
      <c r="L102" s="5"/>
      <c r="M102" s="5"/>
      <c r="N102" s="5"/>
      <c r="O102" s="5"/>
    </row>
    <row r="103" ht="22.5" customHeight="1">
      <c r="A103" s="325" t="s">
        <v>160</v>
      </c>
      <c r="B103" s="325" t="s">
        <v>232</v>
      </c>
      <c r="C103" s="325" t="s">
        <v>210</v>
      </c>
      <c r="D103" s="326" t="s">
        <v>136</v>
      </c>
      <c r="E103" s="326" t="s">
        <v>249</v>
      </c>
      <c r="F103" s="326" t="s">
        <v>245</v>
      </c>
      <c r="G103" s="326" t="s">
        <v>254</v>
      </c>
      <c r="H103" s="4" t="s">
        <v>255</v>
      </c>
      <c r="I103" s="1" t="s">
        <v>256</v>
      </c>
      <c r="J103" s="1" t="s">
        <v>257</v>
      </c>
      <c r="K103" s="1" t="s">
        <v>258</v>
      </c>
      <c r="L103" s="5"/>
      <c r="M103" s="5"/>
      <c r="N103" s="5"/>
      <c r="O103" s="5"/>
      <c r="P103" s="43"/>
    </row>
    <row r="104" ht="22.5" customHeight="1">
      <c r="A104" s="327" t="s">
        <v>259</v>
      </c>
      <c r="B104" s="328">
        <v>0.00808981</v>
      </c>
      <c r="C104" s="329">
        <f>IFERROR(SUM(D104/B9),0)</f>
        <v>0.02420258932</v>
      </c>
      <c r="D104" s="330">
        <f t="shared" ref="D104:D105" si="34">B104*F104</f>
        <v>3229.345074</v>
      </c>
      <c r="E104" s="331">
        <f>B104*G104</f>
        <v>628.3383741</v>
      </c>
      <c r="F104" s="330">
        <f>IFERROR(__xludf.DUMMYFUNCTION("GOOGLEFINANCE(""CURRENCY:BTCBRL"")
"),399186.7638)</f>
        <v>399186.7638</v>
      </c>
      <c r="G104" s="332">
        <f>IFERROR(__xludf.DUMMYFUNCTION("GOOGLEFINANCE(""CURRENCY:BTCUSD"")
"),77670.35)</f>
        <v>77670.35</v>
      </c>
      <c r="H104" s="317">
        <f>B104*J104</f>
        <v>4246.42694</v>
      </c>
      <c r="I104" s="305">
        <f>IFERROR(SUM((B104*J104/B9),0),"")</f>
        <v>0.0318251921</v>
      </c>
      <c r="J104" s="304">
        <v>524910.59</v>
      </c>
      <c r="K104" s="317">
        <f>H104-D104</f>
        <v>1017.081866</v>
      </c>
    </row>
    <row r="105" ht="22.5" customHeight="1">
      <c r="A105" s="333" t="s">
        <v>260</v>
      </c>
      <c r="B105" s="328">
        <v>0.54351</v>
      </c>
      <c r="C105" s="329">
        <f>IFERROR(SUM(D105/B9),0)</f>
        <v>0.00002093513601</v>
      </c>
      <c r="D105" s="330">
        <f t="shared" si="34"/>
        <v>2.793369645</v>
      </c>
      <c r="E105" s="331"/>
      <c r="F105" s="330">
        <f>IFERROR(__xludf.DUMMYFUNCTION("GOOGLEFINANCE(""CURRENCY:USDTBRL"")
"),5.1395)</f>
        <v>5.1395</v>
      </c>
      <c r="G105" s="332"/>
      <c r="H105" s="317"/>
      <c r="I105" s="305"/>
      <c r="J105" s="317"/>
      <c r="K105" s="316"/>
    </row>
    <row r="106">
      <c r="A106" s="6"/>
      <c r="B106" s="6"/>
      <c r="C106" s="6"/>
    </row>
  </sheetData>
  <mergeCells count="1">
    <mergeCell ref="A19:B19"/>
  </mergeCells>
  <conditionalFormatting sqref="C82:C84">
    <cfRule type="expression" dxfId="6" priority="1">
      <formula>AND($A82="RECR11", ($E82) &gt; ($C82))</formula>
    </cfRule>
  </conditionalFormatting>
  <conditionalFormatting sqref="C82:C84">
    <cfRule type="expression" dxfId="6" priority="2">
      <formula>AND($A82="MXRF11", ($E82) &gt; ($C82))</formula>
    </cfRule>
  </conditionalFormatting>
  <conditionalFormatting sqref="C82:C84">
    <cfRule type="expression" dxfId="6" priority="3">
      <formula>AND($A82="BTCI11", ($E82) &gt; ($C82))</formula>
    </cfRule>
  </conditionalFormatting>
  <conditionalFormatting sqref="D82:D85">
    <cfRule type="expression" dxfId="6" priority="4">
      <formula>AND($A82="RECR11", ($D82) &gt; ($C82)) </formula>
    </cfRule>
  </conditionalFormatting>
  <conditionalFormatting sqref="D82:D85">
    <cfRule type="expression" dxfId="6" priority="5">
      <formula>AND($A82="MXRF11", ($D82) &gt; ($C82)) </formula>
    </cfRule>
  </conditionalFormatting>
  <conditionalFormatting sqref="D82:D85">
    <cfRule type="expression" dxfId="6" priority="6">
      <formula>AND($A82="BTCI11", ($D82) &gt; ($C82)) </formula>
    </cfRule>
  </conditionalFormatting>
  <conditionalFormatting sqref="D88">
    <cfRule type="expression" dxfId="6" priority="7">
      <formula>AND($A88="BTCI11", ($F88) &gt; ($D88))</formula>
    </cfRule>
  </conditionalFormatting>
  <conditionalFormatting sqref="D88">
    <cfRule type="expression" dxfId="6" priority="8">
      <formula>AND($A88="MXRF11", ($F88) &gt; ($D88))</formula>
    </cfRule>
  </conditionalFormatting>
  <conditionalFormatting sqref="D88">
    <cfRule type="expression" dxfId="6" priority="9">
      <formula>AND($A88="RECR11", ($F88) &gt; ($D88))</formula>
    </cfRule>
  </conditionalFormatting>
  <conditionalFormatting sqref="E88">
    <cfRule type="expression" dxfId="6" priority="10">
      <formula>AND($A88="BTCI11", ($E88) &gt; ($D88)) </formula>
    </cfRule>
  </conditionalFormatting>
  <conditionalFormatting sqref="E88">
    <cfRule type="expression" dxfId="6" priority="11">
      <formula>AND($A88="MXRF11", ($E88) &gt; ($D88)) </formula>
    </cfRule>
  </conditionalFormatting>
  <conditionalFormatting sqref="E88">
    <cfRule type="expression" dxfId="6" priority="12">
      <formula>AND($A88="RECR11", ($E88) &gt; ($D88)) </formula>
    </cfRule>
  </conditionalFormatting>
  <conditionalFormatting sqref="G52:G65">
    <cfRule type="expression" dxfId="6" priority="13">
      <formula>AND($B52="GGRC11", ($G52) &gt;= ($I52))</formula>
    </cfRule>
  </conditionalFormatting>
  <conditionalFormatting sqref="G52:G65">
    <cfRule type="expression" dxfId="6" priority="14">
      <formula>AND($B52="RZTR11", ($G52) &gt;= ($I52))</formula>
    </cfRule>
  </conditionalFormatting>
  <conditionalFormatting sqref="G52:G65">
    <cfRule type="expression" dxfId="6" priority="15">
      <formula>AND($B52="BRCO11", ($G52) &gt;= ($I52))</formula>
    </cfRule>
  </conditionalFormatting>
  <conditionalFormatting sqref="G52:G65">
    <cfRule type="expression" dxfId="6" priority="16">
      <formula>AND($B52="HGBS11", ($G52) &gt;= ($I52))</formula>
    </cfRule>
  </conditionalFormatting>
  <conditionalFormatting sqref="G52:G65">
    <cfRule type="expression" dxfId="6" priority="17">
      <formula>AND($B52="BTLG11", ($G52) &gt;= ($I52))</formula>
    </cfRule>
  </conditionalFormatting>
  <conditionalFormatting sqref="G52:G65">
    <cfRule type="expression" dxfId="6" priority="18">
      <formula>AND($B52="HGLG11", ($G52) &gt;= ($I52))</formula>
    </cfRule>
  </conditionalFormatting>
  <conditionalFormatting sqref="G52:G65">
    <cfRule type="expression" dxfId="6" priority="19">
      <formula>AND($B52="PMLL11", ($G52) &gt;= ($I52))</formula>
    </cfRule>
  </conditionalFormatting>
  <conditionalFormatting sqref="G52:G65">
    <cfRule type="expression" dxfId="6" priority="20">
      <formula>AND($B52="BTCI11", ($G52) &gt;= ($I52))</formula>
    </cfRule>
  </conditionalFormatting>
  <conditionalFormatting sqref="G52:G65">
    <cfRule type="expression" dxfId="6" priority="21">
      <formula>AND($B52="GARE11", ($G52) &gt;= ($I52))</formula>
    </cfRule>
  </conditionalFormatting>
  <conditionalFormatting sqref="G52:G65">
    <cfRule type="expression" dxfId="6" priority="22">
      <formula>AND($B52="LVBI11", ($G52) &gt;= ($I52))</formula>
    </cfRule>
  </conditionalFormatting>
  <conditionalFormatting sqref="G52:G65">
    <cfRule type="expression" dxfId="6" priority="23">
      <formula>AND($B52="MXRF11", ($G52) &gt;= ($I52))</formula>
    </cfRule>
  </conditionalFormatting>
  <conditionalFormatting sqref="G52:G65">
    <cfRule type="expression" dxfId="6" priority="24">
      <formula>AND($B52="XPLG11", ($G52) &gt;= ($I52))</formula>
    </cfRule>
  </conditionalFormatting>
  <conditionalFormatting sqref="G52:G65">
    <cfRule type="expression" dxfId="6" priority="25">
      <formula>AND($B52="RBRX11", ($G52) &gt;= ($I52))</formula>
    </cfRule>
  </conditionalFormatting>
  <conditionalFormatting sqref="G52:G65">
    <cfRule type="expression" dxfId="6" priority="26">
      <formula>AND($B52="RBRF11", ($G52) &gt;= ($I52))</formula>
    </cfRule>
  </conditionalFormatting>
  <conditionalFormatting sqref="G52:G65">
    <cfRule type="expression" dxfId="6" priority="27">
      <formula>AND($B52="RECR11", ($G52) &gt;= ($I52))</formula>
    </cfRule>
  </conditionalFormatting>
  <conditionalFormatting sqref="G52:G65">
    <cfRule type="expression" dxfId="11" priority="28">
      <formula>AND($B52="PMLL11", ($G52) &gt; ($J52))</formula>
    </cfRule>
  </conditionalFormatting>
  <conditionalFormatting sqref="G52:G65">
    <cfRule type="expression" dxfId="11" priority="29">
      <formula>AND($B52="GGRC11", ($G52) &gt; ($J52))</formula>
    </cfRule>
  </conditionalFormatting>
  <conditionalFormatting sqref="G52:G65">
    <cfRule type="expression" dxfId="11" priority="30">
      <formula>AND($B52="LVBI11", ($G52) &gt; ($J52))</formula>
    </cfRule>
  </conditionalFormatting>
  <conditionalFormatting sqref="G52:G65">
    <cfRule type="expression" dxfId="11" priority="31">
      <formula>AND($B52="BTLG11", ($G52) &gt; ($J52))</formula>
    </cfRule>
  </conditionalFormatting>
  <conditionalFormatting sqref="G52:G65">
    <cfRule type="expression" dxfId="11" priority="32">
      <formula>AND($B52="BTCI11", ($G52) &gt; ($J52))</formula>
    </cfRule>
  </conditionalFormatting>
  <conditionalFormatting sqref="G52:G65">
    <cfRule type="expression" dxfId="11" priority="33">
      <formula>AND($B52="GARE11", ($G52) &gt; ($J52))</formula>
    </cfRule>
  </conditionalFormatting>
  <conditionalFormatting sqref="G52:G65">
    <cfRule type="expression" dxfId="11" priority="34">
      <formula>AND($B52="HGLG11", ($G52) &gt; ($J52))</formula>
    </cfRule>
  </conditionalFormatting>
  <conditionalFormatting sqref="G52:G65">
    <cfRule type="expression" dxfId="11" priority="35">
      <formula>AND($B52="XPLG11", ($G52) &gt; ($J52))</formula>
    </cfRule>
  </conditionalFormatting>
  <conditionalFormatting sqref="G52:G65">
    <cfRule type="expression" dxfId="11" priority="36">
      <formula>AND($B52="MXRF11", ($G52) &gt; ($J52))</formula>
    </cfRule>
  </conditionalFormatting>
  <conditionalFormatting sqref="G52:G65">
    <cfRule type="expression" dxfId="11" priority="37">
      <formula>AND($B52="HGBS11", ($G52) &gt; ($J52))</formula>
    </cfRule>
  </conditionalFormatting>
  <conditionalFormatting sqref="G52:G65">
    <cfRule type="expression" dxfId="11" priority="38">
      <formula>AND($B52="RZTR11", ($G52) &gt; ($J52))</formula>
    </cfRule>
  </conditionalFormatting>
  <conditionalFormatting sqref="G52:G65">
    <cfRule type="expression" dxfId="11" priority="39">
      <formula>AND($B52="BRCO11", ($G52) &gt; ($J52))</formula>
    </cfRule>
  </conditionalFormatting>
  <conditionalFormatting sqref="G52:G65">
    <cfRule type="expression" dxfId="12" priority="40">
      <formula>AND($B52="XPLG11", ($G52) &lt; ($J52))</formula>
    </cfRule>
  </conditionalFormatting>
  <conditionalFormatting sqref="G52:G65">
    <cfRule type="expression" dxfId="12" priority="41">
      <formula>AND($B52="HGBS11", ($G52) &lt; ($J52))</formula>
    </cfRule>
  </conditionalFormatting>
  <conditionalFormatting sqref="G52:G65">
    <cfRule type="expression" dxfId="12" priority="42">
      <formula>AND($B52="RZTR11", ($G52) &lt; ($J52))</formula>
    </cfRule>
  </conditionalFormatting>
  <conditionalFormatting sqref="G52:G65">
    <cfRule type="expression" dxfId="12" priority="43">
      <formula>AND($B52="GGRC11", ($G52) &lt; ($J52))</formula>
    </cfRule>
  </conditionalFormatting>
  <conditionalFormatting sqref="G52:G65">
    <cfRule type="expression" dxfId="12" priority="44">
      <formula>AND($B52="BRCO11", ($G52) &lt; ($J52))</formula>
    </cfRule>
  </conditionalFormatting>
  <conditionalFormatting sqref="G52:G65">
    <cfRule type="expression" dxfId="12" priority="45">
      <formula>AND($B52="GARE11", ($G52) &lt; ($J52))</formula>
    </cfRule>
  </conditionalFormatting>
  <conditionalFormatting sqref="G52:G65">
    <cfRule type="expression" dxfId="12" priority="46">
      <formula>AND($B52="HGLG11", ($G52) &lt; ($J52))</formula>
    </cfRule>
  </conditionalFormatting>
  <conditionalFormatting sqref="G52:G65">
    <cfRule type="expression" dxfId="12" priority="47">
      <formula>AND($B52="BTLG11", ($G52) &lt; ($J52))</formula>
    </cfRule>
  </conditionalFormatting>
  <conditionalFormatting sqref="G52:G65">
    <cfRule type="expression" dxfId="12" priority="48">
      <formula>AND($B52="LVBI11", ($G52) &lt; ($J52))</formula>
    </cfRule>
  </conditionalFormatting>
  <conditionalFormatting sqref="G52:G65">
    <cfRule type="expression" dxfId="12" priority="49">
      <formula>AND($B52="PMLL11", ($G52) &lt; ($J52))</formula>
    </cfRule>
  </conditionalFormatting>
  <conditionalFormatting sqref="G52:G65">
    <cfRule type="expression" dxfId="12" priority="50">
      <formula>AND($B52="BTCI11", ($G52) &lt; ($J52))</formula>
    </cfRule>
  </conditionalFormatting>
  <conditionalFormatting sqref="G52:G65">
    <cfRule type="expression" dxfId="12" priority="51">
      <formula>AND($B52="RBRX11", ($G52) &lt;($J52))</formula>
    </cfRule>
  </conditionalFormatting>
  <conditionalFormatting sqref="G52:G65">
    <cfRule type="expression" dxfId="12" priority="52">
      <formula>AND($B52="RBRF11", ($G52) &lt;($J52))</formula>
    </cfRule>
  </conditionalFormatting>
  <conditionalFormatting sqref="G52:G65">
    <cfRule type="expression" dxfId="12" priority="53">
      <formula>AND($B52="MXRF11", ($G52) &lt;($J52))</formula>
    </cfRule>
  </conditionalFormatting>
  <conditionalFormatting sqref="G52:G65">
    <cfRule type="expression" dxfId="12" priority="54">
      <formula>AND($B52="RECR11", ($G52) &lt; ($J52))</formula>
    </cfRule>
  </conditionalFormatting>
  <conditionalFormatting sqref="B22:E34">
    <cfRule type="expression" dxfId="5" priority="55">
      <formula>AND($B22="BBAS3", VALUE(SUBSTITUTE($C22,"%","")) &gt; VALUE(SUBSTITUTE($E22,"%",""))*2)</formula>
    </cfRule>
  </conditionalFormatting>
  <conditionalFormatting sqref="B22:E34">
    <cfRule type="expression" dxfId="5" priority="56">
      <formula>AND($B22="CMIG3", VALUE(SUBSTITUTE($C22,"%","")) &gt; VALUE(SUBSTITUTE($E22,"%",""))*2)</formula>
    </cfRule>
  </conditionalFormatting>
  <conditionalFormatting sqref="B22:E34">
    <cfRule type="expression" dxfId="5" priority="57">
      <formula>AND($B22="BBSE3", VALUE(SUBSTITUTE($C22,"%","")) &gt; VALUE(SUBSTITUTE($E22,"%",""))*2)</formula>
    </cfRule>
  </conditionalFormatting>
  <conditionalFormatting sqref="B22:E34">
    <cfRule type="expression" dxfId="5" priority="58">
      <formula>AND($B22="BRBI11", VALUE(SUBSTITUTE($C22,"%","")) &gt; VALUE(SUBSTITUTE($E22,"%",""))*2)</formula>
    </cfRule>
  </conditionalFormatting>
  <conditionalFormatting sqref="B22:E34">
    <cfRule type="expression" dxfId="5" priority="59">
      <formula>AND($B22="PETR4", VALUE(SUBSTITUTE($C22,"%","")) &gt; VALUE(SUBSTITUTE($E22,"%",""))*2)</formula>
    </cfRule>
  </conditionalFormatting>
  <conditionalFormatting sqref="B22:E34">
    <cfRule type="expression" dxfId="5" priority="60">
      <formula>AND($B22="CMIG4", VALUE(SUBSTITUTE($C22,"%","")) &gt; VALUE(SUBSTITUTE($E22,"%",""))*2)</formula>
    </cfRule>
  </conditionalFormatting>
  <conditionalFormatting sqref="B22:E34">
    <cfRule type="expression" dxfId="5" priority="61">
      <formula>AND($B22="WEGE3", VALUE(SUBSTITUTE($C22,"%","")) &gt; VALUE(SUBSTITUTE($E22,"%",""))*2)</formula>
    </cfRule>
  </conditionalFormatting>
  <conditionalFormatting sqref="B22:E34">
    <cfRule type="expression" dxfId="5" priority="62">
      <formula>AND($B22="TAEE11", VALUE(SUBSTITUTE($C22,"%","")) &gt; VALUE(SUBSTITUTE($E22,"%",""))*2)</formula>
    </cfRule>
  </conditionalFormatting>
  <conditionalFormatting sqref="B22:E34">
    <cfRule type="expression" dxfId="5" priority="63">
      <formula>AND($B22="VALE3", VALUE(SUBSTITUTE($C22,"%","")) &gt; VALUE(SUBSTITUTE($E22,"%",""))*2)</formula>
    </cfRule>
  </conditionalFormatting>
  <conditionalFormatting sqref="B22:E34">
    <cfRule type="expression" dxfId="5" priority="64">
      <formula>AND($B22="ITUB3", VALUE(SUBSTITUTE($C22,"%","")) &gt; VALUE(SUBSTITUTE($E22,"%",""))*2)</formula>
    </cfRule>
  </conditionalFormatting>
  <conditionalFormatting sqref="B22:E34">
    <cfRule type="expression" dxfId="5" priority="65">
      <formula>AND($B22="ISAE4", VALUE(SUBSTITUTE($C22,"%","")) &gt; VALUE(SUBSTITUTE($E22,"%",""))*2)</formula>
    </cfRule>
  </conditionalFormatting>
  <conditionalFormatting sqref="B22:E34">
    <cfRule type="expression" dxfId="5" priority="66">
      <formula>AND($B22="SAPR4", VALUE(SUBSTITUTE($C22,"%","")) &gt; VALUE(SUBSTITUTE($E22,"%",""))*2)</formula>
    </cfRule>
  </conditionalFormatting>
  <conditionalFormatting sqref="B22:E34">
    <cfRule type="expression" dxfId="6" priority="67">
      <formula>AND($B22="BBAS3", VALUE(SUBSTITUTE($C22,"%","")) &gt; VALUE(SUBSTITUTE($E22,"%","")))</formula>
    </cfRule>
  </conditionalFormatting>
  <conditionalFormatting sqref="B22:E34">
    <cfRule type="expression" dxfId="6" priority="68">
      <formula>AND($B22="BBSE3", VALUE(SUBSTITUTE($C22,"%","")) &gt; VALUE(SUBSTITUTE($E22,"%","")))</formula>
    </cfRule>
  </conditionalFormatting>
  <conditionalFormatting sqref="B22:E34">
    <cfRule type="expression" dxfId="6" priority="69">
      <formula>AND($B22="PETR4", VALUE(SUBSTITUTE($C22,"%","")) &gt; VALUE(SUBSTITUTE($E22,"%","")))</formula>
    </cfRule>
  </conditionalFormatting>
  <conditionalFormatting sqref="B22:E34">
    <cfRule type="expression" dxfId="6" priority="70">
      <formula>AND($B22="ITUB3", VALUE(SUBSTITUTE($C22,"%","")) &gt; VALUE(SUBSTITUTE($E22,"%","")))</formula>
    </cfRule>
  </conditionalFormatting>
  <conditionalFormatting sqref="B22:E34">
    <cfRule type="expression" dxfId="6" priority="71">
      <formula>AND($B22="VALE3", VALUE(SUBSTITUTE($C22,"%","")) &gt; VALUE(SUBSTITUTE($E22,"%","")))</formula>
    </cfRule>
  </conditionalFormatting>
  <conditionalFormatting sqref="B22:E34">
    <cfRule type="expression" dxfId="6" priority="72">
      <formula>AND($B22="CMIG3", VALUE(SUBSTITUTE($C22,"%","")) &gt; VALUE(SUBSTITUTE($E22,"%","")))</formula>
    </cfRule>
  </conditionalFormatting>
  <conditionalFormatting sqref="B22:E34">
    <cfRule type="expression" dxfId="6" priority="73">
      <formula>AND($B22="BRBI11", VALUE(SUBSTITUTE($C22,"%","")) &gt; VALUE(SUBSTITUTE($E22,"%","")))</formula>
    </cfRule>
  </conditionalFormatting>
  <conditionalFormatting sqref="B22:E34">
    <cfRule type="expression" dxfId="6" priority="74">
      <formula>AND($B22="TAEE11", VALUE(SUBSTITUTE($C22,"%","")) &gt; VALUE(SUBSTITUTE($E22,"%","")))</formula>
    </cfRule>
  </conditionalFormatting>
  <conditionalFormatting sqref="B22:E34">
    <cfRule type="expression" dxfId="6" priority="75">
      <formula>AND($B22="WEGE3", VALUE(SUBSTITUTE($C22,"%","")) &gt; VALUE(SUBSTITUTE($E22,"%","")))</formula>
    </cfRule>
  </conditionalFormatting>
  <conditionalFormatting sqref="B22:E34">
    <cfRule type="expression" dxfId="6" priority="76">
      <formula>AND($B22="CMIG4", VALUE(SUBSTITUTE($C22,"%","")) &gt; VALUE(SUBSTITUTE($E22,"%","")))</formula>
    </cfRule>
  </conditionalFormatting>
  <conditionalFormatting sqref="B22:E34">
    <cfRule type="expression" dxfId="6" priority="77">
      <formula>AND($B22="ISAE4", VALUE(SUBSTITUTE($C22,"%","")) &gt; VALUE(SUBSTITUTE($E22,"%","")))</formula>
    </cfRule>
  </conditionalFormatting>
  <conditionalFormatting sqref="B22:E34">
    <cfRule type="expression" dxfId="6" priority="78">
      <formula>AND($B22="SAPR4", VALUE(SUBSTITUTE($C22,"%","")) &gt; VALUE(SUBSTITUTE($E22,"%","")))</formula>
    </cfRule>
  </conditionalFormatting>
  <conditionalFormatting sqref="B22:E34">
    <cfRule type="expression" dxfId="7" priority="79">
      <formula>AND($B22="BBAS3", VALUE(SUBSTITUTE($C22,"%","")) &lt; VALUE(SUBSTITUTE($E22,"%","")))</formula>
    </cfRule>
  </conditionalFormatting>
  <conditionalFormatting sqref="B22:E34">
    <cfRule type="expression" dxfId="7" priority="80">
      <formula>AND($B22="BBSE3", VALUE(SUBSTITUTE($C22,"%","")) &lt; VALUE(SUBSTITUTE($E22,"%","")))</formula>
    </cfRule>
  </conditionalFormatting>
  <conditionalFormatting sqref="B22:E34">
    <cfRule type="expression" dxfId="7" priority="81">
      <formula>AND($B22="VALE3", VALUE(SUBSTITUTE($C22,"%","")) &lt; VALUE(SUBSTITUTE($E22,"%","")))</formula>
    </cfRule>
  </conditionalFormatting>
  <conditionalFormatting sqref="B22:E34">
    <cfRule type="expression" dxfId="7" priority="82">
      <formula>AND($B22="TAEE11", VALUE(SUBSTITUTE($C22,"%","")) &lt; VALUE(SUBSTITUTE($E22,"%","")))</formula>
    </cfRule>
  </conditionalFormatting>
  <conditionalFormatting sqref="B22:E34">
    <cfRule type="expression" dxfId="7" priority="83">
      <formula>AND($B22="PETR4", VALUE(SUBSTITUTE($C22,"%","")) &lt; VALUE(SUBSTITUTE($E22,"%","")))</formula>
    </cfRule>
  </conditionalFormatting>
  <conditionalFormatting sqref="B22:E34">
    <cfRule type="expression" dxfId="7" priority="84">
      <formula>AND($B22="WEGE3", VALUE(SUBSTITUTE($C22,"%","")) &lt; VALUE(SUBSTITUTE($E22,"%","")))</formula>
    </cfRule>
  </conditionalFormatting>
  <conditionalFormatting sqref="B22:E34">
    <cfRule type="expression" dxfId="7" priority="85">
      <formula>AND($B22="CMIG3", VALUE(SUBSTITUTE($C22,"%","")) &lt; VALUE(SUBSTITUTE($E22,"%","")))</formula>
    </cfRule>
  </conditionalFormatting>
  <conditionalFormatting sqref="B22:E34">
    <cfRule type="expression" dxfId="7" priority="86">
      <formula>AND($B22="BRBI11", VALUE(SUBSTITUTE($C22,"%","")) &lt; VALUE(SUBSTITUTE($E22,"%","")))</formula>
    </cfRule>
  </conditionalFormatting>
  <conditionalFormatting sqref="B22:E34">
    <cfRule type="expression" dxfId="7" priority="87">
      <formula>AND($B22="ITUB3", VALUE(SUBSTITUTE($C22,"%","")) &lt; VALUE(SUBSTITUTE($E22,"%","")))</formula>
    </cfRule>
  </conditionalFormatting>
  <conditionalFormatting sqref="B22:E34">
    <cfRule type="expression" dxfId="7" priority="88">
      <formula>AND($B22="CMIG4", VALUE(SUBSTITUTE($C22,"%","")) &lt; VALUE(SUBSTITUTE($E22,"%","")))</formula>
    </cfRule>
  </conditionalFormatting>
  <conditionalFormatting sqref="B52:E65">
    <cfRule type="expression" dxfId="5" priority="89">
      <formula>AND($B52="RZTR11", VALUE(SUBSTITUTE($C52,"%","")) &gt; VALUE(SUBSTITUTE($E52,"%",""))*2)</formula>
    </cfRule>
  </conditionalFormatting>
  <conditionalFormatting sqref="B52:E65">
    <cfRule type="expression" dxfId="5" priority="90">
      <formula>AND($B52="BRCO11", VALUE(SUBSTITUTE($C52,"%","")) &gt; VALUE(SUBSTITUTE($E52,"%",""))*2)</formula>
    </cfRule>
  </conditionalFormatting>
  <conditionalFormatting sqref="B52:E65">
    <cfRule type="expression" dxfId="5" priority="91">
      <formula>AND($B52="BTLG11", VALUE(SUBSTITUTE($C52,"%","")) &gt; VALUE(SUBSTITUTE($E52,"%",""))*2)</formula>
    </cfRule>
  </conditionalFormatting>
  <conditionalFormatting sqref="B52:E65">
    <cfRule type="expression" dxfId="5" priority="92">
      <formula>AND($B52="XPLG11", VALUE(SUBSTITUTE($C52,"%","")) &gt; VALUE(SUBSTITUTE($E52,"%",""))*2)</formula>
    </cfRule>
  </conditionalFormatting>
  <conditionalFormatting sqref="B52:E65">
    <cfRule type="expression" dxfId="5" priority="93">
      <formula>AND($B52="GGRC11", VALUE(SUBSTITUTE($C52,"%","")) &gt; VALUE(SUBSTITUTE($E52,"%",""))*2)</formula>
    </cfRule>
  </conditionalFormatting>
  <conditionalFormatting sqref="B52:E65">
    <cfRule type="expression" dxfId="5" priority="94">
      <formula>AND($B52="GARE11", VALUE(SUBSTITUTE($C52,"%","")) &gt; VALUE(SUBSTITUTE($E52,"%",""))*2)</formula>
    </cfRule>
  </conditionalFormatting>
  <conditionalFormatting sqref="B52:E65">
    <cfRule type="expression" dxfId="5" priority="95">
      <formula>AND($B52="HGLG11", VALUE(SUBSTITUTE($C52,"%","")) &gt; VALUE(SUBSTITUTE($E52,"%",""))*2)</formula>
    </cfRule>
  </conditionalFormatting>
  <conditionalFormatting sqref="B52:E65">
    <cfRule type="expression" dxfId="5" priority="96">
      <formula>AND($B52="HGBS11", VALUE(SUBSTITUTE($C52,"%","")) &gt; VALUE(SUBSTITUTE($E52,"%",""))*2)</formula>
    </cfRule>
  </conditionalFormatting>
  <conditionalFormatting sqref="B52:E65">
    <cfRule type="expression" dxfId="5" priority="97">
      <formula>AND($B52="PMLL11", VALUE(SUBSTITUTE($C52,"%","")) &gt; VALUE(SUBSTITUTE($E52,"%",""))*2)</formula>
    </cfRule>
  </conditionalFormatting>
  <conditionalFormatting sqref="B52:E65">
    <cfRule type="expression" dxfId="5" priority="98">
      <formula>AND($B52="LVBI11", VALUE(SUBSTITUTE($C52,"%","")) &gt; VALUE(SUBSTITUTE($E52,"%",""))*2)</formula>
    </cfRule>
  </conditionalFormatting>
  <conditionalFormatting sqref="B52:E65">
    <cfRule type="expression" dxfId="5" priority="99">
      <formula>AND($B52="RBRF11", VALUE(SUBSTITUTE($C52,"%","")) &gt; VALUE(SUBSTITUTE($E52,"%",""))*2)</formula>
    </cfRule>
  </conditionalFormatting>
  <conditionalFormatting sqref="B52:E65">
    <cfRule type="expression" dxfId="5" priority="100">
      <formula>AND($B52="BTCI11", VALUE(SUBSTITUTE($C52,"%","")) &gt; VALUE(SUBSTITUTE($E52,"%",""))*2)</formula>
    </cfRule>
  </conditionalFormatting>
  <conditionalFormatting sqref="B52:E65">
    <cfRule type="expression" dxfId="5" priority="101">
      <formula>AND($B52="RBRX11", VALUE(SUBSTITUTE($C52,"%","")) &gt; VALUE(SUBSTITUTE($E52,"%",""))*2)</formula>
    </cfRule>
  </conditionalFormatting>
  <conditionalFormatting sqref="B52:E65">
    <cfRule type="expression" dxfId="5" priority="102">
      <formula>AND($B52="MXRF11", VALUE(SUBSTITUTE($C52,"%","")) &gt; VALUE(SUBSTITUTE($E52,"%",""))*2)</formula>
    </cfRule>
  </conditionalFormatting>
  <conditionalFormatting sqref="B52:E65">
    <cfRule type="expression" dxfId="5" priority="103">
      <formula>AND($B52="RECR11", VALUE(SUBSTITUTE($C52,"%","")) &gt; VALUE(SUBSTITUTE($E52,"%",""))*2)</formula>
    </cfRule>
  </conditionalFormatting>
  <conditionalFormatting sqref="B52:E65">
    <cfRule type="expression" dxfId="6" priority="104">
      <formula>AND($B52="RZTR11", VALUE(SUBSTITUTE($C52,"%","")) &gt; VALUE(SUBSTITUTE($E52,"%","")))</formula>
    </cfRule>
  </conditionalFormatting>
  <conditionalFormatting sqref="B52:E65">
    <cfRule type="expression" dxfId="6" priority="105">
      <formula>AND($B52="BRCO11", VALUE(SUBSTITUTE($C52,"%","")) &gt; VALUE(SUBSTITUTE($E52,"%","")))</formula>
    </cfRule>
  </conditionalFormatting>
  <conditionalFormatting sqref="B52:E65">
    <cfRule type="expression" dxfId="6" priority="106">
      <formula>AND($B52="BTLG11", VALUE(SUBSTITUTE($C52,"%","")) &gt; VALUE(SUBSTITUTE($E52,"%","")))</formula>
    </cfRule>
  </conditionalFormatting>
  <conditionalFormatting sqref="B52:E65">
    <cfRule type="expression" dxfId="6" priority="107">
      <formula>AND($B52="XPLG11", VALUE(SUBSTITUTE($C52,"%","")) &gt; VALUE(SUBSTITUTE($E52,"%","")))</formula>
    </cfRule>
  </conditionalFormatting>
  <conditionalFormatting sqref="B52:E65">
    <cfRule type="expression" dxfId="6" priority="108">
      <formula>AND($B52="GGRC11", VALUE(SUBSTITUTE($C52,"%","")) &gt; VALUE(SUBSTITUTE($E52,"%","")))</formula>
    </cfRule>
  </conditionalFormatting>
  <conditionalFormatting sqref="B52:E65">
    <cfRule type="expression" dxfId="6" priority="109">
      <formula>AND($B52="GARE11", VALUE(SUBSTITUTE($C52,"%","")) &gt; VALUE(SUBSTITUTE($E52,"%","")))</formula>
    </cfRule>
  </conditionalFormatting>
  <conditionalFormatting sqref="B52:E65">
    <cfRule type="expression" dxfId="6" priority="110">
      <formula>AND($B52="HGBS11", VALUE(SUBSTITUTE($C52,"%","")) &gt; VALUE(SUBSTITUTE($E52,"%","")))</formula>
    </cfRule>
  </conditionalFormatting>
  <conditionalFormatting sqref="B52:E65">
    <cfRule type="expression" dxfId="6" priority="111">
      <formula>AND($B52="PMLL11", VALUE(SUBSTITUTE($C52,"%","")) &gt; VALUE(SUBSTITUTE($E52,"%","")))</formula>
    </cfRule>
  </conditionalFormatting>
  <conditionalFormatting sqref="B52:E65">
    <cfRule type="expression" dxfId="6" priority="112">
      <formula>AND($B52="LVBI11", VALUE(SUBSTITUTE($C52,"%","")) &gt; VALUE(SUBSTITUTE($E52,"%","")))</formula>
    </cfRule>
  </conditionalFormatting>
  <conditionalFormatting sqref="B52:E65">
    <cfRule type="expression" dxfId="6" priority="113">
      <formula>AND($B52="RBRF11", VALUE(SUBSTITUTE($C52,"%","")) &gt; VALUE(SUBSTITUTE($E52,"%","")))</formula>
    </cfRule>
  </conditionalFormatting>
  <conditionalFormatting sqref="B52:E65">
    <cfRule type="expression" dxfId="6" priority="114">
      <formula>AND($B52="BTCI11", VALUE(SUBSTITUTE($C52,"%","")) &gt; VALUE(SUBSTITUTE($E52,"%","")))</formula>
    </cfRule>
  </conditionalFormatting>
  <conditionalFormatting sqref="B52:E65">
    <cfRule type="expression" dxfId="6" priority="115">
      <formula>AND($B52="RBRX11", VALUE(SUBSTITUTE($C52,"%","")) &gt; VALUE(SUBSTITUTE($E52,"%","")))</formula>
    </cfRule>
  </conditionalFormatting>
  <conditionalFormatting sqref="B52:E65">
    <cfRule type="expression" dxfId="6" priority="116">
      <formula>AND($B52="RECR11", VALUE(SUBSTITUTE($C52,"%","")) &gt; VALUE(SUBSTITUTE($E52,"%","")))</formula>
    </cfRule>
  </conditionalFormatting>
  <conditionalFormatting sqref="B52:E65">
    <cfRule type="expression" dxfId="6" priority="117">
      <formula>AND($B52="MXRF11", VALUE(SUBSTITUTE($C52,"%","")) &gt; VALUE(SUBSTITUTE($E52,"%","")))</formula>
    </cfRule>
  </conditionalFormatting>
  <conditionalFormatting sqref="B52:E65">
    <cfRule type="expression" dxfId="6" priority="118">
      <formula>AND($B52="HGLG11", VALUE(SUBSTITUTE($C52,"%","")) &gt; VALUE(SUBSTITUTE($E52,"%","")))</formula>
    </cfRule>
  </conditionalFormatting>
  <conditionalFormatting sqref="B52:E65">
    <cfRule type="expression" dxfId="7" priority="119">
      <formula>AND($B52="RZTR11", VALUE(SUBSTITUTE($C52,"%","")) &lt; VALUE(SUBSTITUTE($E52,"%","")))</formula>
    </cfRule>
  </conditionalFormatting>
  <conditionalFormatting sqref="B52:E65">
    <cfRule type="expression" dxfId="7" priority="120">
      <formula>AND($B52="BRCO11", VALUE(SUBSTITUTE($C52,"%","")) &lt; VALUE(SUBSTITUTE($E52,"%","")))</formula>
    </cfRule>
  </conditionalFormatting>
  <conditionalFormatting sqref="B52:E65">
    <cfRule type="expression" dxfId="7" priority="121">
      <formula>AND($B52="BTLG11", VALUE(SUBSTITUTE($C52,"%","")) &lt; VALUE(SUBSTITUTE($E52,"%","")))</formula>
    </cfRule>
  </conditionalFormatting>
  <conditionalFormatting sqref="B52:E65">
    <cfRule type="expression" dxfId="7" priority="122">
      <formula>AND($B52="XPLG11", VALUE(SUBSTITUTE($C52,"%","")) &lt; VALUE(SUBSTITUTE($E52,"%","")))</formula>
    </cfRule>
  </conditionalFormatting>
  <conditionalFormatting sqref="B52:E65">
    <cfRule type="expression" dxfId="7" priority="123">
      <formula>AND($B52="GGRC11", VALUE(SUBSTITUTE($C52,"%","")) &lt; VALUE(SUBSTITUTE($E52,"%","")))</formula>
    </cfRule>
  </conditionalFormatting>
  <conditionalFormatting sqref="B52:E65">
    <cfRule type="expression" dxfId="7" priority="124">
      <formula>AND($B52="GARE11", VALUE(SUBSTITUTE($C52,"%","")) &lt; VALUE(SUBSTITUTE($E52,"%","")))</formula>
    </cfRule>
  </conditionalFormatting>
  <conditionalFormatting sqref="B52:E65">
    <cfRule type="expression" dxfId="7" priority="125">
      <formula>AND($B52="HGLG11", VALUE(SUBSTITUTE($C52,"%","")) &lt; VALUE(SUBSTITUTE($E52,"%","")))</formula>
    </cfRule>
  </conditionalFormatting>
  <conditionalFormatting sqref="B52:E65">
    <cfRule type="expression" dxfId="7" priority="126">
      <formula>AND($B52="HGBS11", VALUE(SUBSTITUTE($C52,"%","")) &lt; VALUE(SUBSTITUTE($E52,"%","")))</formula>
    </cfRule>
  </conditionalFormatting>
  <conditionalFormatting sqref="B52:E65">
    <cfRule type="expression" dxfId="7" priority="127">
      <formula>AND($B52="PMLL11", VALUE(SUBSTITUTE($C52,"%","")) &lt; VALUE(SUBSTITUTE($E52,"%","")))</formula>
    </cfRule>
  </conditionalFormatting>
  <conditionalFormatting sqref="B52:E65">
    <cfRule type="expression" dxfId="7" priority="128">
      <formula>AND($B52="LVBI11", VALUE(SUBSTITUTE($C52,"%","")) &lt; VALUE(SUBSTITUTE($E52,"%","")))</formula>
    </cfRule>
  </conditionalFormatting>
  <conditionalFormatting sqref="B52:E65">
    <cfRule type="expression" dxfId="7" priority="129">
      <formula>AND($B52="RBRF11", VALUE(SUBSTITUTE($C52,"%","")) &lt; VALUE(SUBSTITUTE($E52,"%","")))</formula>
    </cfRule>
  </conditionalFormatting>
  <conditionalFormatting sqref="B52:E65">
    <cfRule type="expression" dxfId="7" priority="130">
      <formula>AND($B52="BTCI11", VALUE(SUBSTITUTE($C52,"%","")) &lt; VALUE(SUBSTITUTE($E52,"%","")))</formula>
    </cfRule>
  </conditionalFormatting>
  <conditionalFormatting sqref="B52:E65">
    <cfRule type="expression" dxfId="7" priority="131">
      <formula>AND($B52="RBRX11", VALUE(SUBSTITUTE($C52,"%","")) &lt; VALUE(SUBSTITUTE($E52,"%","")))</formula>
    </cfRule>
  </conditionalFormatting>
  <conditionalFormatting sqref="B52:E65">
    <cfRule type="expression" dxfId="7" priority="132">
      <formula>AND($B52="MXRF11", VALUE(SUBSTITUTE($C52,"%","")) &lt; VALUE(SUBSTITUTE($E52,"%","")))</formula>
    </cfRule>
  </conditionalFormatting>
  <conditionalFormatting sqref="L65">
    <cfRule type="expression" dxfId="5" priority="133">
      <formula>AND($B65="HGBS11", VALUE(SUBSTITUTE($L65,"%","")) &lt; VALUE(SUBSTITUTE($K65,"%","")))</formula>
    </cfRule>
  </conditionalFormatting>
  <conditionalFormatting sqref="L65">
    <cfRule type="expression" dxfId="5" priority="134">
      <formula>AND($B65="RZTR11", VALUE(SUBSTITUTE($L65,"%","")) &lt; VALUE(SUBSTITUTE($K65,"%","")))</formula>
    </cfRule>
  </conditionalFormatting>
  <conditionalFormatting sqref="L65">
    <cfRule type="expression" dxfId="5" priority="135">
      <formula>AND($B65="BRCO11", VALUE(SUBSTITUTE($L65,"%","")) &lt; VALUE(SUBSTITUTE($K65,"%","")))</formula>
    </cfRule>
  </conditionalFormatting>
  <conditionalFormatting sqref="L65">
    <cfRule type="expression" dxfId="5" priority="136">
      <formula>AND($B65="GARE11", VALUE(SUBSTITUTE($L65,"%","")) &lt; VALUE(SUBSTITUTE($K65,"%","")))</formula>
    </cfRule>
  </conditionalFormatting>
  <conditionalFormatting sqref="L65">
    <cfRule type="expression" dxfId="5" priority="137">
      <formula>AND($B65="GGRC11", VALUE(SUBSTITUTE($L65,"%","")) &lt; VALUE(SUBSTITUTE($K65,"%","")))</formula>
    </cfRule>
  </conditionalFormatting>
  <conditionalFormatting sqref="L65">
    <cfRule type="expression" dxfId="5" priority="138">
      <formula>AND($B65="HGLG11", VALUE(SUBSTITUTE($L65,"%","")) &lt; VALUE(SUBSTITUTE($K65,"%","")))</formula>
    </cfRule>
  </conditionalFormatting>
  <conditionalFormatting sqref="L65">
    <cfRule type="expression" dxfId="5" priority="139">
      <formula>AND($B65="PMLL11", VALUE(SUBSTITUTE($L65,"%","")) &lt; VALUE(SUBSTITUTE($K65,"%","")))</formula>
    </cfRule>
  </conditionalFormatting>
  <conditionalFormatting sqref="L65">
    <cfRule type="expression" dxfId="5" priority="140">
      <formula>AND($B65="BTCI11", VALUE(SUBSTITUTE($L65,"%","")) &lt; VALUE(SUBSTITUTE($K65,"%","")))</formula>
    </cfRule>
  </conditionalFormatting>
  <conditionalFormatting sqref="L65">
    <cfRule type="expression" dxfId="5" priority="141">
      <formula>AND($B65="RBRX11", VALUE(SUBSTITUTE($L65,"%","")) &lt; VALUE(SUBSTITUTE($K65,"%","")))</formula>
    </cfRule>
  </conditionalFormatting>
  <conditionalFormatting sqref="L65">
    <cfRule type="expression" dxfId="5" priority="142">
      <formula>AND($B65="RBRF11", VALUE(SUBSTITUTE($L65,"%","")) &lt; VALUE(SUBSTITUTE($K65,"%","")))</formula>
    </cfRule>
  </conditionalFormatting>
  <conditionalFormatting sqref="L65">
    <cfRule type="expression" dxfId="5" priority="143">
      <formula>AND($B65="LVBI11", VALUE(SUBSTITUTE($L65,"%","")) &lt; VALUE(SUBSTITUTE($K65,"%","")))</formula>
    </cfRule>
  </conditionalFormatting>
  <conditionalFormatting sqref="L65">
    <cfRule type="expression" dxfId="5" priority="144">
      <formula>AND($B65="MXRF11", VALUE(SUBSTITUTE($L65,"%","")) &lt; VALUE(SUBSTITUTE($K65,"%","")))</formula>
    </cfRule>
  </conditionalFormatting>
  <conditionalFormatting sqref="L65">
    <cfRule type="expression" dxfId="13" priority="145">
      <formula>AND($B65="XPLG11", VALUE(SUBSTITUTE($L65,"%","")) &gt; VALUE(SUBSTITUTE($K65,"%","")))</formula>
    </cfRule>
  </conditionalFormatting>
  <conditionalFormatting sqref="L65">
    <cfRule type="expression" dxfId="13" priority="146">
      <formula>AND($B65="HGBS11", VALUE(SUBSTITUTE($L65,"%","")) &gt; VALUE(SUBSTITUTE($K65,"%","")))</formula>
    </cfRule>
  </conditionalFormatting>
  <conditionalFormatting sqref="L65">
    <cfRule type="expression" dxfId="13" priority="147">
      <formula>AND($B65="RZTR11", VALUE(SUBSTITUTE($L65,"%","")) &gt; VALUE(SUBSTITUTE($K65,"%","")))</formula>
    </cfRule>
  </conditionalFormatting>
  <conditionalFormatting sqref="L65">
    <cfRule type="expression" dxfId="13" priority="148">
      <formula>AND($B65="BRCO11", VALUE(SUBSTITUTE($L65,"%","")) &gt; VALUE(SUBSTITUTE($K65,"%","")))</formula>
    </cfRule>
  </conditionalFormatting>
  <conditionalFormatting sqref="L65">
    <cfRule type="expression" dxfId="13" priority="149">
      <formula>AND($B65="GARE11", VALUE(SUBSTITUTE($L65,"%","")) &gt; VALUE(SUBSTITUTE($K65,"%","")))</formula>
    </cfRule>
  </conditionalFormatting>
  <conditionalFormatting sqref="L65">
    <cfRule type="expression" dxfId="13" priority="150">
      <formula>AND($B65="GGRC11", VALUE(SUBSTITUTE($L65,"%","")) &gt; VALUE(SUBSTITUTE($K65,"%","")))</formula>
    </cfRule>
  </conditionalFormatting>
  <conditionalFormatting sqref="L65">
    <cfRule type="expression" dxfId="13" priority="151">
      <formula>AND($B65="HGLG11", VALUE(SUBSTITUTE($L65,"%","")) &gt; VALUE(SUBSTITUTE($K65,"%","")))</formula>
    </cfRule>
  </conditionalFormatting>
  <conditionalFormatting sqref="L65">
    <cfRule type="expression" dxfId="13" priority="152">
      <formula>AND($B65="BTLG11", VALUE(SUBSTITUTE($L65,"%","")) &gt; VALUE(SUBSTITUTE($K65,"%","")))</formula>
    </cfRule>
  </conditionalFormatting>
  <conditionalFormatting sqref="L65">
    <cfRule type="expression" dxfId="13" priority="153">
      <formula>AND($B65="PMLL11", VALUE(SUBSTITUTE($L65,"%","")) &gt; VALUE(SUBSTITUTE($K65,"%","")))</formula>
    </cfRule>
  </conditionalFormatting>
  <conditionalFormatting sqref="L65">
    <cfRule type="expression" dxfId="13" priority="154">
      <formula>AND($B65="MALL11", VALUE(SUBSTITUTE($L65,"%","")) &gt; VALUE(SUBSTITUTE($K65,"%","")))</formula>
    </cfRule>
  </conditionalFormatting>
  <conditionalFormatting sqref="L65">
    <cfRule type="expression" dxfId="13" priority="155">
      <formula>AND($B65="BTCI11", VALUE(SUBSTITUTE($L65,"%","")) &gt; VALUE(SUBSTITUTE($K65,"%","")))</formula>
    </cfRule>
  </conditionalFormatting>
  <conditionalFormatting sqref="L65">
    <cfRule type="expression" dxfId="13" priority="156">
      <formula>AND($B65="RBRX11", VALUE(SUBSTITUTE($L65,"%","")) &gt; VALUE(SUBSTITUTE($K65,"%","")))</formula>
    </cfRule>
  </conditionalFormatting>
  <conditionalFormatting sqref="L65">
    <cfRule type="expression" dxfId="13" priority="157">
      <formula>AND($B65="RBRF11", VALUE(SUBSTITUTE($L65,"%","")) &gt; VALUE(SUBSTITUTE($K65,"%","")))</formula>
    </cfRule>
  </conditionalFormatting>
  <conditionalFormatting sqref="L65">
    <cfRule type="expression" dxfId="13" priority="158">
      <formula>AND($B65="MXRF11", VALUE(SUBSTITUTE($L65,"%","")) &gt; VALUE(SUBSTITUTE($K65,"%","")))</formula>
    </cfRule>
  </conditionalFormatting>
  <conditionalFormatting sqref="K22:K34">
    <cfRule type="expression" dxfId="6" priority="159">
      <formula>AND($B22="CMIG3", ($K22) &gt; ($L22))</formula>
    </cfRule>
  </conditionalFormatting>
  <conditionalFormatting sqref="K22:K34">
    <cfRule type="expression" dxfId="6" priority="160">
      <formula>AND($B22="ITUB3", ($K22) &gt; ($L22))</formula>
    </cfRule>
  </conditionalFormatting>
  <conditionalFormatting sqref="K22:K34">
    <cfRule type="expression" dxfId="6" priority="161">
      <formula>AND($B22="VALE3", ($K22) &gt; ($L22))</formula>
    </cfRule>
  </conditionalFormatting>
  <conditionalFormatting sqref="K22:K34">
    <cfRule type="expression" dxfId="6" priority="162">
      <formula>AND($B22="BBSE3", ($K22) &gt; ($L22))</formula>
    </cfRule>
  </conditionalFormatting>
  <conditionalFormatting sqref="K22:K34">
    <cfRule type="expression" dxfId="6" priority="163">
      <formula>AND($B22="PETR4", ($K22) &gt; ($L22))</formula>
    </cfRule>
  </conditionalFormatting>
  <conditionalFormatting sqref="K22:K34">
    <cfRule type="expression" dxfId="6" priority="164">
      <formula>AND($B22="BRBI11", ($K22) &gt; ($L22))</formula>
    </cfRule>
  </conditionalFormatting>
  <conditionalFormatting sqref="K22:K34">
    <cfRule type="expression" dxfId="6" priority="165">
      <formula>AND($B22="BBAS3", ($K22) &gt; ($L22))</formula>
    </cfRule>
  </conditionalFormatting>
  <conditionalFormatting sqref="K22:K34">
    <cfRule type="expression" dxfId="6" priority="166">
      <formula>AND($B22="TAEE11", ($K22) &gt; ($L22))</formula>
    </cfRule>
  </conditionalFormatting>
  <conditionalFormatting sqref="K22:K34">
    <cfRule type="expression" dxfId="6" priority="167">
      <formula>AND($B22="CMIG4", ($K22) &gt; ($L22))</formula>
    </cfRule>
  </conditionalFormatting>
  <conditionalFormatting sqref="K22:K34">
    <cfRule type="expression" dxfId="6" priority="168">
      <formula>AND($B22="WEGE3", ($K22) &gt; ($L22))</formula>
    </cfRule>
  </conditionalFormatting>
  <conditionalFormatting sqref="K22:K34">
    <cfRule type="expression" dxfId="6" priority="169">
      <formula>AND($B22="ISAE4", ($K22) &gt; ($L22))</formula>
    </cfRule>
  </conditionalFormatting>
  <conditionalFormatting sqref="K22:K34">
    <cfRule type="expression" dxfId="6" priority="170">
      <formula>AND($B22="SAPR4", ($K22) &gt; ($L22))</formula>
    </cfRule>
  </conditionalFormatting>
  <conditionalFormatting sqref="K22:K34">
    <cfRule type="expression" dxfId="12" priority="171">
      <formula>AND($B22="BBAS3", ($K22) &lt; ($L22))</formula>
    </cfRule>
  </conditionalFormatting>
  <conditionalFormatting sqref="K22:K34">
    <cfRule type="expression" dxfId="12" priority="172">
      <formula>AND($B22="BBSE3", ($K22) &lt; ($L22))</formula>
    </cfRule>
  </conditionalFormatting>
  <conditionalFormatting sqref="K22:K34">
    <cfRule type="expression" dxfId="12" priority="173">
      <formula>AND($B22="ITUB3", ($K22) &lt; ($L22))</formula>
    </cfRule>
  </conditionalFormatting>
  <conditionalFormatting sqref="K22:K34">
    <cfRule type="expression" dxfId="12" priority="174">
      <formula>AND($B22="VALE3", ($K22) &lt; ($L22))</formula>
    </cfRule>
  </conditionalFormatting>
  <conditionalFormatting sqref="K22:K34">
    <cfRule type="expression" dxfId="12" priority="175">
      <formula>AND($B22="TAEE11", ($K22) &lt; ($L22))</formula>
    </cfRule>
  </conditionalFormatting>
  <conditionalFormatting sqref="K22:K34">
    <cfRule type="expression" dxfId="12" priority="176">
      <formula>AND($B22="PETR4", ($K22) &lt; ($L22))</formula>
    </cfRule>
  </conditionalFormatting>
  <conditionalFormatting sqref="K22:K34">
    <cfRule type="expression" dxfId="12" priority="177">
      <formula>AND($B22="WEGE3", ($K22) &lt; ($L22))</formula>
    </cfRule>
  </conditionalFormatting>
  <conditionalFormatting sqref="K22:K34">
    <cfRule type="expression" dxfId="12" priority="178">
      <formula>AND($B22="BRBI11", ($K22) &lt; ($L22))</formula>
    </cfRule>
  </conditionalFormatting>
  <conditionalFormatting sqref="K22:K34">
    <cfRule type="expression" dxfId="12" priority="179">
      <formula>AND($B22="CMIG3", ($K22) &lt; ($L22))</formula>
    </cfRule>
  </conditionalFormatting>
  <conditionalFormatting sqref="K22:K34">
    <cfRule type="expression" dxfId="12" priority="180">
      <formula>AND($B22="ISAE4", ($K22) &lt; ($L22))</formula>
    </cfRule>
  </conditionalFormatting>
  <conditionalFormatting sqref="E77:E81">
    <cfRule type="expression" dxfId="6" priority="181">
      <formula>AND($A77="BTCI11", ($G77) &gt; ($E77))</formula>
    </cfRule>
  </conditionalFormatting>
  <conditionalFormatting sqref="E77:E81">
    <cfRule type="expression" dxfId="6" priority="182">
      <formula>AND($A77="MXRF11", ($G77) &gt; ($E77))</formula>
    </cfRule>
  </conditionalFormatting>
  <conditionalFormatting sqref="F77:F81">
    <cfRule type="expression" dxfId="6" priority="183">
      <formula>AND($A77="BTCI11", ($F77) &gt; ($E77)) </formula>
    </cfRule>
  </conditionalFormatting>
  <conditionalFormatting sqref="F77:F81">
    <cfRule type="expression" dxfId="6" priority="184">
      <formula>AND($A77="MXRF11", ($F77) &gt; ($E77)) </formula>
    </cfRule>
  </conditionalFormatting>
  <conditionalFormatting sqref="B52:E65">
    <cfRule type="expression" dxfId="7" priority="185">
      <formula>AND($B52="RECR11", VALUE(SUBSTITUTE($C52,"%","")) &lt; VALUE(SUBSTITUTE($E52,"%","")))</formula>
    </cfRule>
  </conditionalFormatting>
  <conditionalFormatting sqref="L65">
    <cfRule type="expression" dxfId="13" priority="186">
      <formula>AND($B65="LVBI11", VALUE(SUBSTITUTE($L65,"%","")) &gt; VALUE(SUBSTITUTE($K65,"%","")))</formula>
    </cfRule>
  </conditionalFormatting>
  <conditionalFormatting sqref="F77:F81">
    <cfRule type="expression" dxfId="6" priority="187">
      <formula>AND($A77="RECR11", ($F77) &gt; ($E77)) </formula>
    </cfRule>
  </conditionalFormatting>
  <conditionalFormatting sqref="E77:E81">
    <cfRule type="expression" dxfId="6" priority="188">
      <formula>AND($A77="RECR11", ($G77) &gt; ($E77))</formula>
    </cfRule>
  </conditionalFormatting>
  <conditionalFormatting sqref="B22:E34">
    <cfRule type="expression" dxfId="7" priority="189">
      <formula>AND($B22="ISAE4", VALUE(SUBSTITUTE($C22,"%","")) &lt; VALUE(SUBSTITUTE($E22,"%","")))</formula>
    </cfRule>
  </conditionalFormatting>
  <conditionalFormatting sqref="K22:K34">
    <cfRule type="expression" dxfId="12" priority="190">
      <formula>AND($B22="CMIG4", ($K22) &lt; ($L22))</formula>
    </cfRule>
  </conditionalFormatting>
  <conditionalFormatting sqref="B22:E34">
    <cfRule type="expression" dxfId="7" priority="191">
      <formula>AND($B22="SAPR4", VALUE(SUBSTITUTE($C22,"%","")) &lt; VALUE(SUBSTITUTE($E22,"%","")))</formula>
    </cfRule>
  </conditionalFormatting>
  <conditionalFormatting sqref="K22:K34">
    <cfRule type="expression" dxfId="12" priority="192">
      <formula>AND($B22="SAPR4", ($K22) &lt; ($L22))</formula>
    </cfRule>
  </conditionalFormatting>
  <conditionalFormatting sqref="I22:I34">
    <cfRule type="expression" dxfId="12" priority="193">
      <formula>AND($B22="BBAS3", ($K22) &lt; ($I22))</formula>
    </cfRule>
  </conditionalFormatting>
  <conditionalFormatting sqref="I22:I34">
    <cfRule type="expression" dxfId="12" priority="194">
      <formula>AND($B22="BBSE3", ($K22) &lt; ($I22))</formula>
    </cfRule>
  </conditionalFormatting>
  <conditionalFormatting sqref="I22:I34">
    <cfRule type="expression" dxfId="12" priority="195">
      <formula>AND($B22="ITUB3", ($K22) &lt; ($I22))</formula>
    </cfRule>
  </conditionalFormatting>
  <conditionalFormatting sqref="I22:I34">
    <cfRule type="expression" dxfId="12" priority="196">
      <formula>AND($B22="TAEE11", ($K22) &lt; ($I22))</formula>
    </cfRule>
  </conditionalFormatting>
  <conditionalFormatting sqref="I22:I34">
    <cfRule type="expression" dxfId="12" priority="197">
      <formula>AND($B22="PETR4", ($K22) &lt; ($I22))</formula>
    </cfRule>
  </conditionalFormatting>
  <conditionalFormatting sqref="I22:I34">
    <cfRule type="expression" dxfId="12" priority="198">
      <formula>AND($B22="CMIG4", ($K22) &lt; ($I22))</formula>
    </cfRule>
  </conditionalFormatting>
  <conditionalFormatting sqref="I22:I34">
    <cfRule type="expression" dxfId="12" priority="199">
      <formula>AND($B22="VALE3", ($K22) &lt; ($I22))</formula>
    </cfRule>
  </conditionalFormatting>
  <conditionalFormatting sqref="I22:I34">
    <cfRule type="expression" dxfId="12" priority="200">
      <formula>AND($B22="BRBI11", ($K22) &lt; ($I22))</formula>
    </cfRule>
  </conditionalFormatting>
  <conditionalFormatting sqref="I22:I34">
    <cfRule type="expression" dxfId="12" priority="201">
      <formula>AND($B22="SAPR4", ($K22) &lt; ($I22))</formula>
    </cfRule>
  </conditionalFormatting>
  <conditionalFormatting sqref="I22:I34">
    <cfRule type="expression" dxfId="12" priority="202">
      <formula>AND($B22="WEGE3", ($K22) &lt; ($I22))</formula>
    </cfRule>
  </conditionalFormatting>
  <conditionalFormatting sqref="I22:I34">
    <cfRule type="expression" dxfId="12" priority="203">
      <formula>AND($B22="ISAE4", ($K22) &lt; ($I22))</formula>
    </cfRule>
  </conditionalFormatting>
  <conditionalFormatting sqref="B22:E34">
    <cfRule type="expression" dxfId="5" priority="204">
      <formula>AND($B22="ITSA4", VALUE(SUBSTITUTE($C22,"%","")) &gt; VALUE(SUBSTITUTE($E22,"%",""))*2)</formula>
    </cfRule>
  </conditionalFormatting>
  <conditionalFormatting sqref="B22:E34">
    <cfRule type="expression" dxfId="6" priority="205">
      <formula>AND($B22="ITSA4", VALUE(SUBSTITUTE($C22,"%","")) &gt; VALUE(SUBSTITUTE($E22,"%","")))</formula>
    </cfRule>
  </conditionalFormatting>
  <conditionalFormatting sqref="B22:E34">
    <cfRule type="expression" dxfId="7" priority="206">
      <formula>AND($B22="ITSA4", VALUE(SUBSTITUTE($C22,"%","")) &lt; VALUE(SUBSTITUTE($E22,"%","")))</formula>
    </cfRule>
  </conditionalFormatting>
  <conditionalFormatting sqref="K22:K34">
    <cfRule type="expression" dxfId="6" priority="207">
      <formula>AND($B22="ITSA4", ($K22) &gt; ($L22))</formula>
    </cfRule>
  </conditionalFormatting>
  <conditionalFormatting sqref="K22:K34">
    <cfRule type="expression" dxfId="12" priority="208">
      <formula>AND($B22="ITSA4", ($K22) &lt; ($L22))</formula>
    </cfRule>
  </conditionalFormatting>
  <conditionalFormatting sqref="I22:I34">
    <cfRule type="expression" dxfId="12" priority="209">
      <formula>AND($B22="ITSA4", ($K22) &lt; ($I22))</formula>
    </cfRule>
  </conditionalFormatting>
  <conditionalFormatting sqref="B22:E34">
    <cfRule type="expression" dxfId="5" priority="210">
      <formula>AND($B22="ITUB4", VALUE(SUBSTITUTE($C22,"%","")) &gt; VALUE(SUBSTITUTE($E22,"%",""))*2)</formula>
    </cfRule>
  </conditionalFormatting>
  <conditionalFormatting sqref="B22:E34">
    <cfRule type="expression" dxfId="6" priority="211">
      <formula>AND($B22="ITUB4", VALUE(SUBSTITUTE($C22,"%","")) &gt; VALUE(SUBSTITUTE($E22,"%","")))</formula>
    </cfRule>
  </conditionalFormatting>
  <conditionalFormatting sqref="B22:E34">
    <cfRule type="expression" dxfId="7" priority="212">
      <formula>AND($B22="ITUB4", VALUE(SUBSTITUTE($C22,"%","")) &lt; VALUE(SUBSTITUTE($E22,"%","")))</formula>
    </cfRule>
  </conditionalFormatting>
  <conditionalFormatting sqref="K22:K34">
    <cfRule type="expression" dxfId="6" priority="213">
      <formula>AND($B22="ITUB4", ($K22) &gt; ($L22))</formula>
    </cfRule>
  </conditionalFormatting>
  <conditionalFormatting sqref="K22:K34">
    <cfRule type="expression" dxfId="12" priority="214">
      <formula>AND($B22="ITUB4", ($K22) &lt; ($L22))</formula>
    </cfRule>
  </conditionalFormatting>
  <conditionalFormatting sqref="I22:I34">
    <cfRule type="expression" dxfId="12" priority="215">
      <formula>AND($B22="ITUB4", ($K22) &lt; ($I22))</formula>
    </cfRule>
  </conditionalFormatting>
  <conditionalFormatting sqref="B52:E65">
    <cfRule type="expression" dxfId="5" priority="216">
      <formula>AND($B52="KNRI11", VALUE(SUBSTITUTE($C52,"%","")) &gt; VALUE(SUBSTITUTE($E52,"%",""))*2)</formula>
    </cfRule>
  </conditionalFormatting>
  <conditionalFormatting sqref="B52:E65">
    <cfRule type="expression" dxfId="5" priority="217">
      <formula>AND($B52="HGRU11", VALUE(SUBSTITUTE($C52,"%","")) &gt; VALUE(SUBSTITUTE($E52,"%",""))*2)</formula>
    </cfRule>
  </conditionalFormatting>
  <conditionalFormatting sqref="B52:E65">
    <cfRule type="expression" dxfId="6" priority="218">
      <formula>AND($B52="HGRU11", VALUE(SUBSTITUTE($C52,"%","")) &gt; VALUE(SUBSTITUTE($E52,"%","")))</formula>
    </cfRule>
  </conditionalFormatting>
  <conditionalFormatting sqref="B52:E65">
    <cfRule type="expression" dxfId="6" priority="219">
      <formula>AND($B52="KNRI11", VALUE(SUBSTITUTE($C52,"%","")) &gt; VALUE(SUBSTITUTE($E52,"%","")))</formula>
    </cfRule>
  </conditionalFormatting>
  <conditionalFormatting sqref="B52:E65">
    <cfRule type="expression" dxfId="7" priority="220">
      <formula>AND($B52="KNRI11", VALUE(SUBSTITUTE($C52,"%","")) &lt; VALUE(SUBSTITUTE($E52,"%","")))</formula>
    </cfRule>
  </conditionalFormatting>
  <conditionalFormatting sqref="B52:E65">
    <cfRule type="expression" dxfId="7" priority="221">
      <formula>AND($B52="HGRU11", VALUE(SUBSTITUTE($C52,"%","")) &lt; VALUE(SUBSTITUTE($E52,"%","")))</formula>
    </cfRule>
  </conditionalFormatting>
  <conditionalFormatting sqref="B52:E65">
    <cfRule type="expression" dxfId="5" priority="222">
      <formula>AND($B52="PORD11", VALUE(SUBSTITUTE($C52,"%","")) &gt; VALUE(SUBSTITUTE($E52,"%",""))*2)</formula>
    </cfRule>
  </conditionalFormatting>
  <conditionalFormatting sqref="B52:E65">
    <cfRule type="expression" dxfId="6" priority="223">
      <formula>AND($B52="PORD11", VALUE(SUBSTITUTE($C52,"%","")) &gt; VALUE(SUBSTITUTE($E52,"%","")))</formula>
    </cfRule>
  </conditionalFormatting>
  <conditionalFormatting sqref="B52:E65">
    <cfRule type="expression" dxfId="7" priority="224">
      <formula>AND($B52="PORD11", VALUE(SUBSTITUTE($C52,"%","")) &lt; VALUE(SUBSTITUTE($E52,"%","")))</formula>
    </cfRule>
  </conditionalFormatting>
  <conditionalFormatting sqref="G52:G65">
    <cfRule type="expression" dxfId="6" priority="225">
      <formula>AND($B52="KNRI11", ($G52) &gt;= ($I52))</formula>
    </cfRule>
  </conditionalFormatting>
  <conditionalFormatting sqref="G52:G65">
    <cfRule type="expression" dxfId="6" priority="226">
      <formula>AND($B52="HGRU11", ($G52) &gt;= ($I52))</formula>
    </cfRule>
  </conditionalFormatting>
  <conditionalFormatting sqref="G52:G65">
    <cfRule type="expression" dxfId="6" priority="227">
      <formula>AND($B52="PORD11", ($G52) &gt;= ($I52))</formula>
    </cfRule>
  </conditionalFormatting>
  <conditionalFormatting sqref="G52:G65">
    <cfRule type="expression" dxfId="11" priority="228">
      <formula>AND($B52="KNRI11", ($G52) &gt; ($J52))</formula>
    </cfRule>
  </conditionalFormatting>
  <conditionalFormatting sqref="G52:G65">
    <cfRule type="expression" dxfId="11" priority="229">
      <formula>AND($B52="HGRU11", ($G52) &gt; ($J52))</formula>
    </cfRule>
  </conditionalFormatting>
  <conditionalFormatting sqref="G52:G65">
    <cfRule type="expression" dxfId="11" priority="230">
      <formula>AND($B52="PORD11", ($G52) &gt; ($J52))</formula>
    </cfRule>
  </conditionalFormatting>
  <conditionalFormatting sqref="G52:G65">
    <cfRule type="expression" dxfId="12" priority="231">
      <formula>AND($B52="KNRI11", ($G52) &lt; ($J52))</formula>
    </cfRule>
  </conditionalFormatting>
  <conditionalFormatting sqref="G52:G65">
    <cfRule type="expression" dxfId="12" priority="232">
      <formula>AND($B52="HGRU11", ($G52) &lt; ($J52))</formula>
    </cfRule>
  </conditionalFormatting>
  <conditionalFormatting sqref="L65">
    <cfRule type="expression" dxfId="5" priority="233">
      <formula>AND($B65="KNRI11", VALUE(SUBSTITUTE($L65,"%","")) &lt; VALUE(SUBSTITUTE($K65,"%","")))</formula>
    </cfRule>
  </conditionalFormatting>
  <conditionalFormatting sqref="L65">
    <cfRule type="expression" dxfId="5" priority="234">
      <formula>AND($B65="HGRU11", VALUE(SUBSTITUTE($L65,"%","")) &lt; VALUE(SUBSTITUTE($K65,"%","")))</formula>
    </cfRule>
  </conditionalFormatting>
  <conditionalFormatting sqref="L65">
    <cfRule type="expression" dxfId="5" priority="235">
      <formula>AND($B65="PORD11", VALUE(SUBSTITUTE($L65,"%","")) &lt; VALUE(SUBSTITUTE($K65,"%","")))</formula>
    </cfRule>
  </conditionalFormatting>
  <conditionalFormatting sqref="L65">
    <cfRule type="expression" dxfId="13" priority="236">
      <formula>AND($B65="KNRI11", VALUE(SUBSTITUTE($L65,"%","")) &gt; VALUE(SUBSTITUTE($K65,"%","")))</formula>
    </cfRule>
  </conditionalFormatting>
  <conditionalFormatting sqref="L65">
    <cfRule type="expression" dxfId="13" priority="237">
      <formula>AND($B65="HGRU11", VALUE(SUBSTITUTE($L65,"%","")) &gt; VALUE(SUBSTITUTE($K65,"%","")))</formula>
    </cfRule>
  </conditionalFormatting>
  <conditionalFormatting sqref="L65">
    <cfRule type="expression" dxfId="13" priority="238">
      <formula>AND($B65="PORD11", VALUE(SUBSTITUTE($L65,"%","")) &gt; VALUE(SUBSTITUTE($K65,"%","")))</formula>
    </cfRule>
  </conditionalFormatting>
  <conditionalFormatting sqref="B52:E65">
    <cfRule type="expression" dxfId="5" priority="239">
      <formula>AND($B52="PCIP11", VALUE(SUBSTITUTE($C52,"%","")) &gt; VALUE(SUBSTITUTE($E52,"%",""))*2)</formula>
    </cfRule>
  </conditionalFormatting>
  <conditionalFormatting sqref="B52:E65">
    <cfRule type="expression" dxfId="6" priority="240">
      <formula>AND($B52="PCIP11", VALUE(SUBSTITUTE($C52,"%","")) &gt; VALUE(SUBSTITUTE($E52,"%","")))</formula>
    </cfRule>
  </conditionalFormatting>
  <conditionalFormatting sqref="B52:E65">
    <cfRule type="expression" dxfId="7" priority="241">
      <formula>AND($B52="PCIP11", VALUE(SUBSTITUTE($C52,"%","")) &lt; VALUE(SUBSTITUTE($E52,"%","")))</formula>
    </cfRule>
  </conditionalFormatting>
  <conditionalFormatting sqref="G52:G65">
    <cfRule type="expression" dxfId="6" priority="242">
      <formula>AND($B52="PCIP11", ($G52) &gt;= ($I52))</formula>
    </cfRule>
  </conditionalFormatting>
  <conditionalFormatting sqref="G52:G65">
    <cfRule type="expression" dxfId="11" priority="243">
      <formula>AND($B52="PCIP11", ($G52) &gt; ($J52))</formula>
    </cfRule>
  </conditionalFormatting>
  <conditionalFormatting sqref="G52:G65">
    <cfRule type="expression" dxfId="12" priority="244">
      <formula>AND($B52="PCIP11", ($G52) &lt; ($J52))</formula>
    </cfRule>
  </conditionalFormatting>
  <conditionalFormatting sqref="L65">
    <cfRule type="expression" dxfId="5" priority="245">
      <formula>AND($B65="PCIP11", VALUE(SUBSTITUTE($L65,"%","")) &lt; VALUE(SUBSTITUTE($K65,"%","")))</formula>
    </cfRule>
  </conditionalFormatting>
  <conditionalFormatting sqref="L65">
    <cfRule type="expression" dxfId="13" priority="246">
      <formula>AND($B65="PCIP11", VALUE(SUBSTITUTE($L65,"%","")) &gt; VALUE(SUBSTITUTE($K65,"%","")))</formula>
    </cfRule>
  </conditionalFormatting>
  <conditionalFormatting sqref="L65">
    <cfRule type="cellIs" dxfId="13" priority="247" operator="greaterThan">
      <formula>0</formula>
    </cfRule>
  </conditionalFormatting>
  <dataValidations>
    <dataValidation type="custom" allowBlank="1" showDropDown="1" sqref="H83:H85">
      <formula1>OR(NOT(ISERROR(DATEVALUE(H83))), AND(ISNUMBER(H83), LEFT(CELL("format", H83))="D"))</formula1>
    </dataValidation>
    <dataValidation type="custom" allowBlank="1" showDropDown="1" sqref="B3:D9 A22:A34 C22:C34 F22:G34 I22:L34 N22:O34 C52:C64 E52:S64 C83:G85 K83:K85 D89:H92 C97:G99 E104:E105 G104:J105">
      <formula1>AND(ISNUMBER(A3),(NOT(OR(NOT(ISERROR(DATEVALUE(A3))), AND(ISNUMBER(A3), LEFT(CELL("format", A3))="D")))))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7.88"/>
    <col customWidth="1" min="2" max="2" width="22.25"/>
    <col customWidth="1" min="3" max="3" width="18.75"/>
    <col customWidth="1" min="4" max="4" width="18.25"/>
    <col customWidth="1" min="5" max="5" width="14.63"/>
    <col customWidth="1" min="6" max="6" width="13.5"/>
    <col customWidth="1" min="7" max="7" width="17.13"/>
    <col customWidth="1" min="8" max="8" width="15.88"/>
    <col customWidth="1" min="9" max="9" width="14.38"/>
    <col customWidth="1" min="10" max="10" width="23.63"/>
    <col customWidth="1" min="11" max="11" width="22.88"/>
    <col customWidth="1" min="12" max="12" width="14.88"/>
    <col customWidth="1" min="13" max="13" width="20.0"/>
    <col customWidth="1" min="16" max="16" width="13.88"/>
  </cols>
  <sheetData>
    <row r="2" ht="22.5" customHeight="1">
      <c r="B2" s="1" t="s">
        <v>2</v>
      </c>
      <c r="C2" s="1" t="s">
        <v>7</v>
      </c>
      <c r="D2" s="4" t="s">
        <v>8</v>
      </c>
      <c r="E2" s="4" t="s">
        <v>12</v>
      </c>
      <c r="F2" s="1" t="s">
        <v>16</v>
      </c>
      <c r="G2" s="4" t="s">
        <v>18</v>
      </c>
      <c r="H2" s="1" t="s">
        <v>19</v>
      </c>
      <c r="J2" s="5"/>
      <c r="K2" s="5"/>
      <c r="L2" s="5"/>
      <c r="M2" s="5"/>
    </row>
    <row r="3" ht="22.5" customHeight="1">
      <c r="B3" s="20">
        <f>IFERROR(((financeiros[Valor Bruto]-(financeiros[Valor Aplicado]-financeiros[Total Proventos]))/financeiros[Valor Bruto]),0)</f>
        <v>0.009888910892</v>
      </c>
      <c r="C3" s="20">
        <f>IFERROR((G19/(HOME!B3+HOME!B4)),0)</f>
        <v>0.0007502618197</v>
      </c>
      <c r="D3" s="22">
        <v>0.0045</v>
      </c>
      <c r="E3" s="20">
        <f>financeiros[FIIs_Provento]/HOME!B4</f>
        <v>0.09605854985</v>
      </c>
      <c r="F3" s="20">
        <f>IFERROR(SUMPRODUCT(Fiis[QTD],Fiis[Div/12])/SUMPRODUCT(Fiis[QTD],Fiis[P/M]),"")</f>
        <v>0.01251969489</v>
      </c>
      <c r="G3" s="22">
        <v>0.007</v>
      </c>
      <c r="H3" s="20">
        <f>IFERROR(( financeiros[Ganho Capital]/financeiros[Valor Aplicado]),0)</f>
        <v>0.0001031717368</v>
      </c>
      <c r="J3" s="5"/>
      <c r="K3" s="5"/>
      <c r="L3" s="5"/>
      <c r="M3" s="5"/>
    </row>
    <row r="4">
      <c r="J4" s="5"/>
      <c r="K4" s="5"/>
      <c r="L4" s="5"/>
      <c r="M4" s="5"/>
    </row>
    <row r="5">
      <c r="J5" s="5"/>
      <c r="K5" s="5"/>
      <c r="L5" s="5"/>
      <c r="M5" s="5"/>
    </row>
    <row r="6" ht="22.5" customHeight="1">
      <c r="B6" s="1" t="s">
        <v>42</v>
      </c>
      <c r="C6" s="4" t="s">
        <v>43</v>
      </c>
      <c r="D6" s="1" t="s">
        <v>44</v>
      </c>
      <c r="E6" s="1" t="s">
        <v>45</v>
      </c>
      <c r="F6" s="1" t="s">
        <v>46</v>
      </c>
      <c r="J6" s="5"/>
      <c r="K6" s="5"/>
      <c r="L6" s="5"/>
      <c r="M6" s="5"/>
    </row>
    <row r="7" ht="22.5" customHeight="1">
      <c r="B7" s="18">
        <f>SUM(B13:M13)+ SUM(B16:M16) + SUM(B19:M19)</f>
        <v>1305.71</v>
      </c>
      <c r="C7" s="10">
        <f>IFERROR(SUM(Fiis[Rendimento_Total]),"")</f>
        <v>4968.916667</v>
      </c>
      <c r="D7" s="23">
        <v>133415.97</v>
      </c>
      <c r="E7" s="18">
        <f>HOME!B9</f>
        <v>133429.7348</v>
      </c>
      <c r="F7" s="18">
        <f>E7-D7</f>
        <v>13.76475734</v>
      </c>
      <c r="J7" s="5"/>
      <c r="K7" s="5"/>
      <c r="L7" s="5"/>
      <c r="M7" s="5"/>
    </row>
    <row r="11">
      <c r="B11" s="24" t="s">
        <v>51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</row>
    <row r="12">
      <c r="B12" s="25">
        <v>45315.0</v>
      </c>
      <c r="C12" s="25">
        <v>45346.0</v>
      </c>
      <c r="D12" s="25">
        <v>45375.0</v>
      </c>
      <c r="E12" s="25">
        <v>45406.0</v>
      </c>
      <c r="F12" s="25">
        <v>45436.0</v>
      </c>
      <c r="G12" s="25">
        <v>45467.0</v>
      </c>
      <c r="H12" s="25">
        <v>45497.0</v>
      </c>
      <c r="I12" s="25">
        <v>45528.0</v>
      </c>
      <c r="J12" s="25">
        <v>45559.0</v>
      </c>
      <c r="K12" s="25">
        <v>45589.0</v>
      </c>
      <c r="L12" s="25">
        <v>45620.0</v>
      </c>
      <c r="M12" s="25">
        <v>45650.0</v>
      </c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</row>
    <row r="13">
      <c r="B13" s="26">
        <v>0.0</v>
      </c>
      <c r="C13" s="26">
        <v>12.57</v>
      </c>
      <c r="D13" s="26">
        <v>13.69</v>
      </c>
      <c r="E13" s="26">
        <v>0.0</v>
      </c>
      <c r="F13" s="26">
        <v>11.33</v>
      </c>
      <c r="G13" s="26">
        <v>3.58</v>
      </c>
      <c r="H13" s="26">
        <v>9.34</v>
      </c>
      <c r="I13" s="26">
        <v>15.3</v>
      </c>
      <c r="J13" s="26">
        <v>10.42</v>
      </c>
      <c r="K13" s="26">
        <v>32.53</v>
      </c>
      <c r="L13" s="28">
        <v>5.97</v>
      </c>
      <c r="M13" s="28">
        <v>5.9</v>
      </c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</row>
    <row r="14">
      <c r="B14" s="30">
        <f t="shared" ref="B14:M14" si="1">IFERROR(SUM((B16/B13)-1),0)</f>
        <v>0</v>
      </c>
      <c r="C14" s="30">
        <f t="shared" si="1"/>
        <v>-0.04852824185</v>
      </c>
      <c r="D14" s="30">
        <f t="shared" si="1"/>
        <v>3.395909423</v>
      </c>
      <c r="E14" s="30">
        <f t="shared" si="1"/>
        <v>0</v>
      </c>
      <c r="F14" s="30">
        <f t="shared" si="1"/>
        <v>3.243601059</v>
      </c>
      <c r="G14" s="30">
        <f t="shared" si="1"/>
        <v>14.06145251</v>
      </c>
      <c r="H14" s="30">
        <f t="shared" si="1"/>
        <v>3.442184154</v>
      </c>
      <c r="I14" s="30">
        <f t="shared" si="1"/>
        <v>4.881045752</v>
      </c>
      <c r="J14" s="30">
        <f t="shared" si="1"/>
        <v>4.181381958</v>
      </c>
      <c r="K14" s="30">
        <f t="shared" si="1"/>
        <v>0.294497387</v>
      </c>
      <c r="L14" s="30">
        <f t="shared" si="1"/>
        <v>11.4438861</v>
      </c>
      <c r="M14" s="30">
        <f t="shared" si="1"/>
        <v>14.62542373</v>
      </c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</row>
    <row r="15">
      <c r="B15" s="33">
        <v>45682.0</v>
      </c>
      <c r="C15" s="33">
        <v>45713.0</v>
      </c>
      <c r="D15" s="33">
        <v>45741.0</v>
      </c>
      <c r="E15" s="33">
        <v>45772.0</v>
      </c>
      <c r="F15" s="33">
        <v>45802.0</v>
      </c>
      <c r="G15" s="33">
        <v>45833.0</v>
      </c>
      <c r="H15" s="33">
        <v>45863.0</v>
      </c>
      <c r="I15" s="33">
        <v>45894.0</v>
      </c>
      <c r="J15" s="33">
        <v>45925.0</v>
      </c>
      <c r="K15" s="33">
        <v>45955.0</v>
      </c>
      <c r="L15" s="33">
        <v>45986.0</v>
      </c>
      <c r="M15" s="33">
        <v>46016.0</v>
      </c>
      <c r="P15" s="30"/>
      <c r="Q15" s="34"/>
      <c r="R15" s="34"/>
      <c r="S15" s="30"/>
      <c r="T15" s="34"/>
      <c r="U15" s="34"/>
      <c r="V15" s="34"/>
      <c r="W15" s="34"/>
      <c r="X15" s="34"/>
      <c r="Y15" s="34"/>
      <c r="Z15" s="34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</row>
    <row r="16">
      <c r="B16" s="31">
        <v>40.51</v>
      </c>
      <c r="C16" s="31">
        <v>11.96</v>
      </c>
      <c r="D16" s="31">
        <v>60.18</v>
      </c>
      <c r="E16" s="31">
        <v>28.25</v>
      </c>
      <c r="F16" s="31">
        <v>48.08</v>
      </c>
      <c r="G16" s="36">
        <v>53.92</v>
      </c>
      <c r="H16" s="37">
        <v>41.49</v>
      </c>
      <c r="I16" s="37">
        <v>89.98</v>
      </c>
      <c r="J16" s="37">
        <v>53.99</v>
      </c>
      <c r="K16" s="37">
        <v>42.11</v>
      </c>
      <c r="L16" s="38">
        <v>74.29</v>
      </c>
      <c r="M16" s="38">
        <v>92.19</v>
      </c>
    </row>
    <row r="17">
      <c r="B17" s="39">
        <f t="shared" ref="B17:M17" si="2">IFERROR(SUM((B19/B16)-1),0)</f>
        <v>0.6669958035</v>
      </c>
      <c r="C17" s="39">
        <f t="shared" si="2"/>
        <v>2.753344482</v>
      </c>
      <c r="D17" s="39">
        <f t="shared" si="2"/>
        <v>1.1889332</v>
      </c>
      <c r="E17" s="39">
        <f t="shared" si="2"/>
        <v>0.6300884956</v>
      </c>
      <c r="F17" s="39">
        <f t="shared" si="2"/>
        <v>0.3517054908</v>
      </c>
      <c r="G17" s="39">
        <f t="shared" si="2"/>
        <v>0.2887611276</v>
      </c>
      <c r="H17" s="39">
        <f t="shared" si="2"/>
        <v>0.1255724271</v>
      </c>
      <c r="I17" s="39">
        <f t="shared" si="2"/>
        <v>-0.1470326739</v>
      </c>
      <c r="J17" s="39">
        <f t="shared" si="2"/>
        <v>-1</v>
      </c>
      <c r="K17" s="39">
        <f t="shared" si="2"/>
        <v>-1</v>
      </c>
      <c r="L17" s="39">
        <f t="shared" si="2"/>
        <v>-1</v>
      </c>
      <c r="M17" s="39">
        <f t="shared" si="2"/>
        <v>-1</v>
      </c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</row>
    <row r="18">
      <c r="B18" s="40">
        <v>46023.0</v>
      </c>
      <c r="C18" s="41">
        <v>46054.0</v>
      </c>
      <c r="D18" s="41">
        <v>46082.0</v>
      </c>
      <c r="E18" s="41">
        <v>46113.0</v>
      </c>
      <c r="F18" s="41">
        <v>46143.0</v>
      </c>
      <c r="G18" s="41">
        <v>46174.0</v>
      </c>
      <c r="H18" s="41">
        <v>46204.0</v>
      </c>
      <c r="I18" s="41">
        <v>46235.0</v>
      </c>
      <c r="J18" s="41">
        <v>46266.0</v>
      </c>
      <c r="K18" s="41">
        <v>46296.0</v>
      </c>
      <c r="L18" s="41">
        <v>46327.0</v>
      </c>
      <c r="M18" s="41">
        <v>46357.0</v>
      </c>
      <c r="P18" s="31"/>
      <c r="Q18" s="31"/>
      <c r="R18" s="31"/>
      <c r="S18" s="31"/>
      <c r="T18" s="31"/>
      <c r="U18" s="42"/>
      <c r="V18" s="42"/>
      <c r="W18" s="42"/>
      <c r="X18" s="42"/>
      <c r="Y18" s="42"/>
      <c r="Z18" s="4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</row>
    <row r="19">
      <c r="B19" s="36">
        <v>67.53</v>
      </c>
      <c r="C19" s="36">
        <v>44.89</v>
      </c>
      <c r="D19" s="36">
        <v>131.73</v>
      </c>
      <c r="E19" s="36">
        <v>46.05</v>
      </c>
      <c r="F19" s="36">
        <v>64.99</v>
      </c>
      <c r="G19" s="36">
        <v>69.49</v>
      </c>
      <c r="H19" s="37">
        <v>46.7</v>
      </c>
      <c r="I19" s="37">
        <v>76.75</v>
      </c>
      <c r="J19" s="37">
        <v>0.0</v>
      </c>
      <c r="K19" s="37">
        <v>0.0</v>
      </c>
      <c r="L19" s="38">
        <v>0.0</v>
      </c>
      <c r="M19" s="38">
        <v>0.0</v>
      </c>
      <c r="P19" s="34"/>
      <c r="Q19" s="34"/>
      <c r="R19" s="34"/>
      <c r="S19" s="34"/>
      <c r="T19" s="34"/>
      <c r="U19" s="34"/>
      <c r="V19" s="30"/>
      <c r="W19" s="30"/>
      <c r="X19" s="30"/>
      <c r="Y19" s="30"/>
      <c r="Z19" s="30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</row>
    <row r="21"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</row>
    <row r="22">
      <c r="N22" s="24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</row>
    <row r="23">
      <c r="N23" s="24"/>
      <c r="O23" s="34"/>
      <c r="P23" s="34"/>
      <c r="Q23" s="34"/>
      <c r="R23" s="34"/>
      <c r="S23" s="34"/>
      <c r="T23" s="34"/>
      <c r="U23" s="34"/>
      <c r="V23" s="30"/>
      <c r="W23" s="30"/>
      <c r="X23" s="30"/>
      <c r="Y23" s="30"/>
      <c r="Z23" s="30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</row>
    <row r="24">
      <c r="N24" s="24"/>
      <c r="O24" s="34"/>
      <c r="P24" s="34"/>
      <c r="Q24" s="34"/>
      <c r="R24" s="34"/>
      <c r="S24" s="34"/>
      <c r="T24" s="34"/>
      <c r="U24" s="34"/>
      <c r="V24" s="30"/>
      <c r="W24" s="30"/>
      <c r="X24" s="30"/>
      <c r="Y24" s="30"/>
      <c r="Z24" s="30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</row>
    <row r="29">
      <c r="B29" s="38"/>
      <c r="N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</row>
    <row r="30"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</row>
    <row r="31"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</row>
    <row r="33">
      <c r="N33" s="24"/>
      <c r="O33" s="34"/>
      <c r="P33" s="34"/>
      <c r="Q33" s="34"/>
      <c r="R33" s="34"/>
      <c r="S33" s="34"/>
      <c r="T33" s="34"/>
      <c r="U33" s="34"/>
      <c r="V33" s="30"/>
      <c r="W33" s="30"/>
      <c r="X33" s="30"/>
      <c r="Y33" s="30"/>
      <c r="Z33" s="30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</row>
    <row r="38">
      <c r="C38" s="53"/>
    </row>
    <row r="39">
      <c r="C39" s="54"/>
    </row>
    <row r="40">
      <c r="A40" s="55"/>
      <c r="B40" s="56" t="s">
        <v>83</v>
      </c>
      <c r="D40" s="57">
        <f>IFERROR(SUMPRODUCT(Fiis[QTD],Fiis[Div/12])/SUMPRODUCT(Fiis[QTD],Fiis[P/M]),"")</f>
        <v>0.01251969489</v>
      </c>
      <c r="E40" s="58"/>
      <c r="F40" s="58"/>
      <c r="G40" s="58"/>
      <c r="H40" s="58"/>
      <c r="I40" s="58"/>
      <c r="J40" s="59" t="s">
        <v>84</v>
      </c>
      <c r="M40" s="59" t="s">
        <v>84</v>
      </c>
      <c r="P40" s="59" t="s">
        <v>84</v>
      </c>
      <c r="S40" s="59" t="s">
        <v>84</v>
      </c>
      <c r="V40" s="59" t="s">
        <v>84</v>
      </c>
      <c r="Y40" s="59" t="s">
        <v>84</v>
      </c>
      <c r="AB40" s="59" t="s">
        <v>84</v>
      </c>
      <c r="AE40" s="59" t="s">
        <v>85</v>
      </c>
      <c r="AH40" s="59" t="s">
        <v>86</v>
      </c>
      <c r="AK40" s="59" t="s">
        <v>86</v>
      </c>
      <c r="AN40" s="59" t="s">
        <v>86</v>
      </c>
      <c r="AQ40" s="59" t="s">
        <v>86</v>
      </c>
    </row>
    <row r="41">
      <c r="A41" s="58"/>
      <c r="B41" s="56" t="s">
        <v>87</v>
      </c>
      <c r="D41" s="57">
        <f>IF(D40="","",D40*12)</f>
        <v>0.1502363387</v>
      </c>
      <c r="E41" s="58"/>
      <c r="F41" s="58"/>
      <c r="G41" s="56" t="s">
        <v>88</v>
      </c>
      <c r="I41" s="62">
        <f>IFERROR((SUM(K58:AS58)+SUMPRODUCT(D43:D52,F43:F52))/SUMPRODUCT(D43:D52,E43:E52)-1,"")</f>
        <v>0.2889602571</v>
      </c>
      <c r="J41" s="63" t="s">
        <v>90</v>
      </c>
      <c r="K41" s="64"/>
      <c r="L41" s="65"/>
      <c r="M41" s="63" t="s">
        <v>91</v>
      </c>
      <c r="N41" s="64"/>
      <c r="O41" s="65"/>
      <c r="P41" s="63" t="s">
        <v>92</v>
      </c>
      <c r="Q41" s="64"/>
      <c r="R41" s="65"/>
      <c r="S41" s="63" t="s">
        <v>93</v>
      </c>
      <c r="T41" s="64"/>
      <c r="U41" s="65"/>
      <c r="V41" s="63" t="s">
        <v>94</v>
      </c>
      <c r="W41" s="64"/>
      <c r="X41" s="65"/>
      <c r="Y41" s="63" t="s">
        <v>95</v>
      </c>
      <c r="Z41" s="64"/>
      <c r="AA41" s="65"/>
      <c r="AB41" s="63" t="s">
        <v>96</v>
      </c>
      <c r="AC41" s="64"/>
      <c r="AD41" s="65"/>
      <c r="AE41" s="63" t="s">
        <v>97</v>
      </c>
      <c r="AF41" s="64"/>
      <c r="AG41" s="65"/>
      <c r="AH41" s="63" t="s">
        <v>98</v>
      </c>
      <c r="AI41" s="64"/>
      <c r="AJ41" s="65"/>
      <c r="AK41" s="63" t="s">
        <v>99</v>
      </c>
      <c r="AL41" s="64"/>
      <c r="AM41" s="65"/>
      <c r="AN41" s="63" t="s">
        <v>100</v>
      </c>
      <c r="AO41" s="64"/>
      <c r="AP41" s="65"/>
      <c r="AQ41" s="63" t="s">
        <v>101</v>
      </c>
      <c r="AR41" s="64"/>
      <c r="AS41" s="65"/>
    </row>
    <row r="42">
      <c r="A42" s="67" t="s">
        <v>102</v>
      </c>
      <c r="B42" s="68" t="s">
        <v>103</v>
      </c>
      <c r="C42" s="69" t="s">
        <v>104</v>
      </c>
      <c r="D42" s="71" t="s">
        <v>105</v>
      </c>
      <c r="E42" s="68" t="s">
        <v>106</v>
      </c>
      <c r="F42" s="73" t="s">
        <v>107</v>
      </c>
      <c r="G42" s="73" t="s">
        <v>108</v>
      </c>
      <c r="H42" s="73" t="s">
        <v>109</v>
      </c>
      <c r="I42" s="73" t="s">
        <v>110</v>
      </c>
      <c r="J42" s="75" t="s">
        <v>111</v>
      </c>
      <c r="K42" s="75" t="s">
        <v>112</v>
      </c>
      <c r="L42" s="76" t="s">
        <v>113</v>
      </c>
      <c r="M42" s="75" t="s">
        <v>111</v>
      </c>
      <c r="N42" s="75" t="s">
        <v>112</v>
      </c>
      <c r="O42" s="76" t="s">
        <v>113</v>
      </c>
      <c r="P42" s="75" t="s">
        <v>111</v>
      </c>
      <c r="Q42" s="75" t="s">
        <v>112</v>
      </c>
      <c r="R42" s="76" t="s">
        <v>113</v>
      </c>
      <c r="S42" s="75" t="s">
        <v>111</v>
      </c>
      <c r="T42" s="75" t="s">
        <v>112</v>
      </c>
      <c r="U42" s="76" t="s">
        <v>113</v>
      </c>
      <c r="V42" s="75" t="s">
        <v>111</v>
      </c>
      <c r="W42" s="75" t="s">
        <v>112</v>
      </c>
      <c r="X42" s="76" t="s">
        <v>113</v>
      </c>
      <c r="Y42" s="75" t="s">
        <v>111</v>
      </c>
      <c r="Z42" s="75" t="s">
        <v>112</v>
      </c>
      <c r="AA42" s="76" t="s">
        <v>113</v>
      </c>
      <c r="AB42" s="75" t="s">
        <v>111</v>
      </c>
      <c r="AC42" s="75" t="s">
        <v>112</v>
      </c>
      <c r="AD42" s="78" t="s">
        <v>113</v>
      </c>
      <c r="AE42" s="75" t="s">
        <v>111</v>
      </c>
      <c r="AF42" s="75" t="s">
        <v>112</v>
      </c>
      <c r="AG42" s="78" t="s">
        <v>113</v>
      </c>
      <c r="AH42" s="79" t="s">
        <v>111</v>
      </c>
      <c r="AI42" s="79" t="s">
        <v>112</v>
      </c>
      <c r="AJ42" s="80" t="s">
        <v>113</v>
      </c>
      <c r="AK42" s="79" t="s">
        <v>111</v>
      </c>
      <c r="AL42" s="79" t="s">
        <v>112</v>
      </c>
      <c r="AM42" s="80" t="s">
        <v>113</v>
      </c>
      <c r="AN42" s="79" t="s">
        <v>111</v>
      </c>
      <c r="AO42" s="79" t="s">
        <v>112</v>
      </c>
      <c r="AP42" s="80" t="s">
        <v>113</v>
      </c>
      <c r="AQ42" s="79" t="s">
        <v>111</v>
      </c>
      <c r="AR42" s="79" t="s">
        <v>112</v>
      </c>
      <c r="AS42" s="80" t="s">
        <v>113</v>
      </c>
    </row>
    <row r="43">
      <c r="A43" s="81" t="s">
        <v>50</v>
      </c>
      <c r="B43" s="82" t="s">
        <v>114</v>
      </c>
      <c r="C43" s="82" t="s">
        <v>115</v>
      </c>
      <c r="D43" s="84">
        <f t="array" ref="D43">IFERROR(INDEX(Fiis[], MATCH(A43, Fiis[Fii], 0), MATCH(Fiis[[#HEADERS],[QTD]], Fiis[#HEADERS], 0)), "")
</f>
        <v>50</v>
      </c>
      <c r="E43" s="87">
        <f t="array" ref="E43">IFERROR(INDEX(Fiis[], MATCH(A43, Fiis[Fii], 0), MATCH(Fiis[[#HEADERS],[P/M]], Fiis[#HEADERS], 0)), "")
</f>
        <v>10.01</v>
      </c>
      <c r="F43" s="88">
        <f>IFERROR(__xludf.DUMMYFUNCTION("IFERROR(GOOGLEFINANCE(A43),"""")"),9.06)</f>
        <v>9.06</v>
      </c>
      <c r="G43" s="89">
        <f t="shared" ref="G43:G56" si="3">IFERROR(SUMPRODUCT((MOD(COLUMN(K43:AS43)-COLUMN(K43), 3) = 0) * (K43:AS43))/SUMPRODUCT((MOD(COLUMN(K43:AS43)-COLUMN(K43), 3) = 0) * (NOT(ISBLANK(K43:AS43))))/E43*12,"")</f>
        <v>0.1198801199</v>
      </c>
      <c r="H43" s="89">
        <f t="shared" ref="H43:H56" si="4">IFERROR(F43/E43-1,"")</f>
        <v>-0.09490509491</v>
      </c>
      <c r="I43" s="89">
        <f t="shared" ref="I43:I56" si="5">IFERROR((SUMPRODUCT((MOD(COLUMN(L43:AS43)-COLUMN(L43), 3) = 0) * (L43:AS43))+D43*F43)/(D43*E43)-1,"")</f>
        <v>0.01438561439</v>
      </c>
      <c r="J43" s="90">
        <v>39.0</v>
      </c>
      <c r="K43" s="87">
        <f t="shared" ref="K43:K52" si="6">IF(J43=0,"",L43/J43)</f>
        <v>0.1</v>
      </c>
      <c r="L43" s="91">
        <v>3.9</v>
      </c>
      <c r="M43" s="90">
        <v>39.0</v>
      </c>
      <c r="N43" s="87">
        <f t="shared" ref="N43:N52" si="7">IF(M43=0,"",O43/M43)</f>
        <v>0.1</v>
      </c>
      <c r="O43" s="91">
        <v>3.9</v>
      </c>
      <c r="P43" s="90">
        <v>39.0</v>
      </c>
      <c r="Q43" s="87">
        <f t="shared" ref="Q43:Q52" si="8">IF(P43=0,"",R43/P43)</f>
        <v>0.1</v>
      </c>
      <c r="R43" s="91">
        <v>3.9</v>
      </c>
      <c r="S43" s="90">
        <v>64.0</v>
      </c>
      <c r="T43" s="92">
        <f t="shared" ref="T43:T52" si="9">IF(S43=0,"",U43/S43)</f>
        <v>0.1</v>
      </c>
      <c r="U43" s="91">
        <v>6.4</v>
      </c>
      <c r="V43" s="93" t="s">
        <v>116</v>
      </c>
      <c r="W43" s="92">
        <f t="shared" ref="W43:W52" si="10">IF(V43=0,"",X43/V43)</f>
        <v>0.1</v>
      </c>
      <c r="X43" s="91">
        <v>6.9</v>
      </c>
      <c r="Y43" s="93" t="s">
        <v>117</v>
      </c>
      <c r="Z43" s="92">
        <f t="shared" ref="Z43:Z52" si="11">IF(Y43=0,"",AA43/Y43)</f>
        <v>0.1</v>
      </c>
      <c r="AA43" s="91">
        <v>7.9</v>
      </c>
      <c r="AB43" s="90">
        <v>109.0</v>
      </c>
      <c r="AC43" s="92">
        <f t="shared" ref="AC43:AC52" si="12">IF(AB43=0,"",AD43/AB43)</f>
        <v>0.1</v>
      </c>
      <c r="AD43" s="91">
        <v>10.9</v>
      </c>
      <c r="AE43" s="90">
        <v>109.0</v>
      </c>
      <c r="AF43" s="92">
        <f t="shared" ref="AF43:AF52" si="13">IF(AE43=0,"",AG43/AE43)</f>
        <v>0.1</v>
      </c>
      <c r="AG43" s="91">
        <v>10.9</v>
      </c>
      <c r="AH43" s="90">
        <v>0.0</v>
      </c>
      <c r="AI43" s="94"/>
      <c r="AJ43" s="91" t="str">
        <f t="shared" ref="AJ43:AJ55" si="14">IF(AH43=0,"",AI43*AH43)</f>
        <v/>
      </c>
      <c r="AK43" s="90">
        <v>0.0</v>
      </c>
      <c r="AL43" s="94"/>
      <c r="AM43" s="91" t="str">
        <f t="shared" ref="AM43:AM55" si="15">IF(AK43=0,"",AL43*AK43)</f>
        <v/>
      </c>
      <c r="AN43" s="90">
        <v>0.0</v>
      </c>
      <c r="AO43" s="94"/>
      <c r="AP43" s="91" t="str">
        <f t="shared" ref="AP43:AP55" si="16">IF(AN43=0,"",AO43*AN43)</f>
        <v/>
      </c>
      <c r="AQ43" s="90">
        <v>0.0</v>
      </c>
      <c r="AR43" s="94"/>
      <c r="AS43" s="91" t="str">
        <f t="shared" ref="AS43:AS55" si="17">IF(AQ43=0,"",AR43*AQ43)</f>
        <v/>
      </c>
    </row>
    <row r="44">
      <c r="A44" s="81" t="s">
        <v>118</v>
      </c>
      <c r="B44" s="82" t="s">
        <v>114</v>
      </c>
      <c r="C44" s="82" t="s">
        <v>119</v>
      </c>
      <c r="D44" s="84">
        <f t="array" ref="D44">IFERROR(INDEX(Fiis[], MATCH(A44, Fiis[Fii], 0), MATCH(Fiis[[#HEADERS],[QTD]], Fiis[#HEADERS], 0)), "")
</f>
        <v>50</v>
      </c>
      <c r="E44" s="87">
        <f t="array" ref="E44">IFERROR(INDEX(Fiis[], MATCH(A44, Fiis[Fii], 0), MATCH(Fiis[[#HEADERS],[P/M]], Fiis[#HEADERS], 0)), "")
</f>
        <v>104.65</v>
      </c>
      <c r="F44" s="88">
        <f>IFERROR(__xludf.DUMMYFUNCTION("IFERROR(GOOGLEFINANCE(A44),"""")"),98.49)</f>
        <v>98.49</v>
      </c>
      <c r="G44" s="89">
        <f t="shared" si="3"/>
        <v>0.08600095557</v>
      </c>
      <c r="H44" s="89">
        <f t="shared" si="4"/>
        <v>-0.05886287625</v>
      </c>
      <c r="I44" s="89">
        <f t="shared" si="5"/>
        <v>-0.0502627807</v>
      </c>
      <c r="J44" s="90">
        <v>4.0</v>
      </c>
      <c r="K44" s="87">
        <f t="shared" si="6"/>
        <v>0.75</v>
      </c>
      <c r="L44" s="91">
        <v>3.0</v>
      </c>
      <c r="M44" s="90">
        <v>7.0</v>
      </c>
      <c r="N44" s="87">
        <f t="shared" si="7"/>
        <v>0.75</v>
      </c>
      <c r="O44" s="91">
        <v>5.25</v>
      </c>
      <c r="P44" s="90">
        <v>7.0</v>
      </c>
      <c r="Q44" s="92">
        <f t="shared" si="8"/>
        <v>0.75</v>
      </c>
      <c r="R44" s="91">
        <v>5.25</v>
      </c>
      <c r="S44" s="90">
        <v>7.0</v>
      </c>
      <c r="T44" s="92">
        <f t="shared" si="9"/>
        <v>0.75</v>
      </c>
      <c r="U44" s="91">
        <v>5.25</v>
      </c>
      <c r="V44" s="90">
        <v>7.0</v>
      </c>
      <c r="W44" s="92">
        <f t="shared" si="10"/>
        <v>0.75</v>
      </c>
      <c r="X44" s="91">
        <v>5.25</v>
      </c>
      <c r="Y44" s="90">
        <v>7.0</v>
      </c>
      <c r="Z44" s="92">
        <f t="shared" si="11"/>
        <v>0.75</v>
      </c>
      <c r="AA44" s="91">
        <v>5.25</v>
      </c>
      <c r="AB44" s="90">
        <v>10.0</v>
      </c>
      <c r="AC44" s="92">
        <f t="shared" si="12"/>
        <v>0.75</v>
      </c>
      <c r="AD44" s="91">
        <v>7.5</v>
      </c>
      <c r="AE44" s="90">
        <v>11.0</v>
      </c>
      <c r="AF44" s="92">
        <f t="shared" si="13"/>
        <v>0.75</v>
      </c>
      <c r="AG44" s="91">
        <v>8.25</v>
      </c>
      <c r="AH44" s="90">
        <v>0.0</v>
      </c>
      <c r="AI44" s="94"/>
      <c r="AJ44" s="91" t="str">
        <f t="shared" si="14"/>
        <v/>
      </c>
      <c r="AK44" s="90">
        <v>0.0</v>
      </c>
      <c r="AL44" s="94"/>
      <c r="AM44" s="91" t="str">
        <f t="shared" si="15"/>
        <v/>
      </c>
      <c r="AN44" s="90">
        <v>0.0</v>
      </c>
      <c r="AO44" s="94"/>
      <c r="AP44" s="91" t="str">
        <f t="shared" si="16"/>
        <v/>
      </c>
      <c r="AQ44" s="90">
        <v>0.0</v>
      </c>
      <c r="AR44" s="94"/>
      <c r="AS44" s="91" t="str">
        <f t="shared" si="17"/>
        <v/>
      </c>
    </row>
    <row r="45">
      <c r="A45" s="81" t="s">
        <v>57</v>
      </c>
      <c r="B45" s="82" t="s">
        <v>120</v>
      </c>
      <c r="C45" s="82" t="s">
        <v>115</v>
      </c>
      <c r="D45" s="84">
        <f t="array" ref="D45">IFERROR(INDEX(Fiis[], MATCH(A45, Fiis[Fii], 0), MATCH(Fiis[[#HEADERS],[QTD]], Fiis[#HEADERS], 0)), "")
</f>
        <v>50</v>
      </c>
      <c r="E45" s="87">
        <f t="array" ref="E45">IFERROR(INDEX(Fiis[], MATCH(A45, Fiis[Fii], 0), MATCH(Fiis[[#HEADERS],[P/M]], Fiis[#HEADERS], 0)), "")
</f>
        <v>8.54</v>
      </c>
      <c r="F45" s="88">
        <f>IFERROR(__xludf.DUMMYFUNCTION("IFERROR(GOOGLEFINANCE(A45),"""")"),8.23)</f>
        <v>8.23</v>
      </c>
      <c r="G45" s="89">
        <f t="shared" si="3"/>
        <v>0.1166672219</v>
      </c>
      <c r="H45" s="89">
        <f t="shared" si="4"/>
        <v>-0.03629976581</v>
      </c>
      <c r="I45" s="89">
        <f t="shared" si="5"/>
        <v>0.07257611241</v>
      </c>
      <c r="J45" s="90">
        <v>39.0</v>
      </c>
      <c r="K45" s="87">
        <f t="shared" si="6"/>
        <v>0.08307692308</v>
      </c>
      <c r="L45" s="91">
        <v>3.24</v>
      </c>
      <c r="M45" s="90">
        <v>39.0</v>
      </c>
      <c r="N45" s="87">
        <f t="shared" si="7"/>
        <v>0.08307692308</v>
      </c>
      <c r="O45" s="91">
        <v>3.24</v>
      </c>
      <c r="P45" s="90">
        <v>59.0</v>
      </c>
      <c r="Q45" s="92">
        <f t="shared" si="8"/>
        <v>0.08305084746</v>
      </c>
      <c r="R45" s="91">
        <v>4.9</v>
      </c>
      <c r="S45" s="90">
        <v>75.0</v>
      </c>
      <c r="T45" s="92">
        <f t="shared" si="9"/>
        <v>0.08306666667</v>
      </c>
      <c r="U45" s="91">
        <v>6.23</v>
      </c>
      <c r="V45" s="93" t="s">
        <v>121</v>
      </c>
      <c r="W45" s="92">
        <f t="shared" si="10"/>
        <v>0.08298850575</v>
      </c>
      <c r="X45" s="91">
        <v>7.22</v>
      </c>
      <c r="Y45" s="93" t="s">
        <v>121</v>
      </c>
      <c r="Z45" s="92">
        <f t="shared" si="11"/>
        <v>0.08298850575</v>
      </c>
      <c r="AA45" s="91">
        <v>7.22</v>
      </c>
      <c r="AB45" s="93" t="s">
        <v>121</v>
      </c>
      <c r="AC45" s="92">
        <f t="shared" si="12"/>
        <v>0.08298850575</v>
      </c>
      <c r="AD45" s="91">
        <v>7.22</v>
      </c>
      <c r="AE45" s="90">
        <v>87.0</v>
      </c>
      <c r="AF45" s="92">
        <f t="shared" si="13"/>
        <v>0.08298850575</v>
      </c>
      <c r="AG45" s="91">
        <v>7.22</v>
      </c>
      <c r="AH45" s="90">
        <v>0.0</v>
      </c>
      <c r="AI45" s="94"/>
      <c r="AJ45" s="91" t="str">
        <f t="shared" si="14"/>
        <v/>
      </c>
      <c r="AK45" s="90">
        <v>0.0</v>
      </c>
      <c r="AL45" s="94"/>
      <c r="AM45" s="91" t="str">
        <f t="shared" si="15"/>
        <v/>
      </c>
      <c r="AN45" s="90">
        <v>0.0</v>
      </c>
      <c r="AO45" s="94"/>
      <c r="AP45" s="91" t="str">
        <f t="shared" si="16"/>
        <v/>
      </c>
      <c r="AQ45" s="90">
        <v>0.0</v>
      </c>
      <c r="AR45" s="94"/>
      <c r="AS45" s="91" t="str">
        <f t="shared" si="17"/>
        <v/>
      </c>
    </row>
    <row r="46">
      <c r="A46" s="81" t="s">
        <v>36</v>
      </c>
      <c r="B46" s="82" t="s">
        <v>114</v>
      </c>
      <c r="C46" s="82" t="s">
        <v>115</v>
      </c>
      <c r="D46" s="84">
        <f t="array" ref="D46">IFERROR(INDEX(Fiis[], MATCH(A46, Fiis[Fii], 0), MATCH(Fiis[[#HEADERS],[QTD]], Fiis[#HEADERS], 0)), "")
</f>
        <v>50</v>
      </c>
      <c r="E46" s="87">
        <f t="array" ref="E46">IFERROR(INDEX(Fiis[], MATCH(A46, Fiis[Fii], 0), MATCH(Fiis[[#HEADERS],[P/M]], Fiis[#HEADERS], 0)), "")
</f>
        <v>93.43</v>
      </c>
      <c r="F46" s="88">
        <f>IFERROR(__xludf.DUMMYFUNCTION("IFERROR(GOOGLEFINANCE(A46),"""")"),90.0)</f>
        <v>90</v>
      </c>
      <c r="G46" s="89">
        <f t="shared" si="3"/>
        <v>0.1053194905</v>
      </c>
      <c r="H46" s="89">
        <f t="shared" si="4"/>
        <v>-0.03671197688</v>
      </c>
      <c r="I46" s="89">
        <f t="shared" si="5"/>
        <v>-0.03004174248</v>
      </c>
      <c r="J46" s="90">
        <v>4.0</v>
      </c>
      <c r="K46" s="87">
        <f t="shared" si="6"/>
        <v>0.82</v>
      </c>
      <c r="L46" s="91">
        <v>3.28</v>
      </c>
      <c r="M46" s="90">
        <v>4.0</v>
      </c>
      <c r="N46" s="87">
        <f t="shared" si="7"/>
        <v>0.82</v>
      </c>
      <c r="O46" s="91">
        <v>3.28</v>
      </c>
      <c r="P46" s="90">
        <v>4.0</v>
      </c>
      <c r="Q46" s="92">
        <f t="shared" si="8"/>
        <v>0.82</v>
      </c>
      <c r="R46" s="91">
        <v>3.28</v>
      </c>
      <c r="S46" s="90">
        <v>4.0</v>
      </c>
      <c r="T46" s="92">
        <f t="shared" si="9"/>
        <v>0.82</v>
      </c>
      <c r="U46" s="91">
        <v>3.28</v>
      </c>
      <c r="V46" s="93" t="s">
        <v>122</v>
      </c>
      <c r="W46" s="92">
        <f t="shared" si="10"/>
        <v>0.82</v>
      </c>
      <c r="X46" s="91">
        <v>3.28</v>
      </c>
      <c r="Y46" s="93" t="s">
        <v>122</v>
      </c>
      <c r="Z46" s="92">
        <f t="shared" si="11"/>
        <v>0.82</v>
      </c>
      <c r="AA46" s="91">
        <v>3.28</v>
      </c>
      <c r="AB46" s="90">
        <v>6.0</v>
      </c>
      <c r="AC46" s="92">
        <f t="shared" si="12"/>
        <v>0.82</v>
      </c>
      <c r="AD46" s="91">
        <v>4.92</v>
      </c>
      <c r="AE46" s="90">
        <v>8.0</v>
      </c>
      <c r="AF46" s="92">
        <f t="shared" si="13"/>
        <v>0.82</v>
      </c>
      <c r="AG46" s="91">
        <v>6.56</v>
      </c>
      <c r="AH46" s="90">
        <v>0.0</v>
      </c>
      <c r="AI46" s="94"/>
      <c r="AJ46" s="91" t="str">
        <f t="shared" si="14"/>
        <v/>
      </c>
      <c r="AK46" s="90">
        <v>0.0</v>
      </c>
      <c r="AL46" s="94"/>
      <c r="AM46" s="91" t="str">
        <f t="shared" si="15"/>
        <v/>
      </c>
      <c r="AN46" s="90">
        <v>0.0</v>
      </c>
      <c r="AO46" s="94"/>
      <c r="AP46" s="91" t="str">
        <f t="shared" si="16"/>
        <v/>
      </c>
      <c r="AQ46" s="90">
        <v>0.0</v>
      </c>
      <c r="AR46" s="94"/>
      <c r="AS46" s="91" t="str">
        <f t="shared" si="17"/>
        <v/>
      </c>
    </row>
    <row r="47">
      <c r="A47" s="81" t="s">
        <v>31</v>
      </c>
      <c r="B47" s="82" t="s">
        <v>123</v>
      </c>
      <c r="C47" s="82" t="s">
        <v>115</v>
      </c>
      <c r="D47" s="84">
        <f t="array" ref="D47">IFERROR(INDEX(Fiis[], MATCH(A47, Fiis[Fii], 0), MATCH(Fiis[[#HEADERS],[QTD]], Fiis[#HEADERS], 0)), "")
</f>
        <v>50</v>
      </c>
      <c r="E47" s="87">
        <f t="array" ref="E47">IFERROR(INDEX(Fiis[], MATCH(A47, Fiis[Fii], 0), MATCH(Fiis[[#HEADERS],[P/M]], Fiis[#HEADERS], 0)), "")
</f>
        <v>99.15</v>
      </c>
      <c r="F47" s="88">
        <f>IFERROR(__xludf.DUMMYFUNCTION("IFERROR(GOOGLEFINANCE(A47),"""")"),100.83)</f>
        <v>100.83</v>
      </c>
      <c r="G47" s="89">
        <f t="shared" si="3"/>
        <v>0.1210287443</v>
      </c>
      <c r="H47" s="89">
        <f t="shared" si="4"/>
        <v>0.01694402421</v>
      </c>
      <c r="I47" s="89">
        <f t="shared" si="5"/>
        <v>0.02380231972</v>
      </c>
      <c r="J47" s="90">
        <v>4.0</v>
      </c>
      <c r="K47" s="87">
        <f t="shared" si="6"/>
        <v>1</v>
      </c>
      <c r="L47" s="91">
        <v>4.0</v>
      </c>
      <c r="M47" s="90">
        <v>4.0</v>
      </c>
      <c r="N47" s="87">
        <f t="shared" si="7"/>
        <v>1</v>
      </c>
      <c r="O47" s="91">
        <v>4.0</v>
      </c>
      <c r="P47" s="90">
        <v>4.0</v>
      </c>
      <c r="Q47" s="92">
        <f t="shared" si="8"/>
        <v>1</v>
      </c>
      <c r="R47" s="91">
        <v>4.0</v>
      </c>
      <c r="S47" s="90">
        <v>4.0</v>
      </c>
      <c r="T47" s="92">
        <f t="shared" si="9"/>
        <v>1</v>
      </c>
      <c r="U47" s="91">
        <v>4.0</v>
      </c>
      <c r="V47" s="90">
        <v>4.0</v>
      </c>
      <c r="W47" s="92">
        <f t="shared" si="10"/>
        <v>1</v>
      </c>
      <c r="X47" s="91">
        <v>4.0</v>
      </c>
      <c r="Y47" s="90">
        <v>4.0</v>
      </c>
      <c r="Z47" s="92">
        <f t="shared" si="11"/>
        <v>1</v>
      </c>
      <c r="AA47" s="91">
        <v>4.0</v>
      </c>
      <c r="AB47" s="90">
        <v>4.0</v>
      </c>
      <c r="AC47" s="92">
        <f t="shared" si="12"/>
        <v>1</v>
      </c>
      <c r="AD47" s="91">
        <v>4.0</v>
      </c>
      <c r="AE47" s="90">
        <v>6.0</v>
      </c>
      <c r="AF47" s="92">
        <f t="shared" si="13"/>
        <v>1</v>
      </c>
      <c r="AG47" s="91">
        <v>6.0</v>
      </c>
      <c r="AH47" s="90">
        <v>0.0</v>
      </c>
      <c r="AI47" s="94"/>
      <c r="AJ47" s="91" t="str">
        <f t="shared" si="14"/>
        <v/>
      </c>
      <c r="AK47" s="90">
        <v>0.0</v>
      </c>
      <c r="AL47" s="94"/>
      <c r="AM47" s="91" t="str">
        <f t="shared" si="15"/>
        <v/>
      </c>
      <c r="AN47" s="90">
        <v>0.0</v>
      </c>
      <c r="AO47" s="94"/>
      <c r="AP47" s="91" t="str">
        <f t="shared" si="16"/>
        <v/>
      </c>
      <c r="AQ47" s="90">
        <v>0.0</v>
      </c>
      <c r="AR47" s="94"/>
      <c r="AS47" s="91" t="str">
        <f t="shared" si="17"/>
        <v/>
      </c>
    </row>
    <row r="48">
      <c r="A48" s="81" t="s">
        <v>40</v>
      </c>
      <c r="B48" s="82" t="s">
        <v>114</v>
      </c>
      <c r="C48" s="82" t="s">
        <v>119</v>
      </c>
      <c r="D48" s="84">
        <f t="array" ref="D48">IFERROR(INDEX(Fiis[], MATCH(A48, Fiis[Fii], 0), MATCH(Fiis[[#HEADERS],[QTD]], Fiis[#HEADERS], 0)), "")
</f>
        <v>50</v>
      </c>
      <c r="E48" s="87">
        <f t="array" ref="E48">IFERROR(INDEX(Fiis[], MATCH(A48, Fiis[Fii], 0), MATCH(Fiis[[#HEADERS],[P/M]], Fiis[#HEADERS], 0)), "")
</f>
        <v>97.58</v>
      </c>
      <c r="F48" s="88">
        <f>IFERROR(__xludf.DUMMYFUNCTION("IFERROR(GOOGLEFINANCE(A48),"""")"),98.37)</f>
        <v>98.37</v>
      </c>
      <c r="G48" s="89">
        <f t="shared" si="3"/>
        <v>0.09930313589</v>
      </c>
      <c r="H48" s="89">
        <f t="shared" si="4"/>
        <v>0.008095921295</v>
      </c>
      <c r="I48" s="89">
        <f t="shared" si="5"/>
        <v>0.01339208854</v>
      </c>
      <c r="J48" s="90">
        <v>4.0</v>
      </c>
      <c r="K48" s="87">
        <f t="shared" si="6"/>
        <v>0.8</v>
      </c>
      <c r="L48" s="91">
        <v>3.2</v>
      </c>
      <c r="M48" s="90">
        <v>4.0</v>
      </c>
      <c r="N48" s="87">
        <f t="shared" si="7"/>
        <v>0.8</v>
      </c>
      <c r="O48" s="91">
        <v>3.2</v>
      </c>
      <c r="P48" s="90">
        <v>4.0</v>
      </c>
      <c r="Q48" s="92">
        <f t="shared" si="8"/>
        <v>0.81</v>
      </c>
      <c r="R48" s="91">
        <v>3.24</v>
      </c>
      <c r="S48" s="90">
        <v>4.0</v>
      </c>
      <c r="T48" s="92">
        <f t="shared" si="9"/>
        <v>0.81</v>
      </c>
      <c r="U48" s="91">
        <v>3.24</v>
      </c>
      <c r="V48" s="90">
        <v>4.0</v>
      </c>
      <c r="W48" s="92">
        <f t="shared" si="10"/>
        <v>0.81</v>
      </c>
      <c r="X48" s="91">
        <v>3.24</v>
      </c>
      <c r="Y48" s="90">
        <v>4.0</v>
      </c>
      <c r="Z48" s="92">
        <f t="shared" si="11"/>
        <v>0.81</v>
      </c>
      <c r="AA48" s="91">
        <v>3.24</v>
      </c>
      <c r="AB48" s="90">
        <v>4.0</v>
      </c>
      <c r="AC48" s="92">
        <f t="shared" si="12"/>
        <v>0.81</v>
      </c>
      <c r="AD48" s="91">
        <v>3.24</v>
      </c>
      <c r="AE48" s="90">
        <v>4.0</v>
      </c>
      <c r="AF48" s="92">
        <f t="shared" si="13"/>
        <v>0.81</v>
      </c>
      <c r="AG48" s="91">
        <v>3.24</v>
      </c>
      <c r="AH48" s="90">
        <v>0.0</v>
      </c>
      <c r="AI48" s="94"/>
      <c r="AJ48" s="91" t="str">
        <f t="shared" si="14"/>
        <v/>
      </c>
      <c r="AK48" s="90">
        <v>0.0</v>
      </c>
      <c r="AL48" s="94"/>
      <c r="AM48" s="91" t="str">
        <f t="shared" si="15"/>
        <v/>
      </c>
      <c r="AN48" s="90">
        <v>0.0</v>
      </c>
      <c r="AO48" s="94"/>
      <c r="AP48" s="91" t="str">
        <f t="shared" si="16"/>
        <v/>
      </c>
      <c r="AQ48" s="90">
        <v>0.0</v>
      </c>
      <c r="AR48" s="94"/>
      <c r="AS48" s="91" t="str">
        <f t="shared" si="17"/>
        <v/>
      </c>
    </row>
    <row r="49">
      <c r="A49" s="81" t="s">
        <v>48</v>
      </c>
      <c r="B49" s="82" t="s">
        <v>123</v>
      </c>
      <c r="C49" s="82" t="s">
        <v>115</v>
      </c>
      <c r="D49" s="84">
        <f t="array" ref="D49">IFERROR(INDEX(Fiis[], MATCH(A49, Fiis[Fii], 0), MATCH(Fiis[[#HEADERS],[QTD]], Fiis[#HEADERS], 0)), "")
</f>
        <v>50</v>
      </c>
      <c r="E49" s="87">
        <f t="array" ref="E49">IFERROR(INDEX(Fiis[], MATCH(A49, Fiis[Fii], 0), MATCH(Fiis[[#HEADERS],[P/M]], Fiis[#HEADERS], 0)), "")
</f>
        <v>18.42</v>
      </c>
      <c r="F49" s="88">
        <f>IFERROR(__xludf.DUMMYFUNCTION("IFERROR(GOOGLEFINANCE(A49),"""")"),18.6)</f>
        <v>18.6</v>
      </c>
      <c r="G49" s="89">
        <f t="shared" si="3"/>
        <v>0.1083061889</v>
      </c>
      <c r="H49" s="89">
        <f t="shared" si="4"/>
        <v>0.009771986971</v>
      </c>
      <c r="I49" s="89">
        <f t="shared" si="5"/>
        <v>0.03865363735</v>
      </c>
      <c r="J49" s="90">
        <v>20.0</v>
      </c>
      <c r="K49" s="87">
        <f t="shared" si="6"/>
        <v>0.15</v>
      </c>
      <c r="L49" s="91">
        <v>3.0</v>
      </c>
      <c r="M49" s="90">
        <v>20.0</v>
      </c>
      <c r="N49" s="87">
        <f t="shared" si="7"/>
        <v>0.16</v>
      </c>
      <c r="O49" s="91">
        <v>3.2</v>
      </c>
      <c r="P49" s="90">
        <v>20.0</v>
      </c>
      <c r="Q49" s="92">
        <f t="shared" si="8"/>
        <v>0.17</v>
      </c>
      <c r="R49" s="91">
        <v>3.4</v>
      </c>
      <c r="S49" s="90">
        <v>20.0</v>
      </c>
      <c r="T49" s="92">
        <f t="shared" si="9"/>
        <v>0.17</v>
      </c>
      <c r="U49" s="91">
        <v>3.4</v>
      </c>
      <c r="V49" s="90">
        <v>20.0</v>
      </c>
      <c r="W49" s="92">
        <f t="shared" si="10"/>
        <v>0.17</v>
      </c>
      <c r="X49" s="91">
        <v>3.4</v>
      </c>
      <c r="Y49" s="90">
        <v>20.0</v>
      </c>
      <c r="Z49" s="92">
        <f t="shared" si="11"/>
        <v>0.17</v>
      </c>
      <c r="AA49" s="91">
        <v>3.4</v>
      </c>
      <c r="AB49" s="90">
        <v>20.0</v>
      </c>
      <c r="AC49" s="92">
        <f t="shared" si="12"/>
        <v>0.17</v>
      </c>
      <c r="AD49" s="91">
        <v>3.4</v>
      </c>
      <c r="AE49" s="90">
        <v>20.0</v>
      </c>
      <c r="AF49" s="92">
        <f t="shared" si="13"/>
        <v>0.17</v>
      </c>
      <c r="AG49" s="91">
        <v>3.4</v>
      </c>
      <c r="AH49" s="90">
        <v>0.0</v>
      </c>
      <c r="AI49" s="94"/>
      <c r="AJ49" s="91" t="str">
        <f t="shared" si="14"/>
        <v/>
      </c>
      <c r="AK49" s="90">
        <v>0.0</v>
      </c>
      <c r="AL49" s="94"/>
      <c r="AM49" s="91" t="str">
        <f t="shared" si="15"/>
        <v/>
      </c>
      <c r="AN49" s="90">
        <v>0.0</v>
      </c>
      <c r="AO49" s="94"/>
      <c r="AP49" s="91" t="str">
        <f t="shared" si="16"/>
        <v/>
      </c>
      <c r="AQ49" s="90">
        <v>0.0</v>
      </c>
      <c r="AR49" s="94"/>
      <c r="AS49" s="91" t="str">
        <f t="shared" si="17"/>
        <v/>
      </c>
    </row>
    <row r="50">
      <c r="A50" s="81" t="s">
        <v>55</v>
      </c>
      <c r="B50" s="82" t="s">
        <v>114</v>
      </c>
      <c r="C50" s="82" t="s">
        <v>115</v>
      </c>
      <c r="D50" s="84">
        <f t="array" ref="D50">IFERROR(INDEX(Fiis[], MATCH(A50, Fiis[Fii], 0), MATCH(Fiis[[#HEADERS],[QTD]], Fiis[#HEADERS], 0)), "")
</f>
        <v>50</v>
      </c>
      <c r="E50" s="87">
        <f t="array" ref="E50">IFERROR(INDEX(Fiis[], MATCH(A50, Fiis[Fii], 0), MATCH(Fiis[[#HEADERS],[P/M]], Fiis[#HEADERS], 0)), "")
</f>
        <v>100.45</v>
      </c>
      <c r="F50" s="88">
        <f>IFERROR(__xludf.DUMMYFUNCTION("IFERROR(GOOGLEFINANCE(A50),"""")"),111.84)</f>
        <v>111.84</v>
      </c>
      <c r="G50" s="89">
        <f t="shared" si="3"/>
        <v>0.1111000498</v>
      </c>
      <c r="H50" s="89">
        <f t="shared" si="4"/>
        <v>0.1133897461</v>
      </c>
      <c r="I50" s="89">
        <f t="shared" si="5"/>
        <v>0.1178337481</v>
      </c>
      <c r="J50" s="90">
        <v>3.0</v>
      </c>
      <c r="K50" s="87">
        <f t="shared" si="6"/>
        <v>0.87</v>
      </c>
      <c r="L50" s="91">
        <v>2.61</v>
      </c>
      <c r="M50" s="90">
        <v>3.0</v>
      </c>
      <c r="N50" s="87">
        <f t="shared" si="7"/>
        <v>0.87</v>
      </c>
      <c r="O50" s="91">
        <v>2.61</v>
      </c>
      <c r="P50" s="90">
        <v>3.0</v>
      </c>
      <c r="Q50" s="92">
        <f t="shared" si="8"/>
        <v>0.92</v>
      </c>
      <c r="R50" s="91">
        <v>2.76</v>
      </c>
      <c r="S50" s="90">
        <v>3.0</v>
      </c>
      <c r="T50" s="92">
        <f t="shared" si="9"/>
        <v>0.92</v>
      </c>
      <c r="U50" s="91">
        <v>2.76</v>
      </c>
      <c r="V50" s="90">
        <v>3.0</v>
      </c>
      <c r="W50" s="92">
        <f t="shared" si="10"/>
        <v>0.95</v>
      </c>
      <c r="X50" s="91">
        <v>2.85</v>
      </c>
      <c r="Y50" s="90">
        <v>3.0</v>
      </c>
      <c r="Z50" s="92">
        <f t="shared" si="11"/>
        <v>0.95</v>
      </c>
      <c r="AA50" s="91">
        <v>2.85</v>
      </c>
      <c r="AB50" s="90">
        <v>3.0</v>
      </c>
      <c r="AC50" s="92">
        <f t="shared" si="12"/>
        <v>1.05</v>
      </c>
      <c r="AD50" s="91">
        <v>3.15</v>
      </c>
      <c r="AE50" s="90">
        <v>3.0</v>
      </c>
      <c r="AF50" s="92">
        <f t="shared" si="13"/>
        <v>0.91</v>
      </c>
      <c r="AG50" s="91">
        <v>2.73</v>
      </c>
      <c r="AH50" s="90">
        <v>0.0</v>
      </c>
      <c r="AI50" s="94"/>
      <c r="AJ50" s="91" t="str">
        <f t="shared" si="14"/>
        <v/>
      </c>
      <c r="AK50" s="90">
        <v>0.0</v>
      </c>
      <c r="AL50" s="94"/>
      <c r="AM50" s="91" t="str">
        <f t="shared" si="15"/>
        <v/>
      </c>
      <c r="AN50" s="90">
        <v>0.0</v>
      </c>
      <c r="AO50" s="94"/>
      <c r="AP50" s="91" t="str">
        <f t="shared" si="16"/>
        <v/>
      </c>
      <c r="AQ50" s="90">
        <v>0.0</v>
      </c>
      <c r="AR50" s="94"/>
      <c r="AS50" s="91" t="str">
        <f t="shared" si="17"/>
        <v/>
      </c>
    </row>
    <row r="51">
      <c r="A51" s="81" t="s">
        <v>59</v>
      </c>
      <c r="B51" s="82" t="s">
        <v>126</v>
      </c>
      <c r="C51" s="82" t="s">
        <v>119</v>
      </c>
      <c r="D51" s="84">
        <f t="array" ref="D51">IFERROR(INDEX(Fiis[], MATCH(A51, Fiis[Fii], 0), MATCH(Fiis[[#HEADERS],[QTD]], Fiis[#HEADERS], 0)), "")
</f>
        <v>50</v>
      </c>
      <c r="E51" s="87">
        <f t="array" ref="E51">IFERROR(INDEX(Fiis[], MATCH(A51, Fiis[Fii], 0), MATCH(Fiis[[#HEADERS],[P/M]], Fiis[#HEADERS], 0)), "")
</f>
        <v>9.25</v>
      </c>
      <c r="F51" s="88">
        <f>IFERROR(__xludf.DUMMYFUNCTION("IFERROR(GOOGLEFINANCE(A51),"""")"),9.26)</f>
        <v>9.26</v>
      </c>
      <c r="G51" s="89">
        <f t="shared" si="3"/>
        <v>0.128957529</v>
      </c>
      <c r="H51" s="89">
        <f t="shared" si="4"/>
        <v>0.001081081081</v>
      </c>
      <c r="I51" s="89">
        <f t="shared" si="5"/>
        <v>0.03718918919</v>
      </c>
      <c r="J51" s="90">
        <v>21.0</v>
      </c>
      <c r="K51" s="87">
        <f t="shared" si="6"/>
        <v>0.1</v>
      </c>
      <c r="L51" s="91">
        <v>2.1</v>
      </c>
      <c r="M51" s="90">
        <v>21.0</v>
      </c>
      <c r="N51" s="87">
        <f t="shared" si="7"/>
        <v>0.1</v>
      </c>
      <c r="O51" s="91">
        <v>2.1</v>
      </c>
      <c r="P51" s="90">
        <v>21.0</v>
      </c>
      <c r="Q51" s="92">
        <f t="shared" si="8"/>
        <v>0.1</v>
      </c>
      <c r="R51" s="91">
        <v>2.1</v>
      </c>
      <c r="S51" s="90">
        <v>21.0</v>
      </c>
      <c r="T51" s="92">
        <f t="shared" si="9"/>
        <v>0.09523809524</v>
      </c>
      <c r="U51" s="91">
        <v>2.0</v>
      </c>
      <c r="V51" s="90">
        <v>21.0</v>
      </c>
      <c r="W51" s="92">
        <f t="shared" si="10"/>
        <v>0.1</v>
      </c>
      <c r="X51" s="91">
        <v>2.1</v>
      </c>
      <c r="Y51" s="90">
        <v>21.0</v>
      </c>
      <c r="Z51" s="92">
        <f t="shared" si="11"/>
        <v>0.1</v>
      </c>
      <c r="AA51" s="91">
        <v>2.1</v>
      </c>
      <c r="AB51" s="90">
        <v>21.0</v>
      </c>
      <c r="AC51" s="92">
        <f t="shared" si="12"/>
        <v>0.1</v>
      </c>
      <c r="AD51" s="91">
        <v>2.1</v>
      </c>
      <c r="AE51" s="90">
        <v>21.0</v>
      </c>
      <c r="AF51" s="92">
        <f t="shared" si="13"/>
        <v>0.1</v>
      </c>
      <c r="AG51" s="91">
        <v>2.1</v>
      </c>
      <c r="AH51" s="90">
        <v>0.0</v>
      </c>
      <c r="AI51" s="94"/>
      <c r="AJ51" s="91" t="str">
        <f t="shared" si="14"/>
        <v/>
      </c>
      <c r="AK51" s="90">
        <v>0.0</v>
      </c>
      <c r="AL51" s="94"/>
      <c r="AM51" s="91" t="str">
        <f t="shared" si="15"/>
        <v/>
      </c>
      <c r="AN51" s="90">
        <v>0.0</v>
      </c>
      <c r="AO51" s="94"/>
      <c r="AP51" s="91" t="str">
        <f t="shared" si="16"/>
        <v/>
      </c>
      <c r="AQ51" s="90">
        <v>0.0</v>
      </c>
      <c r="AR51" s="94"/>
      <c r="AS51" s="91" t="str">
        <f t="shared" si="17"/>
        <v/>
      </c>
    </row>
    <row r="52">
      <c r="A52" s="81" t="s">
        <v>61</v>
      </c>
      <c r="B52" s="82" t="s">
        <v>114</v>
      </c>
      <c r="C52" s="82" t="s">
        <v>115</v>
      </c>
      <c r="D52" s="84">
        <f t="array" ref="D52">IFERROR(INDEX(Fiis[], MATCH(A52, Fiis[Fii], 0), MATCH(Fiis[[#HEADERS],[QTD]], Fiis[#HEADERS], 0)), "")
</f>
        <v>50</v>
      </c>
      <c r="E52" s="87">
        <f t="array" ref="E52">IFERROR(INDEX(Fiis[], MATCH(A52, Fiis[Fii], 0), MATCH(Fiis[[#HEADERS],[P/M]], Fiis[#HEADERS], 0)), "")
</f>
        <v>0</v>
      </c>
      <c r="F52" s="88">
        <f>IFERROR(__xludf.DUMMYFUNCTION("IFERROR(GOOGLEFINANCE(A52),"""")"),147.21)</f>
        <v>147.21</v>
      </c>
      <c r="G52" s="89" t="str">
        <f t="shared" si="3"/>
        <v/>
      </c>
      <c r="H52" s="89" t="str">
        <f t="shared" si="4"/>
        <v/>
      </c>
      <c r="I52" s="89" t="str">
        <f t="shared" si="5"/>
        <v/>
      </c>
      <c r="J52" s="90"/>
      <c r="K52" s="87" t="str">
        <f t="shared" si="6"/>
        <v/>
      </c>
      <c r="L52" s="91">
        <v>0.0</v>
      </c>
      <c r="M52" s="90"/>
      <c r="N52" s="87" t="str">
        <f t="shared" si="7"/>
        <v/>
      </c>
      <c r="O52" s="91">
        <v>0.0</v>
      </c>
      <c r="P52" s="90"/>
      <c r="Q52" s="92" t="str">
        <f t="shared" si="8"/>
        <v/>
      </c>
      <c r="R52" s="91">
        <v>0.0</v>
      </c>
      <c r="S52" s="93"/>
      <c r="T52" s="92" t="str">
        <f t="shared" si="9"/>
        <v/>
      </c>
      <c r="U52" s="91">
        <v>0.0</v>
      </c>
      <c r="V52" s="93"/>
      <c r="W52" s="92" t="str">
        <f t="shared" si="10"/>
        <v/>
      </c>
      <c r="X52" s="91">
        <v>0.0</v>
      </c>
      <c r="Y52" s="90"/>
      <c r="Z52" s="92" t="str">
        <f t="shared" si="11"/>
        <v/>
      </c>
      <c r="AA52" s="91">
        <v>0.0</v>
      </c>
      <c r="AB52" s="90"/>
      <c r="AC52" s="92" t="str">
        <f t="shared" si="12"/>
        <v/>
      </c>
      <c r="AD52" s="91">
        <v>0.0</v>
      </c>
      <c r="AE52" s="90"/>
      <c r="AF52" s="92" t="str">
        <f t="shared" si="13"/>
        <v/>
      </c>
      <c r="AG52" s="91">
        <v>0.0</v>
      </c>
      <c r="AH52" s="90">
        <v>0.0</v>
      </c>
      <c r="AI52" s="94"/>
      <c r="AJ52" s="91" t="str">
        <f t="shared" si="14"/>
        <v/>
      </c>
      <c r="AK52" s="90">
        <v>0.0</v>
      </c>
      <c r="AL52" s="94"/>
      <c r="AM52" s="91" t="str">
        <f t="shared" si="15"/>
        <v/>
      </c>
      <c r="AN52" s="90">
        <v>0.0</v>
      </c>
      <c r="AO52" s="94"/>
      <c r="AP52" s="91" t="str">
        <f t="shared" si="16"/>
        <v/>
      </c>
      <c r="AQ52" s="90">
        <v>0.0</v>
      </c>
      <c r="AR52" s="94"/>
      <c r="AS52" s="91" t="str">
        <f t="shared" si="17"/>
        <v/>
      </c>
    </row>
    <row r="53">
      <c r="A53" s="81" t="s">
        <v>26</v>
      </c>
      <c r="B53" s="82" t="s">
        <v>127</v>
      </c>
      <c r="C53" s="82" t="s">
        <v>119</v>
      </c>
      <c r="D53" s="84">
        <f t="array" ref="D53">IFERROR(INDEX(Fiis[], MATCH(A53, Fiis[Fii], 0), MATCH(Fiis[[#HEADERS],[QTD]], Fiis[#HEADERS], 0)), "")
</f>
        <v>50</v>
      </c>
      <c r="E53" s="87">
        <f t="array" ref="E53">IFERROR(INDEX(Fiis[], MATCH(A53, Fiis[Fii], 0), MATCH(Fiis[[#HEADERS],[P/M]], Fiis[#HEADERS], 0)), "")
</f>
        <v>0</v>
      </c>
      <c r="F53" s="88">
        <f>IFERROR(__xludf.DUMMYFUNCTION("IFERROR(GOOGLEFINANCE(A53),"""")"),155.48)</f>
        <v>155.48</v>
      </c>
      <c r="G53" s="89" t="str">
        <f t="shared" si="3"/>
        <v/>
      </c>
      <c r="H53" s="89" t="str">
        <f t="shared" si="4"/>
        <v/>
      </c>
      <c r="I53" s="89" t="str">
        <f t="shared" si="5"/>
        <v/>
      </c>
      <c r="J53" s="90"/>
      <c r="K53" s="87"/>
      <c r="L53" s="88"/>
      <c r="M53" s="103"/>
      <c r="N53" s="88"/>
      <c r="O53" s="88"/>
      <c r="P53" s="103"/>
      <c r="Q53" s="88"/>
      <c r="R53" s="88"/>
      <c r="S53" s="103"/>
      <c r="T53" s="88"/>
      <c r="U53" s="88"/>
      <c r="V53" s="103"/>
      <c r="W53" s="88"/>
      <c r="X53" s="88"/>
      <c r="Y53" s="103"/>
      <c r="Z53" s="88"/>
      <c r="AA53" s="88"/>
      <c r="AB53" s="103"/>
      <c r="AC53" s="88"/>
      <c r="AD53" s="88"/>
      <c r="AE53" s="103"/>
      <c r="AF53" s="88"/>
      <c r="AG53" s="88"/>
      <c r="AH53" s="90">
        <v>0.0</v>
      </c>
      <c r="AI53" s="104"/>
      <c r="AJ53" s="91" t="str">
        <f t="shared" si="14"/>
        <v/>
      </c>
      <c r="AK53" s="90">
        <v>0.0</v>
      </c>
      <c r="AL53" s="104"/>
      <c r="AM53" s="91" t="str">
        <f t="shared" si="15"/>
        <v/>
      </c>
      <c r="AN53" s="90">
        <v>0.0</v>
      </c>
      <c r="AO53" s="104"/>
      <c r="AP53" s="91" t="str">
        <f t="shared" si="16"/>
        <v/>
      </c>
      <c r="AQ53" s="90">
        <v>0.0</v>
      </c>
      <c r="AR53" s="104"/>
      <c r="AS53" s="91" t="str">
        <f t="shared" si="17"/>
        <v/>
      </c>
    </row>
    <row r="54">
      <c r="A54" s="81" t="s">
        <v>63</v>
      </c>
      <c r="B54" s="82" t="s">
        <v>120</v>
      </c>
      <c r="C54" s="82" t="s">
        <v>119</v>
      </c>
      <c r="D54" s="84">
        <f t="array" ref="D54">IFERROR(INDEX(Fiis[], MATCH(A54, Fiis[Fii], 0), MATCH(Fiis[[#HEADERS],[QTD]], Fiis[#HEADERS], 0)), "")
</f>
        <v>50</v>
      </c>
      <c r="E54" s="87">
        <f t="array" ref="E54">IFERROR(INDEX(Fiis[], MATCH(A54, Fiis[Fii], 0), MATCH(Fiis[[#HEADERS],[P/M]], Fiis[#HEADERS], 0)), "")
</f>
        <v>120</v>
      </c>
      <c r="F54" s="88">
        <f>IFERROR(__xludf.DUMMYFUNCTION("IFERROR(GOOGLEFINANCE(A54),"""")"),114.99)</f>
        <v>114.99</v>
      </c>
      <c r="G54" s="89" t="str">
        <f t="shared" si="3"/>
        <v/>
      </c>
      <c r="H54" s="89">
        <f t="shared" si="4"/>
        <v>-0.04175</v>
      </c>
      <c r="I54" s="89">
        <f t="shared" si="5"/>
        <v>-0.04175</v>
      </c>
      <c r="J54" s="90"/>
      <c r="K54" s="87"/>
      <c r="L54" s="88"/>
      <c r="M54" s="103"/>
      <c r="N54" s="88"/>
      <c r="O54" s="88"/>
      <c r="P54" s="103"/>
      <c r="Q54" s="88"/>
      <c r="R54" s="88"/>
      <c r="S54" s="103"/>
      <c r="T54" s="88"/>
      <c r="U54" s="88"/>
      <c r="V54" s="103"/>
      <c r="W54" s="88"/>
      <c r="X54" s="88"/>
      <c r="Y54" s="103"/>
      <c r="Z54" s="88"/>
      <c r="AA54" s="88"/>
      <c r="AB54" s="103"/>
      <c r="AC54" s="88"/>
      <c r="AD54" s="88"/>
      <c r="AE54" s="103"/>
      <c r="AF54" s="88"/>
      <c r="AG54" s="88"/>
      <c r="AH54" s="90">
        <v>0.0</v>
      </c>
      <c r="AI54" s="104"/>
      <c r="AJ54" s="91" t="str">
        <f t="shared" si="14"/>
        <v/>
      </c>
      <c r="AK54" s="90">
        <v>0.0</v>
      </c>
      <c r="AL54" s="104"/>
      <c r="AM54" s="91" t="str">
        <f t="shared" si="15"/>
        <v/>
      </c>
      <c r="AN54" s="90">
        <v>0.0</v>
      </c>
      <c r="AO54" s="104"/>
      <c r="AP54" s="91" t="str">
        <f t="shared" si="16"/>
        <v/>
      </c>
      <c r="AQ54" s="90">
        <v>0.0</v>
      </c>
      <c r="AR54" s="104"/>
      <c r="AS54" s="91" t="str">
        <f t="shared" si="17"/>
        <v/>
      </c>
    </row>
    <row r="55">
      <c r="A55" s="81" t="s">
        <v>64</v>
      </c>
      <c r="B55" s="82" t="s">
        <v>126</v>
      </c>
      <c r="C55" s="82" t="s">
        <v>115</v>
      </c>
      <c r="D55" s="84">
        <f t="array" ref="D55">IFERROR(INDEX(Fiis[], MATCH(A55, Fiis[Fii], 0), MATCH(Fiis[[#HEADERS],[QTD]], Fiis[#HEADERS], 0)), "")
</f>
        <v>50</v>
      </c>
      <c r="E55" s="87">
        <f t="array" ref="E55">IFERROR(INDEX(Fiis[], MATCH(A55, Fiis[Fii], 0), MATCH(Fiis[[#HEADERS],[P/M]], Fiis[#HEADERS], 0)), "")
</f>
        <v>0</v>
      </c>
      <c r="F55" s="88">
        <f>IFERROR(__xludf.DUMMYFUNCTION("IFERROR(GOOGLEFINANCE(A55),"""")"),72.2)</f>
        <v>72.2</v>
      </c>
      <c r="G55" s="89" t="str">
        <f t="shared" si="3"/>
        <v/>
      </c>
      <c r="H55" s="89" t="str">
        <f t="shared" si="4"/>
        <v/>
      </c>
      <c r="I55" s="89" t="str">
        <f t="shared" si="5"/>
        <v/>
      </c>
      <c r="J55" s="90"/>
      <c r="K55" s="87"/>
      <c r="L55" s="88"/>
      <c r="M55" s="103"/>
      <c r="N55" s="88"/>
      <c r="O55" s="88"/>
      <c r="P55" s="103"/>
      <c r="Q55" s="88"/>
      <c r="R55" s="88"/>
      <c r="S55" s="103"/>
      <c r="T55" s="88"/>
      <c r="U55" s="88"/>
      <c r="V55" s="103"/>
      <c r="W55" s="88"/>
      <c r="X55" s="88"/>
      <c r="Y55" s="103"/>
      <c r="Z55" s="88"/>
      <c r="AA55" s="88"/>
      <c r="AB55" s="103"/>
      <c r="AC55" s="88"/>
      <c r="AD55" s="88"/>
      <c r="AE55" s="103"/>
      <c r="AF55" s="88"/>
      <c r="AG55" s="88"/>
      <c r="AH55" s="90">
        <v>0.0</v>
      </c>
      <c r="AI55" s="104"/>
      <c r="AJ55" s="91" t="str">
        <f t="shared" si="14"/>
        <v/>
      </c>
      <c r="AK55" s="90">
        <v>0.0</v>
      </c>
      <c r="AL55" s="104"/>
      <c r="AM55" s="91" t="str">
        <f t="shared" si="15"/>
        <v/>
      </c>
      <c r="AN55" s="90">
        <v>0.0</v>
      </c>
      <c r="AO55" s="104"/>
      <c r="AP55" s="91" t="str">
        <f t="shared" si="16"/>
        <v/>
      </c>
      <c r="AQ55" s="90">
        <v>0.0</v>
      </c>
      <c r="AR55" s="104"/>
      <c r="AS55" s="91" t="str">
        <f t="shared" si="17"/>
        <v/>
      </c>
    </row>
    <row r="56">
      <c r="A56" s="81"/>
      <c r="B56" s="82"/>
      <c r="C56" s="82"/>
      <c r="D56" s="84"/>
      <c r="E56" s="87"/>
      <c r="F56" s="88"/>
      <c r="G56" s="89" t="str">
        <f t="shared" si="3"/>
        <v/>
      </c>
      <c r="H56" s="89" t="str">
        <f t="shared" si="4"/>
        <v/>
      </c>
      <c r="I56" s="89" t="str">
        <f t="shared" si="5"/>
        <v/>
      </c>
      <c r="J56" s="108"/>
      <c r="K56" s="87"/>
      <c r="L56" s="108"/>
      <c r="M56" s="108"/>
      <c r="N56" s="88"/>
      <c r="O56" s="108"/>
      <c r="P56" s="108"/>
      <c r="Q56" s="88"/>
      <c r="R56" s="88"/>
      <c r="S56" s="103"/>
      <c r="T56" s="88"/>
      <c r="U56" s="88"/>
      <c r="V56" s="103"/>
      <c r="W56" s="88"/>
      <c r="X56" s="88"/>
      <c r="Y56" s="103"/>
      <c r="Z56" s="88"/>
      <c r="AA56" s="88"/>
      <c r="AB56" s="103"/>
      <c r="AC56" s="88"/>
      <c r="AD56" s="88"/>
      <c r="AE56" s="103"/>
      <c r="AF56" s="88"/>
      <c r="AG56" s="88"/>
      <c r="AH56" s="109"/>
      <c r="AI56" s="104"/>
      <c r="AJ56" s="104"/>
      <c r="AK56" s="109"/>
      <c r="AL56" s="104"/>
      <c r="AM56" s="104"/>
      <c r="AN56" s="109"/>
      <c r="AO56" s="104"/>
      <c r="AP56" s="104"/>
      <c r="AQ56" s="109"/>
      <c r="AR56" s="104"/>
      <c r="AS56" s="104"/>
    </row>
    <row r="57">
      <c r="A57" s="81"/>
      <c r="B57" s="82"/>
      <c r="C57" s="82"/>
      <c r="D57" s="84"/>
      <c r="E57" s="87"/>
      <c r="F57" s="88"/>
      <c r="G57" s="89"/>
      <c r="H57" s="89"/>
      <c r="I57" s="89"/>
      <c r="J57" s="90"/>
      <c r="K57" s="110"/>
      <c r="L57" s="90"/>
      <c r="M57" s="90"/>
      <c r="N57" s="88"/>
      <c r="O57" s="90"/>
      <c r="P57" s="90"/>
      <c r="Q57" s="88"/>
      <c r="R57" s="88"/>
      <c r="S57" s="103"/>
      <c r="T57" s="88"/>
      <c r="U57" s="88"/>
      <c r="V57" s="103"/>
      <c r="W57" s="88"/>
      <c r="X57" s="88"/>
      <c r="Y57" s="103"/>
      <c r="Z57" s="88"/>
      <c r="AA57" s="88"/>
      <c r="AB57" s="103"/>
      <c r="AC57" s="88"/>
      <c r="AD57" s="88"/>
      <c r="AE57" s="103"/>
      <c r="AF57" s="88"/>
      <c r="AG57" s="88"/>
      <c r="AH57" s="109"/>
      <c r="AI57" s="104"/>
      <c r="AJ57" s="104"/>
      <c r="AK57" s="109"/>
      <c r="AL57" s="104"/>
      <c r="AM57" s="104"/>
      <c r="AN57" s="109"/>
      <c r="AO57" s="104"/>
      <c r="AP57" s="104"/>
      <c r="AQ57" s="109"/>
      <c r="AR57" s="104"/>
      <c r="AS57" s="104"/>
    </row>
    <row r="58">
      <c r="A58" s="111"/>
      <c r="B58" s="111"/>
      <c r="C58" s="111"/>
      <c r="D58" s="112"/>
      <c r="E58" s="113"/>
      <c r="F58" s="113"/>
      <c r="G58" s="111"/>
      <c r="H58" s="114"/>
      <c r="I58" s="115" t="s">
        <v>129</v>
      </c>
      <c r="J58" s="116"/>
      <c r="K58" s="117">
        <f>SUMPRODUCT(J42:J57,K42:K57)</f>
        <v>28.33</v>
      </c>
      <c r="L58" s="118"/>
      <c r="M58" s="90"/>
      <c r="N58" s="119">
        <f>SUMPRODUCT(M42:M57,N42:N57)</f>
        <v>30.78</v>
      </c>
      <c r="O58" s="90"/>
      <c r="P58" s="90"/>
      <c r="Q58" s="119">
        <f>SUMPRODUCT(P42:P57,Q42:Q57)</f>
        <v>32.83</v>
      </c>
      <c r="R58" s="120"/>
      <c r="S58" s="121"/>
      <c r="T58" s="119">
        <f>SUMPRODUCT(S42:S57,T42:T57)</f>
        <v>36.56</v>
      </c>
      <c r="U58" s="120"/>
      <c r="V58" s="121"/>
      <c r="W58" s="119">
        <f>SUMPRODUCT(V42:V57,W42:W57)</f>
        <v>38.24</v>
      </c>
      <c r="X58" s="120"/>
      <c r="Y58" s="121"/>
      <c r="Z58" s="119">
        <f>SUMPRODUCT(Y42:Y57,Z42:Z57)</f>
        <v>39.24</v>
      </c>
      <c r="AA58" s="120"/>
      <c r="AB58" s="121"/>
      <c r="AC58" s="119">
        <f>SUMPRODUCT(AB42:AB57,AC42:AC57)</f>
        <v>46.43</v>
      </c>
      <c r="AD58" s="120"/>
      <c r="AE58" s="121"/>
      <c r="AF58" s="119">
        <f>SUMPRODUCT(AE42:AE57,AF42:AF57)</f>
        <v>50.4</v>
      </c>
      <c r="AG58" s="120"/>
      <c r="AH58" s="122"/>
      <c r="AI58" s="123">
        <f>SUMPRODUCT(AH42:AH57,AI42:AI57)</f>
        <v>0</v>
      </c>
      <c r="AJ58" s="122"/>
      <c r="AK58" s="122"/>
      <c r="AL58" s="123">
        <f>SUMPRODUCT(AK42:AK57,AL42:AL57)</f>
        <v>0</v>
      </c>
      <c r="AM58" s="122"/>
      <c r="AN58" s="122"/>
      <c r="AO58" s="123">
        <f>SUMPRODUCT(AN42:AN57,AO42:AO57)</f>
        <v>0</v>
      </c>
      <c r="AP58" s="122"/>
      <c r="AQ58" s="122"/>
      <c r="AR58" s="123">
        <f>SUMPRODUCT(AQ42:AQ57,AR42:AR57)</f>
        <v>0</v>
      </c>
      <c r="AS58" s="122"/>
    </row>
    <row r="59">
      <c r="A59" s="111"/>
      <c r="B59" s="111"/>
      <c r="C59" s="111"/>
      <c r="D59" s="112"/>
      <c r="E59" s="113"/>
      <c r="F59" s="113"/>
      <c r="G59" s="111"/>
      <c r="H59" s="114"/>
      <c r="I59" s="124" t="s">
        <v>130</v>
      </c>
      <c r="J59" s="116"/>
      <c r="K59" s="125">
        <f>IFERROR(K58/SUMPRODUCT(J42:J57,$E42:$E57),"")</f>
        <v>0.00894624987</v>
      </c>
      <c r="L59" s="118"/>
      <c r="M59" s="90"/>
      <c r="N59" s="126">
        <f>IFERROR(N58/SUMPRODUCT(M42:M57,$E42:$E57),"")</f>
        <v>0.00884320125</v>
      </c>
      <c r="O59" s="90"/>
      <c r="P59" s="90"/>
      <c r="Q59" s="126">
        <f>IFERROR(Q58/SUMPRODUCT(P42:P57,$E42:$E57),"")</f>
        <v>0.008990973424</v>
      </c>
      <c r="R59" s="120"/>
      <c r="S59" s="121"/>
      <c r="T59" s="126">
        <f>IFERROR(T58/SUMPRODUCT(S42:S57,$E42:$E57),"")</f>
        <v>0.009053247258</v>
      </c>
      <c r="U59" s="120"/>
      <c r="V59" s="121"/>
      <c r="W59" s="126">
        <f>IFERROR(W58/SUMPRODUCT(V42:V57,$E42:$E57),"")</f>
        <v>0.009124618813</v>
      </c>
      <c r="X59" s="120"/>
      <c r="Y59" s="121"/>
      <c r="Z59" s="126">
        <f>IFERROR(Z58/SUMPRODUCT(Y42:Y57,$E42:$E57),"")</f>
        <v>0.009144806757</v>
      </c>
      <c r="AA59" s="120"/>
      <c r="AB59" s="121"/>
      <c r="AC59" s="126">
        <f>IFERROR(AC58/SUMPRODUCT(AB42:AB57,$E42:$E57),"")</f>
        <v>0.009118099319</v>
      </c>
      <c r="AD59" s="120"/>
      <c r="AE59" s="121"/>
      <c r="AF59" s="126">
        <f>IFERROR(AF58/SUMPRODUCT(AE42:AE57,$E42:$E57),"")</f>
        <v>0.009029215963</v>
      </c>
      <c r="AG59" s="120"/>
      <c r="AH59" s="122"/>
      <c r="AI59" s="127" t="str">
        <f>IFERROR(AI58/SUMPRODUCT(AH42:AH57,$E42:$E57),"")</f>
        <v/>
      </c>
      <c r="AJ59" s="122"/>
      <c r="AK59" s="122"/>
      <c r="AL59" s="127" t="str">
        <f>IFERROR(AL58/SUMPRODUCT(AK42:AK57,$E42:$E57),"")</f>
        <v/>
      </c>
      <c r="AM59" s="122"/>
      <c r="AN59" s="122"/>
      <c r="AO59" s="127" t="str">
        <f>IFERROR(AO58/SUMPRODUCT(AN42:AN57,$E42:$E57),"")</f>
        <v/>
      </c>
      <c r="AP59" s="122"/>
      <c r="AQ59" s="122"/>
      <c r="AR59" s="127" t="str">
        <f>IFERROR(AR58/SUMPRODUCT(AQ42:AQ57,$E42:$E57),"")</f>
        <v/>
      </c>
      <c r="AS59" s="122"/>
    </row>
    <row r="60">
      <c r="A60" s="111"/>
      <c r="B60" s="111"/>
      <c r="C60" s="111"/>
      <c r="D60" s="112"/>
      <c r="E60" s="113"/>
      <c r="F60" s="113"/>
      <c r="G60" s="111"/>
      <c r="H60" s="114"/>
      <c r="I60" s="124" t="s">
        <v>131</v>
      </c>
      <c r="J60" s="116"/>
      <c r="K60" s="125">
        <f>IF(K59="","",K59*12)</f>
        <v>0.1073549984</v>
      </c>
      <c r="L60" s="118"/>
      <c r="M60" s="90"/>
      <c r="N60" s="126">
        <f>IF(N59="","",N59*12)</f>
        <v>0.106118415</v>
      </c>
      <c r="O60" s="90"/>
      <c r="P60" s="90"/>
      <c r="Q60" s="126">
        <f>IF(Q59="","",Q59*12)</f>
        <v>0.1078916811</v>
      </c>
      <c r="R60" s="120"/>
      <c r="S60" s="121"/>
      <c r="T60" s="126">
        <f>IF(T59="","",T59*12)</f>
        <v>0.1086389671</v>
      </c>
      <c r="U60" s="120"/>
      <c r="V60" s="121"/>
      <c r="W60" s="126">
        <f>IF(W59="","",W59*12)</f>
        <v>0.1094954258</v>
      </c>
      <c r="X60" s="120"/>
      <c r="Y60" s="121"/>
      <c r="Z60" s="126">
        <f>IF(Z59="","",Z59*12)</f>
        <v>0.1097376811</v>
      </c>
      <c r="AA60" s="120"/>
      <c r="AB60" s="121"/>
      <c r="AC60" s="126">
        <f>IF(AC59="","",AC59*12)</f>
        <v>0.1094171918</v>
      </c>
      <c r="AD60" s="120"/>
      <c r="AE60" s="121"/>
      <c r="AF60" s="126">
        <f>IF(AF59="","",AF59*12)</f>
        <v>0.1083505916</v>
      </c>
      <c r="AG60" s="120"/>
      <c r="AH60" s="122"/>
      <c r="AI60" s="127" t="str">
        <f>IF(AI59="","",AI59*12)</f>
        <v/>
      </c>
      <c r="AJ60" s="122"/>
      <c r="AK60" s="122"/>
      <c r="AL60" s="127" t="str">
        <f>IF(AL59="","",AL59*12)</f>
        <v/>
      </c>
      <c r="AM60" s="122"/>
      <c r="AN60" s="122"/>
      <c r="AO60" s="127" t="str">
        <f>IF(AO59="","",AO59*12)</f>
        <v/>
      </c>
      <c r="AP60" s="122"/>
      <c r="AQ60" s="122"/>
      <c r="AR60" s="127" t="str">
        <f>IF(AR59="","",AR59*12)</f>
        <v/>
      </c>
      <c r="AS60" s="122"/>
    </row>
  </sheetData>
  <mergeCells count="28">
    <mergeCell ref="Y40:AA40"/>
    <mergeCell ref="AB40:AD40"/>
    <mergeCell ref="AE40:AG40"/>
    <mergeCell ref="AH40:AJ40"/>
    <mergeCell ref="AK40:AM40"/>
    <mergeCell ref="AN40:AP40"/>
    <mergeCell ref="AQ40:AS40"/>
    <mergeCell ref="B11:C11"/>
    <mergeCell ref="B40:C40"/>
    <mergeCell ref="J40:L40"/>
    <mergeCell ref="M40:O40"/>
    <mergeCell ref="P40:R40"/>
    <mergeCell ref="S40:U40"/>
    <mergeCell ref="V40:X40"/>
    <mergeCell ref="Y41:AA41"/>
    <mergeCell ref="AB41:AD41"/>
    <mergeCell ref="AE41:AG41"/>
    <mergeCell ref="AH41:AJ41"/>
    <mergeCell ref="AK41:AM41"/>
    <mergeCell ref="AN41:AP41"/>
    <mergeCell ref="AQ41:AS41"/>
    <mergeCell ref="B41:C41"/>
    <mergeCell ref="G41:H41"/>
    <mergeCell ref="J41:L41"/>
    <mergeCell ref="M41:O41"/>
    <mergeCell ref="P41:R41"/>
    <mergeCell ref="S41:U41"/>
    <mergeCell ref="V41:X41"/>
  </mergeCells>
  <conditionalFormatting sqref="A43:A57">
    <cfRule type="expression" dxfId="5" priority="1">
      <formula>AND($D43="RZTR11", VALUE(SUBSTITUTE($E43,"%","")) &gt; VALUE(SUBSTITUTE($G43,"%",""))*2)</formula>
    </cfRule>
  </conditionalFormatting>
  <conditionalFormatting sqref="A43:A57">
    <cfRule type="expression" dxfId="5" priority="2">
      <formula>AND($D43="BRCO11", VALUE(SUBSTITUTE($E43,"%","")) &gt; VALUE(SUBSTITUTE($G43,"%",""))*2)</formula>
    </cfRule>
  </conditionalFormatting>
  <conditionalFormatting sqref="A43:A57">
    <cfRule type="expression" dxfId="5" priority="3">
      <formula>AND($D43="BTLG11", VALUE(SUBSTITUTE($E43,"%","")) &gt; VALUE(SUBSTITUTE($G43,"%",""))*2)</formula>
    </cfRule>
  </conditionalFormatting>
  <conditionalFormatting sqref="A43:A57">
    <cfRule type="expression" dxfId="5" priority="4">
      <formula>AND($D43="XPLG11", VALUE(SUBSTITUTE($E43,"%","")) &gt; VALUE(SUBSTITUTE($G43,"%",""))*2)</formula>
    </cfRule>
  </conditionalFormatting>
  <conditionalFormatting sqref="A43:A57">
    <cfRule type="expression" dxfId="5" priority="5">
      <formula>AND($D43="GGRC11", VALUE(SUBSTITUTE($E43,"%","")) &gt; VALUE(SUBSTITUTE($G43,"%",""))*2)</formula>
    </cfRule>
  </conditionalFormatting>
  <conditionalFormatting sqref="A43:A57">
    <cfRule type="expression" dxfId="5" priority="6">
      <formula>AND($D43="GARE11", VALUE(SUBSTITUTE($E43,"%","")) &gt; VALUE(SUBSTITUTE($G43,"%",""))*2)</formula>
    </cfRule>
  </conditionalFormatting>
  <conditionalFormatting sqref="A43:A57">
    <cfRule type="expression" dxfId="5" priority="7">
      <formula>AND($D43="HGLG11", VALUE(SUBSTITUTE($E43,"%","")) &gt; VALUE(SUBSTITUTE($G43,"%",""))*2)</formula>
    </cfRule>
  </conditionalFormatting>
  <conditionalFormatting sqref="A43:A57">
    <cfRule type="expression" dxfId="5" priority="8">
      <formula>AND($D43="HGBS11", VALUE(SUBSTITUTE($E43,"%","")) &gt; VALUE(SUBSTITUTE($G43,"%",""))*2)</formula>
    </cfRule>
  </conditionalFormatting>
  <conditionalFormatting sqref="A43:A57">
    <cfRule type="expression" dxfId="5" priority="9">
      <formula>AND($D43="PMLL11", VALUE(SUBSTITUTE($E43,"%","")) &gt; VALUE(SUBSTITUTE($G43,"%",""))*2)</formula>
    </cfRule>
  </conditionalFormatting>
  <conditionalFormatting sqref="A43:A57">
    <cfRule type="expression" dxfId="5" priority="10">
      <formula>AND($D43="LVBI11", VALUE(SUBSTITUTE($E43,"%","")) &gt; VALUE(SUBSTITUTE($G43,"%",""))*2)</formula>
    </cfRule>
  </conditionalFormatting>
  <conditionalFormatting sqref="A43:A57">
    <cfRule type="expression" dxfId="5" priority="11">
      <formula>AND($D43="RBRF11", VALUE(SUBSTITUTE($E43,"%","")) &gt; VALUE(SUBSTITUTE($G43,"%",""))*2)</formula>
    </cfRule>
  </conditionalFormatting>
  <conditionalFormatting sqref="A43:A57">
    <cfRule type="expression" dxfId="5" priority="12">
      <formula>AND($D43="BTCI11", VALUE(SUBSTITUTE($E43,"%","")) &gt; VALUE(SUBSTITUTE($G43,"%",""))*2)</formula>
    </cfRule>
  </conditionalFormatting>
  <conditionalFormatting sqref="A43:A57">
    <cfRule type="expression" dxfId="5" priority="13">
      <formula>AND($D43="RBRX11", VALUE(SUBSTITUTE($E43,"%","")) &gt; VALUE(SUBSTITUTE($G43,"%",""))*2)</formula>
    </cfRule>
  </conditionalFormatting>
  <conditionalFormatting sqref="A43:A57">
    <cfRule type="expression" dxfId="5" priority="14">
      <formula>AND($D43="MXRF11", VALUE(SUBSTITUTE($E43,"%","")) &gt; VALUE(SUBSTITUTE($G43,"%",""))*2)</formula>
    </cfRule>
  </conditionalFormatting>
  <conditionalFormatting sqref="A43:A57">
    <cfRule type="expression" dxfId="5" priority="15">
      <formula>AND($D43="RECR11", VALUE(SUBSTITUTE($E43,"%","")) &gt; VALUE(SUBSTITUTE($G43,"%",""))*2)</formula>
    </cfRule>
  </conditionalFormatting>
  <conditionalFormatting sqref="A43:A57">
    <cfRule type="expression" dxfId="6" priority="16">
      <formula>AND($D43="RZTR11", VALUE(SUBSTITUTE($E43,"%","")) &gt; VALUE(SUBSTITUTE($G43,"%","")))</formula>
    </cfRule>
  </conditionalFormatting>
  <conditionalFormatting sqref="A43:A57">
    <cfRule type="expression" dxfId="6" priority="17">
      <formula>AND($D43="BRCO11", VALUE(SUBSTITUTE($E43,"%","")) &gt; VALUE(SUBSTITUTE($G43,"%","")))</formula>
    </cfRule>
  </conditionalFormatting>
  <conditionalFormatting sqref="A43:A57">
    <cfRule type="expression" dxfId="6" priority="18">
      <formula>AND($D43="BTLG11", VALUE(SUBSTITUTE($E43,"%","")) &gt; VALUE(SUBSTITUTE($G43,"%","")))</formula>
    </cfRule>
  </conditionalFormatting>
  <conditionalFormatting sqref="A43:A57">
    <cfRule type="expression" dxfId="6" priority="19">
      <formula>AND($D43="XPLG11", VALUE(SUBSTITUTE($E43,"%","")) &gt; VALUE(SUBSTITUTE($G43,"%","")))</formula>
    </cfRule>
  </conditionalFormatting>
  <conditionalFormatting sqref="A43:A57">
    <cfRule type="expression" dxfId="6" priority="20">
      <formula>AND($D43="GGRC11", VALUE(SUBSTITUTE($E43,"%","")) &gt; VALUE(SUBSTITUTE($G43,"%","")))</formula>
    </cfRule>
  </conditionalFormatting>
  <conditionalFormatting sqref="A43:A57">
    <cfRule type="expression" dxfId="6" priority="21">
      <formula>AND($D43="GARE11", VALUE(SUBSTITUTE($E43,"%","")) &gt; VALUE(SUBSTITUTE($G43,"%","")))</formula>
    </cfRule>
  </conditionalFormatting>
  <conditionalFormatting sqref="A43:A57">
    <cfRule type="expression" dxfId="6" priority="22">
      <formula>AND($D43="HGBS11", VALUE(SUBSTITUTE($E43,"%","")) &gt; VALUE(SUBSTITUTE($G43,"%","")))</formula>
    </cfRule>
  </conditionalFormatting>
  <conditionalFormatting sqref="A43:A57">
    <cfRule type="expression" dxfId="6" priority="23">
      <formula>AND($D43="PMLL11", VALUE(SUBSTITUTE($E43,"%","")) &gt; VALUE(SUBSTITUTE($G43,"%","")))</formula>
    </cfRule>
  </conditionalFormatting>
  <conditionalFormatting sqref="A43:A57">
    <cfRule type="expression" dxfId="6" priority="24">
      <formula>AND($D43="LVBI11", VALUE(SUBSTITUTE($E43,"%","")) &gt; VALUE(SUBSTITUTE($G43,"%","")))</formula>
    </cfRule>
  </conditionalFormatting>
  <conditionalFormatting sqref="A43:A57">
    <cfRule type="expression" dxfId="6" priority="25">
      <formula>AND($D43="RBRF11", VALUE(SUBSTITUTE($E43,"%","")) &gt; VALUE(SUBSTITUTE($G43,"%","")))</formula>
    </cfRule>
  </conditionalFormatting>
  <conditionalFormatting sqref="A43:A57">
    <cfRule type="expression" dxfId="6" priority="26">
      <formula>AND($D43="BTCI11", VALUE(SUBSTITUTE($E43,"%","")) &gt; VALUE(SUBSTITUTE($G43,"%","")))</formula>
    </cfRule>
  </conditionalFormatting>
  <conditionalFormatting sqref="A43:A57">
    <cfRule type="expression" dxfId="6" priority="27">
      <formula>AND($D43="RBRX11", VALUE(SUBSTITUTE($E43,"%","")) &gt; VALUE(SUBSTITUTE($G43,"%","")))</formula>
    </cfRule>
  </conditionalFormatting>
  <conditionalFormatting sqref="A43:A57">
    <cfRule type="expression" dxfId="6" priority="28">
      <formula>AND($D43="RECR11", VALUE(SUBSTITUTE($E43,"%","")) &gt; VALUE(SUBSTITUTE($G43,"%","")))</formula>
    </cfRule>
  </conditionalFormatting>
  <conditionalFormatting sqref="A43:A57">
    <cfRule type="expression" dxfId="6" priority="29">
      <formula>AND($D43="MXRF11", VALUE(SUBSTITUTE($E43,"%","")) &gt; VALUE(SUBSTITUTE($G43,"%","")))</formula>
    </cfRule>
  </conditionalFormatting>
  <conditionalFormatting sqref="A43:A57">
    <cfRule type="expression" dxfId="6" priority="30">
      <formula>AND($D43="HGLG11", VALUE(SUBSTITUTE($E43,"%","")) &gt; VALUE(SUBSTITUTE($G43,"%","")))</formula>
    </cfRule>
  </conditionalFormatting>
  <conditionalFormatting sqref="A43:A57">
    <cfRule type="expression" dxfId="7" priority="31">
      <formula>AND($D43="RZTR11", VALUE(SUBSTITUTE($E43,"%","")) &lt; VALUE(SUBSTITUTE($G43,"%","")))</formula>
    </cfRule>
  </conditionalFormatting>
  <conditionalFormatting sqref="A43:A57">
    <cfRule type="expression" dxfId="7" priority="32">
      <formula>AND($D43="BRCO11", VALUE(SUBSTITUTE($E43,"%","")) &lt; VALUE(SUBSTITUTE($G43,"%","")))</formula>
    </cfRule>
  </conditionalFormatting>
  <conditionalFormatting sqref="A43:A57">
    <cfRule type="expression" dxfId="7" priority="33">
      <formula>AND($D43="BTLG11", VALUE(SUBSTITUTE($E43,"%","")) &lt; VALUE(SUBSTITUTE($G43,"%","")))</formula>
    </cfRule>
  </conditionalFormatting>
  <conditionalFormatting sqref="A43:A57">
    <cfRule type="expression" dxfId="7" priority="34">
      <formula>AND($D43="XPLG11", VALUE(SUBSTITUTE($E43,"%","")) &lt; VALUE(SUBSTITUTE($G43,"%","")))</formula>
    </cfRule>
  </conditionalFormatting>
  <conditionalFormatting sqref="A43:A57">
    <cfRule type="expression" dxfId="7" priority="35">
      <formula>AND($D43="GGRC11", VALUE(SUBSTITUTE($E43,"%","")) &lt; VALUE(SUBSTITUTE($G43,"%","")))</formula>
    </cfRule>
  </conditionalFormatting>
  <conditionalFormatting sqref="A43:A57">
    <cfRule type="expression" dxfId="7" priority="36">
      <formula>AND($D43="GARE11", VALUE(SUBSTITUTE($E43,"%","")) &lt; VALUE(SUBSTITUTE($G43,"%","")))</formula>
    </cfRule>
  </conditionalFormatting>
  <conditionalFormatting sqref="A43:A57">
    <cfRule type="expression" dxfId="7" priority="37">
      <formula>AND($D43="HGLG11", VALUE(SUBSTITUTE($E43,"%","")) &lt; VALUE(SUBSTITUTE($G43,"%","")))</formula>
    </cfRule>
  </conditionalFormatting>
  <conditionalFormatting sqref="A43:A57">
    <cfRule type="expression" dxfId="7" priority="38">
      <formula>AND($D43="HGBS11", VALUE(SUBSTITUTE($E43,"%","")) &lt; VALUE(SUBSTITUTE($G43,"%","")))</formula>
    </cfRule>
  </conditionalFormatting>
  <conditionalFormatting sqref="A43:A57">
    <cfRule type="expression" dxfId="7" priority="39">
      <formula>AND($D43="PMLL11", VALUE(SUBSTITUTE($E43,"%","")) &lt; VALUE(SUBSTITUTE($G43,"%","")))</formula>
    </cfRule>
  </conditionalFormatting>
  <conditionalFormatting sqref="A43:A57">
    <cfRule type="expression" dxfId="7" priority="40">
      <formula>AND($D43="LVBI11", VALUE(SUBSTITUTE($E43,"%","")) &lt; VALUE(SUBSTITUTE($G43,"%","")))</formula>
    </cfRule>
  </conditionalFormatting>
  <conditionalFormatting sqref="A43:A57">
    <cfRule type="expression" dxfId="7" priority="41">
      <formula>AND($D43="RBRF11", VALUE(SUBSTITUTE($E43,"%","")) &lt; VALUE(SUBSTITUTE($G43,"%","")))</formula>
    </cfRule>
  </conditionalFormatting>
  <conditionalFormatting sqref="A43:A57">
    <cfRule type="expression" dxfId="7" priority="42">
      <formula>AND($D43="BTCI11", VALUE(SUBSTITUTE($E43,"%","")) &lt; VALUE(SUBSTITUTE($G43,"%","")))</formula>
    </cfRule>
  </conditionalFormatting>
  <conditionalFormatting sqref="A43:A57">
    <cfRule type="expression" dxfId="7" priority="43">
      <formula>AND($D43="RBRX11", VALUE(SUBSTITUTE($E43,"%","")) &lt; VALUE(SUBSTITUTE($G43,"%","")))</formula>
    </cfRule>
  </conditionalFormatting>
  <conditionalFormatting sqref="A43:A57">
    <cfRule type="expression" dxfId="7" priority="44">
      <formula>AND($D43="MXRF11", VALUE(SUBSTITUTE($E43,"%","")) &lt; VALUE(SUBSTITUTE($G43,"%","")))</formula>
    </cfRule>
  </conditionalFormatting>
  <conditionalFormatting sqref="A43:A57">
    <cfRule type="expression" dxfId="7" priority="45">
      <formula>AND($D43="RECR11", VALUE(SUBSTITUTE($E43,"%","")) &lt; VALUE(SUBSTITUTE($G43,"%","")))</formula>
    </cfRule>
  </conditionalFormatting>
  <conditionalFormatting sqref="H43:I57">
    <cfRule type="cellIs" dxfId="8" priority="46" operator="greaterThan">
      <formula>0</formula>
    </cfRule>
  </conditionalFormatting>
  <conditionalFormatting sqref="H43:I57">
    <cfRule type="cellIs" dxfId="9" priority="47" operator="lessThanOrEqual">
      <formula>0</formula>
    </cfRule>
  </conditionalFormatting>
  <conditionalFormatting sqref="P12:Z23 O22:O23">
    <cfRule type="notContainsBlanks" dxfId="10" priority="48">
      <formula>LEN(TRIM(P12))&gt;0</formula>
    </cfRule>
  </conditionalFormatting>
  <dataValidations>
    <dataValidation type="list" allowBlank="1" showErrorMessage="1" sqref="J40 M40 P40 S40 V40 Y40 AB40 AE40 AH40 AK40 AN40 AQ40">
      <formula1>"Feito,Não,Atual"</formula1>
    </dataValidation>
    <dataValidation type="custom" allowBlank="1" showDropDown="1" sqref="B3:C3 F3 H3 B7 D7:F7">
      <formula1>AND(ISNUMBER(B3),(NOT(OR(NOT(ISERROR(DATEVALUE(B3))), AND(ISNUMBER(B3), LEFT(CELL("format", B3))="D")))))</formula1>
    </dataValidation>
    <dataValidation type="list" allowBlank="1" sqref="C43:C55">
      <formula1>"Ancoragem,Oportunidade,Risco"</formula1>
    </dataValidation>
    <dataValidation type="list" allowBlank="1" showErrorMessage="1" sqref="B43:B55">
      <formula1>"Logística,Lajes Corporativas,Shoppings,Terras Agrícolas,CRI,FIAgro,Desenvolvimento,Educação,FoF,Hotel,Renda Urbana,Hedge,Log/Laje"</formula1>
    </dataValidation>
  </dataValidation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3" max="3" width="21.13"/>
    <col customWidth="1" min="4" max="4" width="16.75"/>
    <col customWidth="1" min="5" max="5" width="17.0"/>
    <col customWidth="1" min="6" max="6" width="23.75"/>
    <col customWidth="1" min="7" max="7" width="21.5"/>
    <col customWidth="1" min="8" max="8" width="20.75"/>
    <col customWidth="1" min="9" max="9" width="24.63"/>
    <col customWidth="1" min="10" max="10" width="26.13"/>
    <col customWidth="1" min="11" max="11" width="24.25"/>
    <col customWidth="1" min="12" max="12" width="25.25"/>
    <col customWidth="1" min="13" max="13" width="25.5"/>
    <col customWidth="1" min="14" max="14" width="23.5"/>
    <col customWidth="1" min="15" max="19" width="14.75"/>
  </cols>
  <sheetData>
    <row r="2" ht="22.5" customHeight="1">
      <c r="A2" s="1" t="s">
        <v>10</v>
      </c>
      <c r="B2" s="1" t="s">
        <v>11</v>
      </c>
      <c r="C2" s="1" t="s">
        <v>14</v>
      </c>
      <c r="D2" s="6"/>
      <c r="E2" s="1" t="s">
        <v>17</v>
      </c>
      <c r="F2" s="1" t="s">
        <v>11</v>
      </c>
      <c r="G2" s="1" t="s">
        <v>14</v>
      </c>
      <c r="I2" s="8" t="s">
        <v>21</v>
      </c>
      <c r="J2" s="8" t="s">
        <v>22</v>
      </c>
      <c r="L2" s="8" t="s">
        <v>21</v>
      </c>
      <c r="M2" s="8" t="s">
        <v>22</v>
      </c>
      <c r="O2" s="8" t="s">
        <v>21</v>
      </c>
      <c r="P2" s="8" t="s">
        <v>22</v>
      </c>
      <c r="R2" s="8" t="s">
        <v>21</v>
      </c>
      <c r="S2" s="8" t="s">
        <v>22</v>
      </c>
    </row>
    <row r="3" ht="22.5" customHeight="1">
      <c r="A3" s="12" t="s">
        <v>23</v>
      </c>
      <c r="B3" s="16">
        <f>C22/C3</f>
        <v>3.42360446</v>
      </c>
      <c r="C3" s="12">
        <v>2.0</v>
      </c>
      <c r="D3" s="17"/>
      <c r="E3" s="12" t="s">
        <v>26</v>
      </c>
      <c r="F3" s="16">
        <f>IFERROR(J6/G3,0)</f>
        <v>12.125</v>
      </c>
      <c r="G3" s="12">
        <v>2.0</v>
      </c>
      <c r="I3" s="12" t="s">
        <v>27</v>
      </c>
      <c r="J3" s="18"/>
      <c r="L3" s="12" t="s">
        <v>27</v>
      </c>
      <c r="M3" s="12">
        <v>9.18</v>
      </c>
      <c r="O3" s="12" t="s">
        <v>27</v>
      </c>
      <c r="R3" s="12" t="s">
        <v>27</v>
      </c>
    </row>
    <row r="4" ht="22.5" customHeight="1">
      <c r="A4" s="12" t="s">
        <v>30</v>
      </c>
      <c r="B4" s="16">
        <f>C29/C4</f>
        <v>1.01524946</v>
      </c>
      <c r="C4" s="12">
        <v>1.0</v>
      </c>
      <c r="D4" s="17"/>
      <c r="E4" s="12" t="s">
        <v>31</v>
      </c>
      <c r="F4" s="16">
        <f>IFERROR(J13/G4,0)</f>
        <v>9.976666667</v>
      </c>
      <c r="G4" s="12">
        <v>3.0</v>
      </c>
      <c r="I4" s="12" t="s">
        <v>33</v>
      </c>
      <c r="J4" s="10">
        <v>12.0</v>
      </c>
      <c r="L4" s="12" t="s">
        <v>33</v>
      </c>
      <c r="M4" s="12">
        <v>9.36</v>
      </c>
      <c r="O4" s="12" t="s">
        <v>33</v>
      </c>
      <c r="R4" s="12" t="s">
        <v>33</v>
      </c>
      <c r="S4" s="12">
        <v>1.09</v>
      </c>
    </row>
    <row r="5" ht="22.5" customHeight="1">
      <c r="A5" s="12" t="s">
        <v>34</v>
      </c>
      <c r="B5" s="16">
        <f>C36/C5</f>
        <v>3.35490675</v>
      </c>
      <c r="C5" s="12">
        <v>2.0</v>
      </c>
      <c r="D5" s="17"/>
      <c r="E5" s="12" t="s">
        <v>36</v>
      </c>
      <c r="F5" s="16">
        <f>IFERROR(M6/G5,0)</f>
        <v>9.46</v>
      </c>
      <c r="G5" s="12">
        <v>3.0</v>
      </c>
      <c r="I5" s="12" t="s">
        <v>37</v>
      </c>
      <c r="J5" s="10">
        <v>12.25</v>
      </c>
      <c r="L5" s="12" t="s">
        <v>37</v>
      </c>
      <c r="M5" s="12">
        <v>9.84</v>
      </c>
      <c r="O5" s="12" t="s">
        <v>37</v>
      </c>
      <c r="P5" s="12">
        <v>1.86</v>
      </c>
      <c r="R5" s="12" t="s">
        <v>37</v>
      </c>
      <c r="S5" s="12">
        <v>1.13</v>
      </c>
    </row>
    <row r="6" ht="22.5" customHeight="1">
      <c r="A6" s="12" t="s">
        <v>39</v>
      </c>
      <c r="B6" s="16">
        <f>C43/C6</f>
        <v>1.86</v>
      </c>
      <c r="C6" s="12">
        <v>1.0</v>
      </c>
      <c r="D6" s="17"/>
      <c r="E6" s="12" t="s">
        <v>40</v>
      </c>
      <c r="F6" s="16">
        <f>IFERROR(M13/G6,0)</f>
        <v>9.253333333</v>
      </c>
      <c r="G6" s="12">
        <v>3.0</v>
      </c>
      <c r="I6" s="12" t="s">
        <v>41</v>
      </c>
      <c r="J6" s="18">
        <f>SUM(J4:J5)</f>
        <v>24.25</v>
      </c>
      <c r="L6" s="12" t="s">
        <v>41</v>
      </c>
      <c r="M6" s="18">
        <f>SUM(M3:M5)</f>
        <v>28.38</v>
      </c>
      <c r="O6" s="12" t="s">
        <v>41</v>
      </c>
      <c r="P6" s="18">
        <f>SUM(P3:P5)</f>
        <v>1.86</v>
      </c>
      <c r="R6" s="12" t="s">
        <v>41</v>
      </c>
      <c r="S6" s="18">
        <f>SUM(S3:S5)</f>
        <v>2.22</v>
      </c>
    </row>
    <row r="7" ht="22.5" customHeight="1">
      <c r="A7" s="12" t="s">
        <v>47</v>
      </c>
      <c r="B7" s="16">
        <f>G22/C7</f>
        <v>2.988523844</v>
      </c>
      <c r="C7" s="12">
        <v>1.0</v>
      </c>
      <c r="D7" s="17"/>
      <c r="E7" s="12" t="s">
        <v>48</v>
      </c>
      <c r="F7" s="16">
        <f>IFERROR(P6/G7,0)</f>
        <v>1.86</v>
      </c>
      <c r="G7" s="12">
        <v>1.0</v>
      </c>
    </row>
    <row r="8" ht="22.5" customHeight="1">
      <c r="A8" s="12" t="s">
        <v>49</v>
      </c>
      <c r="B8" s="16">
        <f>G36/C8</f>
        <v>1.320065325</v>
      </c>
      <c r="C8" s="12">
        <v>3.0</v>
      </c>
      <c r="D8" s="17"/>
      <c r="E8" s="12" t="s">
        <v>50</v>
      </c>
      <c r="F8" s="16">
        <f>IFERROR(P13/G8,0)</f>
        <v>1.16</v>
      </c>
      <c r="G8" s="12">
        <v>2.0</v>
      </c>
    </row>
    <row r="9" ht="22.5" customHeight="1">
      <c r="A9" s="12" t="s">
        <v>52</v>
      </c>
      <c r="B9" s="16">
        <f>G29/C9</f>
        <v>2.3334489</v>
      </c>
      <c r="C9" s="12">
        <v>2.0</v>
      </c>
      <c r="D9" s="17"/>
      <c r="E9" s="12" t="s">
        <v>53</v>
      </c>
      <c r="F9" s="16">
        <f>IFERROR(S6/G9,0)</f>
        <v>1.11</v>
      </c>
      <c r="G9" s="12">
        <v>2.0</v>
      </c>
      <c r="I9" s="8" t="s">
        <v>21</v>
      </c>
      <c r="J9" s="8" t="s">
        <v>22</v>
      </c>
      <c r="L9" s="8" t="s">
        <v>21</v>
      </c>
      <c r="M9" s="8" t="s">
        <v>22</v>
      </c>
      <c r="O9" s="8" t="s">
        <v>21</v>
      </c>
      <c r="P9" s="8" t="s">
        <v>22</v>
      </c>
      <c r="R9" s="8" t="s">
        <v>21</v>
      </c>
      <c r="S9" s="8" t="s">
        <v>22</v>
      </c>
    </row>
    <row r="10" ht="22.5" customHeight="1">
      <c r="A10" s="12" t="s">
        <v>54</v>
      </c>
      <c r="B10" s="27">
        <f>K29/C10</f>
        <v>6.02999766</v>
      </c>
      <c r="C10" s="12">
        <v>2.0</v>
      </c>
      <c r="D10" s="17"/>
      <c r="E10" s="12" t="s">
        <v>55</v>
      </c>
      <c r="F10" s="16">
        <f>IFERROR(S13/G10,0)</f>
        <v>10.21333333</v>
      </c>
      <c r="G10" s="12">
        <v>3.0</v>
      </c>
      <c r="I10" s="12" t="s">
        <v>27</v>
      </c>
      <c r="J10" s="12">
        <v>9.65</v>
      </c>
      <c r="L10" s="12" t="s">
        <v>27</v>
      </c>
      <c r="M10" s="12">
        <v>9.0</v>
      </c>
      <c r="O10" s="12" t="s">
        <v>27</v>
      </c>
      <c r="R10" s="12" t="s">
        <v>27</v>
      </c>
      <c r="S10" s="12">
        <v>9.58</v>
      </c>
    </row>
    <row r="11" ht="22.5" customHeight="1">
      <c r="A11" s="12" t="s">
        <v>56</v>
      </c>
      <c r="B11" s="16">
        <f>K36/1</f>
        <v>2.976067165</v>
      </c>
      <c r="C11" s="12">
        <v>1.0</v>
      </c>
      <c r="D11" s="17"/>
      <c r="E11" s="12" t="s">
        <v>57</v>
      </c>
      <c r="F11" s="16">
        <f>IFERROR(N20/G11,0)</f>
        <v>0.96</v>
      </c>
      <c r="G11" s="12">
        <v>1.0</v>
      </c>
      <c r="I11" s="12" t="s">
        <v>33</v>
      </c>
      <c r="J11" s="12">
        <v>10.03</v>
      </c>
      <c r="L11" s="12" t="s">
        <v>33</v>
      </c>
      <c r="M11" s="12">
        <v>9.27</v>
      </c>
      <c r="O11" s="12" t="s">
        <v>33</v>
      </c>
      <c r="P11" s="12">
        <v>1.11</v>
      </c>
      <c r="R11" s="12" t="s">
        <v>33</v>
      </c>
      <c r="S11" s="12">
        <v>10.44</v>
      </c>
    </row>
    <row r="12" ht="22.5" customHeight="1">
      <c r="A12" s="12" t="s">
        <v>58</v>
      </c>
      <c r="B12" s="27">
        <f>G43/C12</f>
        <v>0.2901198948</v>
      </c>
      <c r="C12" s="12">
        <v>3.0</v>
      </c>
      <c r="D12" s="17"/>
      <c r="E12" s="12" t="s">
        <v>59</v>
      </c>
      <c r="F12" s="16">
        <f>IFERROR(Q20/G12,0)</f>
        <v>1.17</v>
      </c>
      <c r="G12" s="12">
        <v>1.0</v>
      </c>
      <c r="I12" s="12" t="s">
        <v>37</v>
      </c>
      <c r="J12" s="12">
        <v>10.25</v>
      </c>
      <c r="L12" s="12" t="s">
        <v>37</v>
      </c>
      <c r="M12" s="12">
        <v>9.49</v>
      </c>
      <c r="O12" s="12" t="s">
        <v>37</v>
      </c>
      <c r="P12" s="12">
        <v>1.21</v>
      </c>
      <c r="R12" s="12" t="s">
        <v>37</v>
      </c>
      <c r="S12" s="12">
        <v>10.62</v>
      </c>
    </row>
    <row r="13" ht="22.5" customHeight="1">
      <c r="A13" s="12" t="s">
        <v>60</v>
      </c>
      <c r="B13" s="16">
        <f>K22/C13</f>
        <v>1.553221535</v>
      </c>
      <c r="C13" s="12">
        <v>2.0</v>
      </c>
      <c r="D13" s="17"/>
      <c r="E13" s="12" t="s">
        <v>61</v>
      </c>
      <c r="F13" s="16">
        <f>IFERROR(N27/G13,0)</f>
        <v>13.2</v>
      </c>
      <c r="G13" s="12">
        <v>1.0</v>
      </c>
      <c r="I13" s="12" t="s">
        <v>41</v>
      </c>
      <c r="J13" s="18">
        <f>SUM(J10:J12)</f>
        <v>29.93</v>
      </c>
      <c r="L13" s="12" t="s">
        <v>41</v>
      </c>
      <c r="M13" s="18">
        <f>SUM(M10:M12)</f>
        <v>27.76</v>
      </c>
      <c r="O13" s="12" t="s">
        <v>41</v>
      </c>
      <c r="P13" s="18">
        <f>SUM(P10:P12)</f>
        <v>2.32</v>
      </c>
      <c r="R13" s="12" t="s">
        <v>41</v>
      </c>
      <c r="S13" s="18">
        <f>SUM(S10:S12)</f>
        <v>30.64</v>
      </c>
    </row>
    <row r="14" ht="22.5" customHeight="1">
      <c r="A14" s="12" t="s">
        <v>62</v>
      </c>
      <c r="B14" s="16">
        <f>K43/C14</f>
        <v>1.045497463</v>
      </c>
      <c r="C14" s="12">
        <v>2.0</v>
      </c>
      <c r="D14" s="17"/>
      <c r="E14" s="12" t="s">
        <v>63</v>
      </c>
      <c r="F14" s="16">
        <f>IFERROR(Q27/G14,0)</f>
        <v>11.4</v>
      </c>
      <c r="G14" s="12">
        <v>1.0</v>
      </c>
      <c r="H14" s="43"/>
      <c r="I14" s="43"/>
      <c r="J14" s="43"/>
    </row>
    <row r="15" ht="22.5" customHeight="1">
      <c r="E15" s="12" t="s">
        <v>64</v>
      </c>
      <c r="F15" s="16">
        <f>IFERROR(N34/G15,0)</f>
        <v>9.6</v>
      </c>
      <c r="G15" s="12">
        <v>1.0</v>
      </c>
    </row>
    <row r="16" ht="22.5" customHeight="1">
      <c r="M16" s="8" t="s">
        <v>21</v>
      </c>
      <c r="N16" s="8" t="s">
        <v>22</v>
      </c>
      <c r="P16" s="8" t="s">
        <v>21</v>
      </c>
      <c r="Q16" s="8" t="s">
        <v>22</v>
      </c>
    </row>
    <row r="17" ht="22.5" customHeight="1">
      <c r="D17" s="43"/>
      <c r="M17" s="12" t="s">
        <v>27</v>
      </c>
      <c r="P17" s="12" t="s">
        <v>27</v>
      </c>
    </row>
    <row r="18" ht="22.5" customHeight="1">
      <c r="A18" s="1" t="s">
        <v>65</v>
      </c>
      <c r="B18" s="1" t="s">
        <v>66</v>
      </c>
      <c r="C18" s="1" t="s">
        <v>67</v>
      </c>
      <c r="D18" s="43"/>
      <c r="E18" s="1" t="s">
        <v>65</v>
      </c>
      <c r="F18" s="1" t="s">
        <v>66</v>
      </c>
      <c r="G18" s="1" t="s">
        <v>67</v>
      </c>
      <c r="I18" s="1" t="s">
        <v>65</v>
      </c>
      <c r="J18" s="1" t="s">
        <v>66</v>
      </c>
      <c r="K18" s="1" t="s">
        <v>67</v>
      </c>
      <c r="M18" s="12" t="s">
        <v>33</v>
      </c>
      <c r="P18" s="12" t="s">
        <v>33</v>
      </c>
    </row>
    <row r="19" ht="22.5" customHeight="1">
      <c r="A19" s="44" t="s">
        <v>68</v>
      </c>
      <c r="B19" s="47">
        <f>SUMIF(BBSE3_2[Tipo], "JSCP", BBSE3_2[Valor])</f>
        <v>0</v>
      </c>
      <c r="C19" s="47">
        <f>SUM(B19*(1-0.15))</f>
        <v>0</v>
      </c>
      <c r="D19" s="43"/>
      <c r="E19" s="44" t="s">
        <v>68</v>
      </c>
      <c r="F19" s="47">
        <f>SUMIF(TAEE11_2[Tipo], "JSCP", TAEE11_2[Valor])</f>
        <v>1.60490904</v>
      </c>
      <c r="G19" s="47">
        <f>SUM(F19*(1-0.15))</f>
        <v>1.364172684</v>
      </c>
      <c r="I19" s="44" t="s">
        <v>68</v>
      </c>
      <c r="J19" s="47">
        <f>SUMIF(WEGE3_2[Tipo], "JSCP", WEGE3_2[Valor])</f>
        <v>0.66664613</v>
      </c>
      <c r="K19" s="47">
        <f>SUM(J19*(1-0.15))</f>
        <v>0.5666492105</v>
      </c>
      <c r="M19" s="12" t="s">
        <v>37</v>
      </c>
      <c r="N19" s="12">
        <v>0.96</v>
      </c>
      <c r="P19" s="12" t="s">
        <v>37</v>
      </c>
      <c r="Q19" s="12">
        <v>1.17</v>
      </c>
    </row>
    <row r="20" ht="22.5" customHeight="1">
      <c r="A20" s="44" t="s">
        <v>82</v>
      </c>
      <c r="B20" s="47">
        <f>SUMIF(BBSE3_2[Tipo], "Dividendos", BBSE3_2[Valor])</f>
        <v>6.84720892</v>
      </c>
      <c r="C20" s="47">
        <f>SUM(B20)</f>
        <v>6.84720892</v>
      </c>
      <c r="D20" s="43"/>
      <c r="E20" s="44" t="s">
        <v>82</v>
      </c>
      <c r="F20" s="47">
        <f>SUMIF(TAEE11_2[Tipo], "Dividendos", TAEE11_2[Valor])</f>
        <v>1.62435116</v>
      </c>
      <c r="G20" s="47">
        <f>SUM(F20)</f>
        <v>1.62435116</v>
      </c>
      <c r="I20" s="44" t="s">
        <v>82</v>
      </c>
      <c r="J20" s="47">
        <f>SUMIF(WEGE3_2[Tipo], "Dividendos", WEGE3_2[Valor])</f>
        <v>2.53979386</v>
      </c>
      <c r="K20" s="47">
        <f>SUM(J20)</f>
        <v>2.53979386</v>
      </c>
      <c r="M20" s="12" t="s">
        <v>41</v>
      </c>
      <c r="N20" s="18">
        <f>SUM(N17:N19)</f>
        <v>0.96</v>
      </c>
      <c r="P20" s="12" t="s">
        <v>41</v>
      </c>
      <c r="Q20" s="18">
        <f>SUM(Q17:Q19)</f>
        <v>1.17</v>
      </c>
    </row>
    <row r="21" ht="22.5" customHeight="1">
      <c r="A21" s="44"/>
      <c r="B21" s="61"/>
      <c r="C21" s="61"/>
      <c r="D21" s="43"/>
      <c r="E21" s="44" t="s">
        <v>89</v>
      </c>
      <c r="F21" s="61">
        <f>SUMIF(TAEE11_2[Tipo], "Rend. Trib.", TAEE11_2[Valor])</f>
        <v>0</v>
      </c>
      <c r="G21" s="61">
        <f>SUM(F21*(1-0.2))</f>
        <v>0</v>
      </c>
      <c r="I21" s="44" t="s">
        <v>89</v>
      </c>
      <c r="J21" s="61">
        <f>SUMIF(WEGE3_2[Tipo], "Rend. Trib.", WEGE3_2[Valor])</f>
        <v>0</v>
      </c>
      <c r="K21" s="61">
        <f>SUM(J21*(1-0.2))</f>
        <v>0</v>
      </c>
    </row>
    <row r="22" ht="22.5" customHeight="1">
      <c r="A22" s="70" t="s">
        <v>41</v>
      </c>
      <c r="B22" s="74">
        <f t="shared" ref="B22:C22" si="1">SUM(B19:B21)</f>
        <v>6.84720892</v>
      </c>
      <c r="C22" s="74">
        <f t="shared" si="1"/>
        <v>6.84720892</v>
      </c>
      <c r="D22" s="43"/>
      <c r="E22" s="70" t="s">
        <v>41</v>
      </c>
      <c r="F22" s="74">
        <f t="shared" ref="F22:G22" si="2">SUM(F19:F21)</f>
        <v>3.2292602</v>
      </c>
      <c r="G22" s="74">
        <f t="shared" si="2"/>
        <v>2.988523844</v>
      </c>
      <c r="I22" s="70" t="s">
        <v>41</v>
      </c>
      <c r="J22" s="74">
        <f t="shared" ref="J22:K22" si="3">SUM(J19:J21)</f>
        <v>3.20643999</v>
      </c>
      <c r="K22" s="74">
        <f t="shared" si="3"/>
        <v>3.106443071</v>
      </c>
    </row>
    <row r="23" ht="22.5" customHeight="1">
      <c r="D23" s="43"/>
      <c r="M23" s="8" t="s">
        <v>21</v>
      </c>
      <c r="N23" s="8" t="s">
        <v>22</v>
      </c>
      <c r="P23" s="8" t="s">
        <v>21</v>
      </c>
      <c r="Q23" s="8" t="s">
        <v>22</v>
      </c>
    </row>
    <row r="24" ht="22.5" customHeight="1">
      <c r="D24" s="43"/>
      <c r="M24" s="12" t="s">
        <v>27</v>
      </c>
      <c r="P24" s="12" t="s">
        <v>27</v>
      </c>
    </row>
    <row r="25" ht="22.5" customHeight="1">
      <c r="A25" s="1" t="s">
        <v>65</v>
      </c>
      <c r="B25" s="1" t="s">
        <v>66</v>
      </c>
      <c r="C25" s="1" t="s">
        <v>67</v>
      </c>
      <c r="D25" s="43"/>
      <c r="E25" s="1" t="s">
        <v>65</v>
      </c>
      <c r="F25" s="1" t="s">
        <v>66</v>
      </c>
      <c r="G25" s="1" t="s">
        <v>67</v>
      </c>
      <c r="I25" s="1" t="s">
        <v>65</v>
      </c>
      <c r="J25" s="1" t="s">
        <v>66</v>
      </c>
      <c r="K25" s="1" t="s">
        <v>67</v>
      </c>
      <c r="M25" s="12" t="s">
        <v>33</v>
      </c>
      <c r="P25" s="12" t="s">
        <v>33</v>
      </c>
    </row>
    <row r="26" ht="22.5" customHeight="1">
      <c r="A26" s="44" t="s">
        <v>68</v>
      </c>
      <c r="B26" s="47">
        <f>SUMIF(BBAS3_2[Tipo], "JSCP", BBAS3_2[Valor])</f>
        <v>1.034409</v>
      </c>
      <c r="C26" s="47">
        <f>SUM(B26*(1-0.15))</f>
        <v>0.87924765</v>
      </c>
      <c r="D26" s="43"/>
      <c r="E26" s="44" t="s">
        <v>68</v>
      </c>
      <c r="F26" s="47">
        <f>SUMIF(ISAE4_2[Tipo], "JSCP", ISAE4_2[Valor])</f>
        <v>5.490468</v>
      </c>
      <c r="G26" s="47">
        <f>SUM(F26*(1-0.15))</f>
        <v>4.6668978</v>
      </c>
      <c r="I26" s="44" t="s">
        <v>68</v>
      </c>
      <c r="J26" s="47">
        <f>SUMIF(VALE3_2[Tipo], "JSCP", VALE3_2[Valor])</f>
        <v>6.07925114</v>
      </c>
      <c r="K26" s="47">
        <f>SUM(J26*(1-0.15))</f>
        <v>5.167363469</v>
      </c>
      <c r="M26" s="12" t="s">
        <v>37</v>
      </c>
      <c r="N26" s="12">
        <v>13.2</v>
      </c>
      <c r="P26" s="12" t="s">
        <v>37</v>
      </c>
      <c r="Q26" s="12">
        <v>11.4</v>
      </c>
    </row>
    <row r="27" ht="22.5" customHeight="1">
      <c r="A27" s="44" t="s">
        <v>82</v>
      </c>
      <c r="B27" s="47">
        <f>SUMIF(BBAS3_2[Tipo], "Dividendos", BBAS3_2[Valor])</f>
        <v>0.13600181</v>
      </c>
      <c r="C27" s="47">
        <f>SUM(B27)</f>
        <v>0.13600181</v>
      </c>
      <c r="D27" s="43"/>
      <c r="E27" s="44" t="s">
        <v>82</v>
      </c>
      <c r="F27" s="47">
        <f>SUMIF(ISAE4_2[Tipo], "Dividendos", ISAE4_2[Valor])</f>
        <v>0</v>
      </c>
      <c r="G27" s="47">
        <f>SUM(F27)</f>
        <v>0</v>
      </c>
      <c r="I27" s="44" t="s">
        <v>82</v>
      </c>
      <c r="J27" s="47">
        <f>SUMIF(VALE3_2[Tipo], "Dividendos", VALE3_2[Valor])</f>
        <v>6.89263185</v>
      </c>
      <c r="K27" s="47">
        <f>SUM(J27)</f>
        <v>6.89263185</v>
      </c>
      <c r="M27" s="12" t="s">
        <v>41</v>
      </c>
      <c r="N27" s="18">
        <f>SUM(N24:N26)</f>
        <v>13.2</v>
      </c>
      <c r="P27" s="12" t="s">
        <v>41</v>
      </c>
      <c r="Q27" s="18">
        <f>SUM(Q24:Q26)</f>
        <v>11.4</v>
      </c>
    </row>
    <row r="28" ht="22.5" customHeight="1">
      <c r="A28" s="44"/>
      <c r="B28" s="61"/>
      <c r="C28" s="61"/>
      <c r="D28" s="43"/>
      <c r="E28" s="44" t="s">
        <v>89</v>
      </c>
      <c r="F28" s="61">
        <f>SUMIF(ISAE4_2[Tipo], "Rend. Trib.", ISAE4_2[Valor])</f>
        <v>0</v>
      </c>
      <c r="G28" s="61">
        <f>SUM(F28*(1-0.2))</f>
        <v>0</v>
      </c>
      <c r="I28" s="44"/>
      <c r="J28" s="61"/>
      <c r="K28" s="61"/>
    </row>
    <row r="29" ht="22.5" customHeight="1">
      <c r="A29" s="70" t="s">
        <v>41</v>
      </c>
      <c r="B29" s="74">
        <f t="shared" ref="B29:C29" si="4">SUM(B26:B28)</f>
        <v>1.17041081</v>
      </c>
      <c r="C29" s="74">
        <f t="shared" si="4"/>
        <v>1.01524946</v>
      </c>
      <c r="D29" s="43"/>
      <c r="E29" s="70" t="s">
        <v>41</v>
      </c>
      <c r="F29" s="74">
        <f t="shared" ref="F29:G29" si="5">SUM(F26:F28)</f>
        <v>5.490468</v>
      </c>
      <c r="G29" s="74">
        <f t="shared" si="5"/>
        <v>4.6668978</v>
      </c>
      <c r="I29" s="70" t="s">
        <v>41</v>
      </c>
      <c r="J29" s="74">
        <f t="shared" ref="J29:K29" si="6">SUM(J26:J28)</f>
        <v>12.97188299</v>
      </c>
      <c r="K29" s="74">
        <f t="shared" si="6"/>
        <v>12.05999532</v>
      </c>
    </row>
    <row r="30" ht="22.5" customHeight="1">
      <c r="D30" s="43"/>
      <c r="M30" s="8" t="s">
        <v>21</v>
      </c>
      <c r="N30" s="8" t="s">
        <v>22</v>
      </c>
    </row>
    <row r="31" ht="22.5" customHeight="1">
      <c r="D31" s="43"/>
      <c r="M31" s="12" t="s">
        <v>27</v>
      </c>
      <c r="N31" s="12">
        <v>0.0</v>
      </c>
    </row>
    <row r="32" ht="22.5" customHeight="1">
      <c r="A32" s="1" t="s">
        <v>65</v>
      </c>
      <c r="B32" s="1" t="s">
        <v>66</v>
      </c>
      <c r="C32" s="1" t="s">
        <v>67</v>
      </c>
      <c r="D32" s="43"/>
      <c r="E32" s="1" t="s">
        <v>65</v>
      </c>
      <c r="F32" s="1" t="s">
        <v>66</v>
      </c>
      <c r="G32" s="1" t="s">
        <v>67</v>
      </c>
      <c r="I32" s="1" t="s">
        <v>65</v>
      </c>
      <c r="J32" s="1" t="s">
        <v>66</v>
      </c>
      <c r="K32" s="1" t="s">
        <v>67</v>
      </c>
      <c r="M32" s="12" t="s">
        <v>33</v>
      </c>
      <c r="N32" s="12">
        <v>0.0</v>
      </c>
    </row>
    <row r="33" ht="22.5" customHeight="1">
      <c r="A33" s="44" t="s">
        <v>68</v>
      </c>
      <c r="B33" s="47">
        <f>SUMIF(ITUB3_2[Tipo], "JSCP", ITUB3_2[Valor])</f>
        <v>2.90063</v>
      </c>
      <c r="C33" s="47">
        <f>SUM(B33*(1-0.15))</f>
        <v>2.4655355</v>
      </c>
      <c r="E33" s="44" t="s">
        <v>68</v>
      </c>
      <c r="F33" s="47">
        <f>SUMIF(CMIG4_2[Tipo], "JSCP", CMIG4_2[Valor])</f>
        <v>2.71036637</v>
      </c>
      <c r="G33" s="47">
        <f>SUM(F33*(1-0.15))</f>
        <v>2.303811415</v>
      </c>
      <c r="I33" s="44" t="s">
        <v>68</v>
      </c>
      <c r="J33" s="47">
        <f>SUMIF(PETR4_2[Tipo], "JSCP", PETR4_2[Valor])</f>
        <v>1.71850737</v>
      </c>
      <c r="K33" s="47">
        <f>SUM(J33*(1-0.15))</f>
        <v>1.460731265</v>
      </c>
      <c r="M33" s="12" t="s">
        <v>37</v>
      </c>
      <c r="N33" s="12">
        <v>9.6</v>
      </c>
    </row>
    <row r="34" ht="22.5" customHeight="1">
      <c r="A34" s="44" t="s">
        <v>82</v>
      </c>
      <c r="B34" s="47">
        <f>SUMIF(ITUB3_2[Tipo], "Dividendos", ITUB3_2[Valor])</f>
        <v>4.244278</v>
      </c>
      <c r="C34" s="47">
        <f>SUM(B34)</f>
        <v>4.244278</v>
      </c>
      <c r="D34" s="43"/>
      <c r="E34" s="44" t="s">
        <v>82</v>
      </c>
      <c r="F34" s="47">
        <f>SUMIF(CMIG4_2[Tipo], "Dividendos", CMIG4_2[Valor])</f>
        <v>1.65638456</v>
      </c>
      <c r="G34" s="47">
        <f>SUM(F34)</f>
        <v>1.65638456</v>
      </c>
      <c r="I34" s="44" t="s">
        <v>82</v>
      </c>
      <c r="J34" s="47">
        <f>SUMIF(PETR4_2[Tipo], "Dividendos", PETR4_2[Valor])</f>
        <v>1.5153359</v>
      </c>
      <c r="K34" s="47">
        <f>SUM(J34)</f>
        <v>1.5153359</v>
      </c>
      <c r="M34" s="12" t="s">
        <v>41</v>
      </c>
      <c r="N34" s="18">
        <f>SUM(N31:N33)</f>
        <v>9.6</v>
      </c>
    </row>
    <row r="35" ht="22.5" customHeight="1">
      <c r="A35" s="44" t="s">
        <v>89</v>
      </c>
      <c r="B35" s="61">
        <f>SUMIF(ITUB3_2[Tipo], "Rend. Trib.", ITUB3_2[Valor])</f>
        <v>0</v>
      </c>
      <c r="C35" s="61">
        <f>SUM(B35*(1-0.2))</f>
        <v>0</v>
      </c>
      <c r="D35" s="43"/>
      <c r="E35" s="44" t="s">
        <v>89</v>
      </c>
      <c r="F35" s="61">
        <f>SUMIF(CMIG4_2[Tipo], "Rend. Trib.", CMIG4_2[Valor])</f>
        <v>0</v>
      </c>
      <c r="G35" s="61">
        <f>SUM(F35*(1-0.2))</f>
        <v>0</v>
      </c>
      <c r="I35" s="44"/>
      <c r="J35" s="61"/>
      <c r="K35" s="61"/>
    </row>
    <row r="36" ht="22.5" customHeight="1">
      <c r="A36" s="70" t="s">
        <v>41</v>
      </c>
      <c r="B36" s="74">
        <f t="shared" ref="B36:C36" si="7">SUM(B33:B35)</f>
        <v>7.144908</v>
      </c>
      <c r="C36" s="74">
        <f t="shared" si="7"/>
        <v>6.7098135</v>
      </c>
      <c r="E36" s="70" t="s">
        <v>41</v>
      </c>
      <c r="F36" s="74">
        <f t="shared" ref="F36:G36" si="8">SUM(F33:F35)</f>
        <v>4.36675093</v>
      </c>
      <c r="G36" s="74">
        <f t="shared" si="8"/>
        <v>3.960195975</v>
      </c>
      <c r="I36" s="70" t="s">
        <v>41</v>
      </c>
      <c r="J36" s="74">
        <f t="shared" ref="J36:K36" si="9">SUM(J33:J35)</f>
        <v>3.23384327</v>
      </c>
      <c r="K36" s="74">
        <f t="shared" si="9"/>
        <v>2.976067165</v>
      </c>
    </row>
    <row r="39" ht="22.5" customHeight="1">
      <c r="A39" s="1" t="s">
        <v>65</v>
      </c>
      <c r="B39" s="1" t="s">
        <v>66</v>
      </c>
      <c r="C39" s="1" t="s">
        <v>67</v>
      </c>
      <c r="E39" s="1" t="s">
        <v>65</v>
      </c>
      <c r="F39" s="1" t="s">
        <v>66</v>
      </c>
      <c r="G39" s="1" t="s">
        <v>67</v>
      </c>
      <c r="I39" s="1" t="s">
        <v>65</v>
      </c>
      <c r="J39" s="1" t="s">
        <v>66</v>
      </c>
      <c r="K39" s="1" t="s">
        <v>67</v>
      </c>
    </row>
    <row r="40" ht="22.5" customHeight="1">
      <c r="A40" s="44" t="s">
        <v>68</v>
      </c>
      <c r="B40" s="47">
        <f>SUMIF(BRBI11_2[Tipo], "JSCP", BRBI11_2[Valor])</f>
        <v>0</v>
      </c>
      <c r="C40" s="47">
        <f>SUM(B40*(1-0.15))</f>
        <v>0</v>
      </c>
      <c r="E40" s="44" t="s">
        <v>68</v>
      </c>
      <c r="F40" s="47">
        <f>SUMIF(SAPR4_2[Tipo], "JSCP", SAPR4_2[Valor])</f>
        <v>1.02395257</v>
      </c>
      <c r="G40" s="47">
        <f>SUM(F40*(1-0.15))</f>
        <v>0.8703596845</v>
      </c>
      <c r="I40" s="44" t="s">
        <v>68</v>
      </c>
      <c r="J40" s="47">
        <f>SUMIF(ITUB3_2[Tipo], "JSCP", ITSA4_2[Valor])</f>
        <v>2.4046305</v>
      </c>
      <c r="K40" s="47">
        <f>SUM(J40*(1-0.15))</f>
        <v>2.043935925</v>
      </c>
    </row>
    <row r="41" ht="22.5" customHeight="1">
      <c r="A41" s="44" t="s">
        <v>82</v>
      </c>
      <c r="B41" s="47">
        <f>SUMIF(BRBI11_2[Tipo], "Dividendos", BRBI11_2[Valor])</f>
        <v>1.86</v>
      </c>
      <c r="C41" s="47">
        <f>SUM(B41)</f>
        <v>1.86</v>
      </c>
      <c r="E41" s="44" t="s">
        <v>82</v>
      </c>
      <c r="F41" s="47">
        <f>SUMIF(SAPR4_2[Tipo], "Dividendos", SAPR4_2[Valor])</f>
        <v>0</v>
      </c>
      <c r="G41" s="47">
        <f>SUM(F41)</f>
        <v>0</v>
      </c>
      <c r="I41" s="44" t="s">
        <v>82</v>
      </c>
      <c r="J41" s="47">
        <f>SUMIF(ITUB3_2[Tipo], "Dividendos", ITSA4_2[Valor])</f>
        <v>0.047059</v>
      </c>
      <c r="K41" s="47">
        <f>SUM(J41)</f>
        <v>0.047059</v>
      </c>
    </row>
    <row r="42" ht="22.5" customHeight="1">
      <c r="A42" s="44" t="s">
        <v>89</v>
      </c>
      <c r="B42" s="61">
        <f>SUMIF(BRBI11_2[Tipo], "Rend. Trib.", BRBI11_2[Valor])</f>
        <v>0</v>
      </c>
      <c r="C42" s="61">
        <f>SUM(B42*(1-0.2))</f>
        <v>0</v>
      </c>
      <c r="E42" s="44" t="s">
        <v>89</v>
      </c>
      <c r="F42" s="61">
        <f>SUMIF(SAPR4_2[Tipo], "Rend. Trib.", SAPR4_2[Valor])</f>
        <v>0</v>
      </c>
      <c r="G42" s="61">
        <f>SUM(F42*(1-0.2))</f>
        <v>0</v>
      </c>
      <c r="I42" s="44" t="s">
        <v>89</v>
      </c>
      <c r="J42" s="61">
        <f>SUMIF(ITUB3_2[Tipo], "Rend. Trib.", ITSA4_2[Valor])</f>
        <v>0</v>
      </c>
      <c r="K42" s="61">
        <f>SUM(J42*(1-0.2))</f>
        <v>0</v>
      </c>
    </row>
    <row r="43" ht="22.5" customHeight="1">
      <c r="A43" s="70" t="s">
        <v>41</v>
      </c>
      <c r="B43" s="74">
        <f t="shared" ref="B43:C43" si="10">SUM(B40:B42)</f>
        <v>1.86</v>
      </c>
      <c r="C43" s="74">
        <f t="shared" si="10"/>
        <v>1.86</v>
      </c>
      <c r="E43" s="70" t="s">
        <v>41</v>
      </c>
      <c r="F43" s="74">
        <f t="shared" ref="F43:G43" si="11">SUM(F40:F42)</f>
        <v>1.02395257</v>
      </c>
      <c r="G43" s="74">
        <f t="shared" si="11"/>
        <v>0.8703596845</v>
      </c>
      <c r="I43" s="70" t="s">
        <v>41</v>
      </c>
      <c r="J43" s="74">
        <f t="shared" ref="J43:K43" si="12">SUM(J40:J42)</f>
        <v>2.4516895</v>
      </c>
      <c r="K43" s="74">
        <f t="shared" si="12"/>
        <v>2.090994925</v>
      </c>
    </row>
    <row r="47" ht="22.5" customHeight="1">
      <c r="A47" s="96" t="s">
        <v>65</v>
      </c>
      <c r="B47" s="96" t="s">
        <v>124</v>
      </c>
      <c r="C47" s="96" t="s">
        <v>125</v>
      </c>
      <c r="D47" s="96" t="s">
        <v>71</v>
      </c>
      <c r="F47" s="96" t="s">
        <v>65</v>
      </c>
      <c r="G47" s="96" t="s">
        <v>124</v>
      </c>
      <c r="H47" s="96" t="s">
        <v>125</v>
      </c>
      <c r="I47" s="96" t="s">
        <v>71</v>
      </c>
      <c r="K47" s="96" t="s">
        <v>65</v>
      </c>
      <c r="L47" s="96" t="s">
        <v>124</v>
      </c>
      <c r="M47" s="96" t="s">
        <v>125</v>
      </c>
      <c r="N47" s="96" t="s">
        <v>71</v>
      </c>
    </row>
    <row r="48" ht="22.5" customHeight="1">
      <c r="A48" s="97" t="s">
        <v>82</v>
      </c>
      <c r="B48" s="98">
        <v>45883.0</v>
      </c>
      <c r="C48" s="98">
        <v>45895.0</v>
      </c>
      <c r="D48" s="99">
        <v>1.94209515</v>
      </c>
      <c r="F48" s="97" t="s">
        <v>82</v>
      </c>
      <c r="G48" s="98">
        <v>45975.0</v>
      </c>
      <c r="H48" s="98">
        <v>46050.0</v>
      </c>
      <c r="I48" s="99">
        <v>0.51895321</v>
      </c>
      <c r="K48" s="97" t="s">
        <v>82</v>
      </c>
      <c r="L48" s="98">
        <v>46010.0</v>
      </c>
      <c r="M48" s="98">
        <v>46981.0</v>
      </c>
      <c r="N48" s="99">
        <v>0.412832</v>
      </c>
    </row>
    <row r="49" ht="22.5" customHeight="1">
      <c r="A49" s="100"/>
      <c r="B49" s="101"/>
      <c r="C49" s="101"/>
      <c r="D49" s="102"/>
      <c r="F49" s="100" t="s">
        <v>128</v>
      </c>
      <c r="G49" s="101">
        <v>45975.0</v>
      </c>
      <c r="H49" s="101">
        <v>46050.0</v>
      </c>
      <c r="I49" s="102">
        <v>0.41940723</v>
      </c>
      <c r="K49" s="100" t="s">
        <v>82</v>
      </c>
      <c r="L49" s="101">
        <v>46010.0</v>
      </c>
      <c r="M49" s="101">
        <v>46610.0</v>
      </c>
      <c r="N49" s="102">
        <v>0.412832</v>
      </c>
    </row>
    <row r="50" ht="22.5" customHeight="1">
      <c r="A50" s="97" t="s">
        <v>82</v>
      </c>
      <c r="B50" s="98">
        <v>45708.0</v>
      </c>
      <c r="C50" s="98">
        <v>45722.0</v>
      </c>
      <c r="D50" s="99">
        <v>2.27232921</v>
      </c>
      <c r="F50" s="97" t="s">
        <v>82</v>
      </c>
      <c r="G50" s="98">
        <v>45887.0</v>
      </c>
      <c r="H50" s="98">
        <v>45988.0</v>
      </c>
      <c r="I50" s="99">
        <v>0.23019206</v>
      </c>
      <c r="K50" s="97" t="s">
        <v>82</v>
      </c>
      <c r="L50" s="98">
        <v>46010.0</v>
      </c>
      <c r="M50" s="98">
        <v>46246.0</v>
      </c>
      <c r="N50" s="99">
        <v>0.412832</v>
      </c>
    </row>
    <row r="51" ht="22.5" customHeight="1">
      <c r="A51" s="100" t="s">
        <v>82</v>
      </c>
      <c r="B51" s="101">
        <v>45520.0</v>
      </c>
      <c r="C51" s="101">
        <v>45534.0</v>
      </c>
      <c r="D51" s="102">
        <v>1.390909</v>
      </c>
      <c r="F51" s="100" t="s">
        <v>128</v>
      </c>
      <c r="G51" s="101">
        <v>45887.0</v>
      </c>
      <c r="H51" s="101">
        <v>45988.0</v>
      </c>
      <c r="I51" s="102">
        <v>0.63897936</v>
      </c>
      <c r="K51" s="100" t="s">
        <v>128</v>
      </c>
      <c r="L51" s="101">
        <v>45994.0</v>
      </c>
      <c r="M51" s="101">
        <v>46003.0</v>
      </c>
      <c r="N51" s="102">
        <v>0.11129412</v>
      </c>
    </row>
    <row r="52" ht="22.5" customHeight="1">
      <c r="A52" s="97"/>
      <c r="B52" s="98"/>
      <c r="C52" s="98"/>
      <c r="D52" s="99"/>
      <c r="F52" s="105" t="s">
        <v>128</v>
      </c>
      <c r="G52" s="106">
        <v>45789.0</v>
      </c>
      <c r="H52" s="106">
        <v>45896.0</v>
      </c>
      <c r="I52" s="107">
        <v>0.54652245</v>
      </c>
      <c r="K52" s="97" t="s">
        <v>82</v>
      </c>
      <c r="L52" s="98">
        <v>45994.0</v>
      </c>
      <c r="M52" s="98">
        <v>46003.0</v>
      </c>
      <c r="N52" s="99">
        <v>0.3417</v>
      </c>
    </row>
    <row r="53" ht="22.5" customHeight="1">
      <c r="A53" s="100" t="s">
        <v>82</v>
      </c>
      <c r="B53" s="101">
        <v>45330.0</v>
      </c>
      <c r="C53" s="101">
        <v>45344.0</v>
      </c>
      <c r="D53" s="102">
        <v>1.24187556</v>
      </c>
      <c r="F53" s="100" t="s">
        <v>82</v>
      </c>
      <c r="G53" s="101">
        <v>45776.0</v>
      </c>
      <c r="H53" s="101">
        <v>45805.0</v>
      </c>
      <c r="I53" s="102">
        <v>0.5533013</v>
      </c>
      <c r="K53" s="100" t="s">
        <v>128</v>
      </c>
      <c r="L53" s="101">
        <v>45926.0</v>
      </c>
      <c r="M53" s="101">
        <v>46003.0</v>
      </c>
      <c r="N53" s="102">
        <v>0.110235</v>
      </c>
    </row>
    <row r="54" ht="22.5" customHeight="1">
      <c r="A54" s="97"/>
      <c r="B54" s="98"/>
      <c r="C54" s="98"/>
      <c r="D54" s="99"/>
      <c r="F54" s="97" t="s">
        <v>82</v>
      </c>
      <c r="G54" s="98">
        <v>45776.0</v>
      </c>
      <c r="H54" s="98">
        <v>45988.0</v>
      </c>
      <c r="I54" s="99">
        <v>0.32190459</v>
      </c>
      <c r="K54" s="97" t="s">
        <v>82</v>
      </c>
      <c r="L54" s="98">
        <v>45863.0</v>
      </c>
      <c r="M54" s="98">
        <v>45882.0</v>
      </c>
      <c r="N54" s="99">
        <v>0.17145038</v>
      </c>
    </row>
    <row r="55" ht="22.5" customHeight="1">
      <c r="A55" s="100"/>
      <c r="B55" s="101"/>
      <c r="C55" s="101"/>
      <c r="D55" s="102"/>
      <c r="F55" s="100"/>
      <c r="G55" s="101"/>
      <c r="H55" s="101"/>
      <c r="I55" s="102"/>
      <c r="K55" s="100" t="s">
        <v>128</v>
      </c>
      <c r="L55" s="101">
        <v>45828.0</v>
      </c>
      <c r="M55" s="101">
        <v>45882.0</v>
      </c>
      <c r="N55" s="102">
        <v>0.094058</v>
      </c>
    </row>
    <row r="56" ht="22.5" customHeight="1">
      <c r="A56" s="105"/>
      <c r="B56" s="106"/>
      <c r="C56" s="106"/>
      <c r="D56" s="107"/>
      <c r="F56" s="97"/>
      <c r="G56" s="98"/>
      <c r="H56" s="98"/>
      <c r="I56" s="99"/>
      <c r="K56" s="97" t="s">
        <v>128</v>
      </c>
      <c r="L56" s="98">
        <v>45737.0</v>
      </c>
      <c r="M56" s="98">
        <v>45882.0</v>
      </c>
      <c r="N56" s="99">
        <v>0.08070588</v>
      </c>
    </row>
    <row r="57" ht="22.5" customHeight="1">
      <c r="K57" s="100" t="s">
        <v>82</v>
      </c>
      <c r="L57" s="101">
        <v>45716.0</v>
      </c>
      <c r="M57" s="101">
        <v>45728.0</v>
      </c>
      <c r="N57" s="102">
        <v>0.30265269</v>
      </c>
    </row>
    <row r="58" ht="22.5" customHeight="1">
      <c r="K58" s="105" t="s">
        <v>128</v>
      </c>
      <c r="L58" s="106">
        <v>45646.0</v>
      </c>
      <c r="M58" s="106">
        <v>45728.0</v>
      </c>
      <c r="N58" s="107">
        <v>0.07976471</v>
      </c>
    </row>
    <row r="59" ht="22.5" customHeight="1">
      <c r="A59" s="96" t="s">
        <v>65</v>
      </c>
      <c r="B59" s="96" t="s">
        <v>124</v>
      </c>
      <c r="C59" s="96" t="s">
        <v>125</v>
      </c>
      <c r="D59" s="96" t="s">
        <v>71</v>
      </c>
      <c r="F59" s="96" t="s">
        <v>65</v>
      </c>
      <c r="G59" s="96" t="s">
        <v>124</v>
      </c>
      <c r="H59" s="96" t="s">
        <v>125</v>
      </c>
      <c r="I59" s="96" t="s">
        <v>71</v>
      </c>
      <c r="K59" s="100" t="s">
        <v>128</v>
      </c>
      <c r="L59" s="101">
        <v>45562.0</v>
      </c>
      <c r="M59" s="101">
        <v>45728.0</v>
      </c>
      <c r="N59" s="102">
        <v>0.070059</v>
      </c>
    </row>
    <row r="60" ht="22.5" customHeight="1">
      <c r="A60" s="97" t="s">
        <v>128</v>
      </c>
      <c r="B60" s="98">
        <v>45993.0</v>
      </c>
      <c r="C60" s="98">
        <v>46003.0</v>
      </c>
      <c r="D60" s="99">
        <v>0.04583263</v>
      </c>
      <c r="F60" s="97" t="s">
        <v>128</v>
      </c>
      <c r="G60" s="98">
        <v>46014.0</v>
      </c>
      <c r="H60" s="99"/>
      <c r="I60" s="99">
        <v>0.11840132</v>
      </c>
      <c r="K60" s="97" t="s">
        <v>82</v>
      </c>
      <c r="L60" s="98">
        <v>45506.0</v>
      </c>
      <c r="M60" s="98">
        <v>45518.0</v>
      </c>
      <c r="N60" s="99">
        <v>0.187552</v>
      </c>
    </row>
    <row r="61" ht="22.5" customHeight="1">
      <c r="A61" s="100" t="s">
        <v>128</v>
      </c>
      <c r="B61" s="101">
        <v>45992.0</v>
      </c>
      <c r="C61" s="101">
        <v>46002.0</v>
      </c>
      <c r="D61" s="102">
        <v>0.07192713</v>
      </c>
      <c r="F61" s="100" t="s">
        <v>128</v>
      </c>
      <c r="G61" s="101">
        <v>46014.0</v>
      </c>
      <c r="H61" s="102"/>
      <c r="I61" s="102">
        <v>0.11840132</v>
      </c>
      <c r="K61" s="100" t="s">
        <v>128</v>
      </c>
      <c r="L61" s="101">
        <v>45471.0</v>
      </c>
      <c r="M61" s="101">
        <v>45518.0</v>
      </c>
      <c r="N61" s="102">
        <v>0.06276471</v>
      </c>
    </row>
    <row r="62" ht="22.5" customHeight="1">
      <c r="A62" s="97" t="s">
        <v>128</v>
      </c>
      <c r="B62" s="98">
        <v>45810.0</v>
      </c>
      <c r="C62" s="98">
        <v>45820.0</v>
      </c>
      <c r="D62" s="99">
        <v>0.09044687</v>
      </c>
      <c r="F62" s="105" t="s">
        <v>82</v>
      </c>
      <c r="G62" s="106">
        <v>46013.0</v>
      </c>
      <c r="H62" s="106">
        <v>46021.0</v>
      </c>
      <c r="I62" s="107">
        <v>0.145875</v>
      </c>
      <c r="K62" s="97" t="s">
        <v>128</v>
      </c>
      <c r="L62" s="98">
        <v>45373.0</v>
      </c>
      <c r="M62" s="98">
        <v>45518.0</v>
      </c>
      <c r="N62" s="99">
        <v>0.05776471</v>
      </c>
    </row>
    <row r="63" ht="22.5" customHeight="1">
      <c r="A63" s="100" t="s">
        <v>128</v>
      </c>
      <c r="B63" s="101">
        <v>45810.0</v>
      </c>
      <c r="C63" s="101">
        <v>45820.0</v>
      </c>
      <c r="D63" s="102">
        <v>0.3342584</v>
      </c>
      <c r="F63" s="100" t="s">
        <v>128</v>
      </c>
      <c r="G63" s="101">
        <v>45929.0</v>
      </c>
      <c r="H63" s="101"/>
      <c r="I63" s="102">
        <v>0.1057</v>
      </c>
      <c r="K63" s="100" t="s">
        <v>82</v>
      </c>
      <c r="L63" s="101">
        <v>45345.0</v>
      </c>
      <c r="M63" s="101">
        <v>45364.0</v>
      </c>
      <c r="N63" s="102">
        <v>0.29794279</v>
      </c>
    </row>
    <row r="64" ht="22.5" customHeight="1">
      <c r="A64" s="97" t="s">
        <v>82</v>
      </c>
      <c r="B64" s="98">
        <v>45727.0</v>
      </c>
      <c r="C64" s="98">
        <v>45736.0</v>
      </c>
      <c r="D64" s="99">
        <v>0.13600181</v>
      </c>
      <c r="F64" s="97" t="s">
        <v>128</v>
      </c>
      <c r="G64" s="98">
        <v>45929.0</v>
      </c>
      <c r="H64" s="98"/>
      <c r="I64" s="99">
        <v>0.1057</v>
      </c>
    </row>
    <row r="65" ht="22.5" customHeight="1">
      <c r="A65" s="100" t="s">
        <v>128</v>
      </c>
      <c r="B65" s="101">
        <v>45727.0</v>
      </c>
      <c r="C65" s="101">
        <v>45736.0</v>
      </c>
      <c r="D65" s="102">
        <v>0.34259249</v>
      </c>
      <c r="F65" s="100" t="s">
        <v>128</v>
      </c>
      <c r="G65" s="101">
        <v>45831.0</v>
      </c>
      <c r="H65" s="101"/>
      <c r="I65" s="102">
        <v>0.104303</v>
      </c>
    </row>
    <row r="66" ht="22.5" customHeight="1">
      <c r="A66" s="97" t="s">
        <v>128</v>
      </c>
      <c r="B66" s="98">
        <v>45727.0</v>
      </c>
      <c r="C66" s="98">
        <v>45737.0</v>
      </c>
      <c r="D66" s="99">
        <v>0.14935148</v>
      </c>
      <c r="F66" s="97" t="s">
        <v>128</v>
      </c>
      <c r="G66" s="98">
        <v>45831.0</v>
      </c>
      <c r="H66" s="98"/>
      <c r="I66" s="99">
        <v>0.104303</v>
      </c>
      <c r="K66" s="96" t="s">
        <v>65</v>
      </c>
      <c r="L66" s="96" t="s">
        <v>124</v>
      </c>
      <c r="M66" s="96" t="s">
        <v>125</v>
      </c>
      <c r="N66" s="96" t="s">
        <v>71</v>
      </c>
    </row>
    <row r="67" ht="22.5" customHeight="1">
      <c r="A67" s="100" t="s">
        <v>89</v>
      </c>
      <c r="B67" s="101">
        <v>45727.0</v>
      </c>
      <c r="C67" s="101">
        <v>45736.0</v>
      </c>
      <c r="D67" s="102">
        <v>0.00354526</v>
      </c>
      <c r="F67" s="100" t="s">
        <v>82</v>
      </c>
      <c r="G67" s="101">
        <v>45777.0</v>
      </c>
      <c r="H67" s="101">
        <v>46021.0</v>
      </c>
      <c r="I67" s="102">
        <v>0.3294059</v>
      </c>
      <c r="K67" s="105" t="s">
        <v>128</v>
      </c>
      <c r="L67" s="106">
        <v>46020.0</v>
      </c>
      <c r="M67" s="106">
        <v>46050.0</v>
      </c>
      <c r="N67" s="107">
        <v>0.250553</v>
      </c>
    </row>
    <row r="68" ht="22.5" customHeight="1">
      <c r="A68" s="105" t="s">
        <v>89</v>
      </c>
      <c r="B68" s="106">
        <v>45727.0</v>
      </c>
      <c r="C68" s="106">
        <v>45736.0</v>
      </c>
      <c r="D68" s="107">
        <v>0.00893062</v>
      </c>
      <c r="F68" s="97" t="s">
        <v>82</v>
      </c>
      <c r="G68" s="98">
        <v>45777.0</v>
      </c>
      <c r="H68" s="98">
        <v>45838.0</v>
      </c>
      <c r="I68" s="99">
        <v>0.3294059</v>
      </c>
      <c r="K68" s="100" t="s">
        <v>128</v>
      </c>
      <c r="L68" s="101">
        <v>46008.0</v>
      </c>
      <c r="M68" s="101">
        <v>46021.0</v>
      </c>
      <c r="N68" s="102">
        <v>0.224999</v>
      </c>
    </row>
    <row r="69" ht="22.5" customHeight="1">
      <c r="A69" s="105"/>
      <c r="B69" s="106"/>
      <c r="C69" s="106"/>
      <c r="D69" s="107"/>
      <c r="F69" s="105" t="s">
        <v>128</v>
      </c>
      <c r="G69" s="106">
        <v>45741.0</v>
      </c>
      <c r="H69" s="106"/>
      <c r="I69" s="107">
        <v>0.094559</v>
      </c>
      <c r="K69" s="97" t="s">
        <v>128</v>
      </c>
      <c r="L69" s="98">
        <v>45985.0</v>
      </c>
      <c r="M69" s="98">
        <v>46003.0</v>
      </c>
      <c r="N69" s="99">
        <v>0.224999</v>
      </c>
    </row>
    <row r="70" ht="22.5" customHeight="1">
      <c r="A70" s="97"/>
      <c r="B70" s="98"/>
      <c r="C70" s="98"/>
      <c r="D70" s="99"/>
      <c r="F70" s="100" t="s">
        <v>128</v>
      </c>
      <c r="G70" s="101">
        <v>45741.0</v>
      </c>
      <c r="H70" s="101">
        <v>46386.0</v>
      </c>
      <c r="I70" s="102">
        <v>0.09455892</v>
      </c>
      <c r="K70" s="100" t="s">
        <v>128</v>
      </c>
      <c r="L70" s="101">
        <v>45960.0</v>
      </c>
      <c r="M70" s="101">
        <v>45989.0</v>
      </c>
      <c r="N70" s="102">
        <v>0.224999</v>
      </c>
    </row>
    <row r="71" ht="22.5" customHeight="1">
      <c r="A71" s="100"/>
      <c r="B71" s="101"/>
      <c r="C71" s="101"/>
      <c r="D71" s="102"/>
      <c r="F71" s="97" t="s">
        <v>128</v>
      </c>
      <c r="G71" s="98">
        <v>45649.0</v>
      </c>
      <c r="H71" s="98">
        <v>46021.0</v>
      </c>
      <c r="I71" s="99">
        <v>0.09790376</v>
      </c>
      <c r="K71" s="97" t="s">
        <v>128</v>
      </c>
      <c r="L71" s="98">
        <v>45727.0</v>
      </c>
      <c r="M71" s="98">
        <v>45737.0</v>
      </c>
      <c r="N71" s="99">
        <v>0.786945</v>
      </c>
    </row>
    <row r="72" ht="22.5" customHeight="1">
      <c r="A72" s="97"/>
      <c r="B72" s="98"/>
      <c r="C72" s="98"/>
      <c r="D72" s="99"/>
      <c r="F72" s="100" t="s">
        <v>128</v>
      </c>
      <c r="G72" s="101">
        <v>45649.0</v>
      </c>
      <c r="H72" s="101">
        <v>45838.0</v>
      </c>
      <c r="I72" s="102">
        <v>0.097904</v>
      </c>
      <c r="K72" s="100" t="s">
        <v>128</v>
      </c>
      <c r="L72" s="101">
        <v>45699.0</v>
      </c>
      <c r="M72" s="101">
        <v>45709.0</v>
      </c>
      <c r="N72" s="102">
        <v>0.786945</v>
      </c>
    </row>
    <row r="73" ht="22.5" customHeight="1">
      <c r="A73" s="100"/>
      <c r="B73" s="101"/>
      <c r="C73" s="101"/>
      <c r="D73" s="102"/>
      <c r="F73" s="100" t="s">
        <v>128</v>
      </c>
      <c r="G73" s="101">
        <v>45558.0</v>
      </c>
      <c r="H73" s="101">
        <v>46021.0</v>
      </c>
      <c r="I73" s="102">
        <v>0.082601</v>
      </c>
      <c r="K73" s="97" t="s">
        <v>128</v>
      </c>
      <c r="L73" s="98">
        <v>45666.0</v>
      </c>
      <c r="M73" s="98">
        <v>45678.0</v>
      </c>
      <c r="N73" s="99">
        <v>0.786945</v>
      </c>
    </row>
    <row r="74" ht="22.5" customHeight="1">
      <c r="F74" s="97" t="s">
        <v>128</v>
      </c>
      <c r="G74" s="98">
        <v>45558.0</v>
      </c>
      <c r="H74" s="98">
        <v>45838.0</v>
      </c>
      <c r="I74" s="99">
        <v>0.08260111</v>
      </c>
      <c r="K74" s="97" t="s">
        <v>128</v>
      </c>
      <c r="L74" s="98">
        <v>45273.0</v>
      </c>
      <c r="M74" s="98">
        <v>45392.0</v>
      </c>
      <c r="N74" s="99">
        <v>1.961247</v>
      </c>
    </row>
    <row r="75" ht="22.5" customHeight="1">
      <c r="F75" s="100" t="s">
        <v>82</v>
      </c>
      <c r="G75" s="101">
        <v>45527.0</v>
      </c>
      <c r="H75" s="101">
        <v>45534.0</v>
      </c>
      <c r="I75" s="102">
        <v>0.49635976</v>
      </c>
      <c r="K75" s="100" t="s">
        <v>128</v>
      </c>
      <c r="L75" s="101">
        <v>45273.0</v>
      </c>
      <c r="M75" s="101">
        <v>45306.0</v>
      </c>
      <c r="N75" s="102">
        <v>0.242836</v>
      </c>
    </row>
    <row r="76" ht="22.5" customHeight="1">
      <c r="A76" s="96" t="s">
        <v>65</v>
      </c>
      <c r="B76" s="96" t="s">
        <v>124</v>
      </c>
      <c r="C76" s="96" t="s">
        <v>125</v>
      </c>
      <c r="D76" s="96" t="s">
        <v>71</v>
      </c>
      <c r="F76" s="97" t="s">
        <v>128</v>
      </c>
      <c r="G76" s="98">
        <v>45464.0</v>
      </c>
      <c r="H76" s="98">
        <v>46021.0</v>
      </c>
      <c r="I76" s="99">
        <v>0.07510604</v>
      </c>
    </row>
    <row r="77" ht="22.5" customHeight="1">
      <c r="A77" s="100" t="s">
        <v>128</v>
      </c>
      <c r="B77" s="101">
        <v>46021.0</v>
      </c>
      <c r="C77" s="101">
        <v>46055.0</v>
      </c>
      <c r="D77" s="102">
        <v>0.01765</v>
      </c>
      <c r="F77" s="100" t="s">
        <v>128</v>
      </c>
      <c r="G77" s="101">
        <v>45464.0</v>
      </c>
      <c r="H77" s="101">
        <v>45838.0</v>
      </c>
      <c r="I77" s="102">
        <v>0.07510604</v>
      </c>
    </row>
    <row r="78" ht="22.5" customHeight="1">
      <c r="A78" s="105" t="s">
        <v>132</v>
      </c>
      <c r="B78" s="106">
        <v>46014.0</v>
      </c>
      <c r="C78" s="106">
        <v>46021.0</v>
      </c>
      <c r="D78" s="107">
        <v>0.03</v>
      </c>
      <c r="F78" s="97" t="s">
        <v>82</v>
      </c>
      <c r="G78" s="98">
        <v>45411.0</v>
      </c>
      <c r="H78" s="98">
        <v>45653.0</v>
      </c>
      <c r="I78" s="99">
        <v>0.121134</v>
      </c>
      <c r="K78" s="96" t="s">
        <v>65</v>
      </c>
      <c r="L78" s="96" t="s">
        <v>124</v>
      </c>
      <c r="M78" s="96" t="s">
        <v>125</v>
      </c>
      <c r="N78" s="96" t="s">
        <v>71</v>
      </c>
    </row>
    <row r="79" ht="22.5" customHeight="1">
      <c r="A79" s="100" t="s">
        <v>128</v>
      </c>
      <c r="B79" s="101">
        <v>46000.0</v>
      </c>
      <c r="C79" s="101">
        <v>46142.0</v>
      </c>
      <c r="D79" s="102">
        <v>0.36975</v>
      </c>
      <c r="F79" s="100" t="s">
        <v>82</v>
      </c>
      <c r="G79" s="101">
        <v>45411.0</v>
      </c>
      <c r="H79" s="101">
        <v>45471.0</v>
      </c>
      <c r="I79" s="102">
        <v>0.121134</v>
      </c>
      <c r="K79" s="97" t="s">
        <v>82</v>
      </c>
      <c r="L79" s="98">
        <v>46002.0</v>
      </c>
      <c r="M79" s="98">
        <v>46085.0</v>
      </c>
      <c r="N79" s="99">
        <v>0.768134</v>
      </c>
    </row>
    <row r="80" ht="22.5" customHeight="1">
      <c r="A80" s="97" t="s">
        <v>82</v>
      </c>
      <c r="B80" s="98">
        <v>46000.0</v>
      </c>
      <c r="C80" s="98">
        <v>46010.0</v>
      </c>
      <c r="D80" s="99">
        <v>1.868223</v>
      </c>
      <c r="F80" s="97" t="s">
        <v>132</v>
      </c>
      <c r="G80" s="98">
        <v>45411.0</v>
      </c>
      <c r="H80" s="98">
        <v>45415.0</v>
      </c>
      <c r="I80" s="99">
        <v>0.3</v>
      </c>
      <c r="K80" s="100" t="s">
        <v>82</v>
      </c>
      <c r="L80" s="101">
        <v>46002.0</v>
      </c>
      <c r="M80" s="101">
        <v>46029.0</v>
      </c>
      <c r="N80" s="102">
        <v>1.244102</v>
      </c>
    </row>
    <row r="81" ht="22.5" customHeight="1">
      <c r="A81" s="100" t="s">
        <v>128</v>
      </c>
      <c r="B81" s="101">
        <v>45989.0</v>
      </c>
      <c r="C81" s="101">
        <v>46024.0</v>
      </c>
      <c r="D81" s="102">
        <v>0.01765</v>
      </c>
      <c r="F81" s="100" t="s">
        <v>128</v>
      </c>
      <c r="G81" s="101">
        <v>45377.0</v>
      </c>
      <c r="H81" s="101">
        <v>46021.0</v>
      </c>
      <c r="I81" s="102">
        <v>0.08778293</v>
      </c>
      <c r="K81" s="97" t="s">
        <v>128</v>
      </c>
      <c r="L81" s="98">
        <v>46002.0</v>
      </c>
      <c r="M81" s="98">
        <v>46085.0</v>
      </c>
      <c r="N81" s="99">
        <v>1.569535</v>
      </c>
    </row>
    <row r="82" ht="22.5" customHeight="1">
      <c r="A82" s="97" t="s">
        <v>128</v>
      </c>
      <c r="B82" s="98">
        <v>45961.0</v>
      </c>
      <c r="C82" s="98">
        <v>45992.0</v>
      </c>
      <c r="D82" s="99">
        <v>0.01765</v>
      </c>
      <c r="F82" s="105" t="s">
        <v>128</v>
      </c>
      <c r="G82" s="106">
        <v>45377.0</v>
      </c>
      <c r="H82" s="106">
        <v>45838.0</v>
      </c>
      <c r="I82" s="107">
        <v>0.08778293</v>
      </c>
      <c r="K82" s="100" t="s">
        <v>128</v>
      </c>
      <c r="L82" s="101">
        <v>45881.0</v>
      </c>
      <c r="M82" s="101">
        <v>45903.0</v>
      </c>
      <c r="N82" s="102">
        <v>1.895387</v>
      </c>
    </row>
    <row r="83" ht="22.5" customHeight="1">
      <c r="A83" s="100" t="s">
        <v>128</v>
      </c>
      <c r="B83" s="101">
        <v>45930.0</v>
      </c>
      <c r="C83" s="101">
        <v>45964.0</v>
      </c>
      <c r="D83" s="102">
        <v>0.01765</v>
      </c>
      <c r="F83" s="100" t="s">
        <v>128</v>
      </c>
      <c r="G83" s="101">
        <v>45281.0</v>
      </c>
      <c r="H83" s="101">
        <v>45653.0</v>
      </c>
      <c r="I83" s="102">
        <v>0.30051</v>
      </c>
      <c r="K83" s="97" t="s">
        <v>82</v>
      </c>
      <c r="L83" s="98">
        <v>45723.0</v>
      </c>
      <c r="M83" s="98">
        <v>45730.0</v>
      </c>
      <c r="N83" s="99">
        <v>2.14184748</v>
      </c>
    </row>
    <row r="84" ht="22.5" customHeight="1">
      <c r="A84" s="97" t="s">
        <v>128</v>
      </c>
      <c r="B84" s="98">
        <v>45898.0</v>
      </c>
      <c r="C84" s="98">
        <v>45931.0</v>
      </c>
      <c r="D84" s="99">
        <v>0.01765</v>
      </c>
      <c r="F84" s="97" t="s">
        <v>128</v>
      </c>
      <c r="G84" s="98">
        <v>45281.0</v>
      </c>
      <c r="H84" s="98">
        <v>45471.0</v>
      </c>
      <c r="I84" s="99">
        <v>0.30051</v>
      </c>
      <c r="K84" s="105" t="s">
        <v>128</v>
      </c>
      <c r="L84" s="106">
        <v>45637.0</v>
      </c>
      <c r="M84" s="106">
        <v>45730.0</v>
      </c>
      <c r="N84" s="107">
        <v>0.520531</v>
      </c>
    </row>
    <row r="85" ht="22.5" customHeight="1">
      <c r="A85" s="100" t="s">
        <v>128</v>
      </c>
      <c r="B85" s="101">
        <v>45887.0</v>
      </c>
      <c r="C85" s="101">
        <v>45898.0</v>
      </c>
      <c r="D85" s="102">
        <v>0.3634</v>
      </c>
      <c r="F85" s="97" t="s">
        <v>128</v>
      </c>
      <c r="G85" s="98">
        <v>45194.0</v>
      </c>
      <c r="H85" s="98">
        <v>45653.0</v>
      </c>
      <c r="I85" s="99">
        <v>0.094971</v>
      </c>
      <c r="K85" s="97" t="s">
        <v>128</v>
      </c>
      <c r="L85" s="98">
        <v>45506.0</v>
      </c>
      <c r="M85" s="98">
        <v>45539.0</v>
      </c>
      <c r="N85" s="99">
        <v>2.09379814</v>
      </c>
    </row>
    <row r="86" ht="22.5" customHeight="1">
      <c r="A86" s="97" t="s">
        <v>128</v>
      </c>
      <c r="B86" s="98">
        <v>45869.0</v>
      </c>
      <c r="C86" s="98">
        <v>45901.0</v>
      </c>
      <c r="D86" s="99">
        <v>0.01765</v>
      </c>
      <c r="F86" s="100" t="s">
        <v>128</v>
      </c>
      <c r="G86" s="101">
        <v>45194.0</v>
      </c>
      <c r="H86" s="101">
        <v>45471.0</v>
      </c>
      <c r="I86" s="102">
        <v>0.094971</v>
      </c>
      <c r="K86" s="100" t="s">
        <v>82</v>
      </c>
      <c r="L86" s="101">
        <v>45362.0</v>
      </c>
      <c r="M86" s="101">
        <v>45370.0</v>
      </c>
      <c r="N86" s="102">
        <v>2.73854837</v>
      </c>
    </row>
    <row r="87" ht="22.5" customHeight="1">
      <c r="A87" s="100" t="s">
        <v>128</v>
      </c>
      <c r="B87" s="101">
        <v>45838.0</v>
      </c>
      <c r="C87" s="101">
        <v>45870.0</v>
      </c>
      <c r="D87" s="102">
        <v>0.01765</v>
      </c>
      <c r="F87" s="100" t="s">
        <v>128</v>
      </c>
      <c r="G87" s="101">
        <v>45100.0</v>
      </c>
      <c r="H87" s="101">
        <v>45653.0</v>
      </c>
      <c r="I87" s="102">
        <v>0.096953</v>
      </c>
    </row>
    <row r="88" ht="22.5" customHeight="1">
      <c r="A88" s="97" t="s">
        <v>128</v>
      </c>
      <c r="B88" s="98">
        <v>45817.0</v>
      </c>
      <c r="C88" s="98">
        <v>45898.0</v>
      </c>
      <c r="D88" s="99">
        <v>0.3341</v>
      </c>
      <c r="F88" s="97" t="s">
        <v>128</v>
      </c>
      <c r="G88" s="98">
        <v>45100.0</v>
      </c>
      <c r="H88" s="98">
        <v>45471.0</v>
      </c>
      <c r="I88" s="99">
        <v>0.096953</v>
      </c>
    </row>
    <row r="89" ht="22.5" customHeight="1">
      <c r="A89" s="100" t="s">
        <v>128</v>
      </c>
      <c r="B89" s="101">
        <v>45807.0</v>
      </c>
      <c r="C89" s="101">
        <v>45839.0</v>
      </c>
      <c r="D89" s="102">
        <v>0.01765</v>
      </c>
      <c r="F89" s="100" t="s">
        <v>82</v>
      </c>
      <c r="G89" s="101">
        <v>45043.0</v>
      </c>
      <c r="H89" s="101">
        <v>45288.0</v>
      </c>
      <c r="I89" s="102">
        <v>0.056535</v>
      </c>
      <c r="K89" s="96" t="s">
        <v>65</v>
      </c>
      <c r="L89" s="96" t="s">
        <v>124</v>
      </c>
      <c r="M89" s="96" t="s">
        <v>125</v>
      </c>
      <c r="N89" s="96" t="s">
        <v>71</v>
      </c>
    </row>
    <row r="90" ht="22.5" customHeight="1">
      <c r="A90" s="97" t="s">
        <v>128</v>
      </c>
      <c r="B90" s="98">
        <v>45777.0</v>
      </c>
      <c r="C90" s="98">
        <v>45810.0</v>
      </c>
      <c r="D90" s="99">
        <v>0.01765</v>
      </c>
      <c r="F90" s="97" t="s">
        <v>82</v>
      </c>
      <c r="G90" s="98">
        <v>45043.0</v>
      </c>
      <c r="H90" s="98">
        <v>45107.0</v>
      </c>
      <c r="I90" s="99">
        <v>0.056535</v>
      </c>
      <c r="K90" s="97" t="s">
        <v>82</v>
      </c>
      <c r="L90" s="98">
        <v>45763.0</v>
      </c>
      <c r="M90" s="98">
        <v>45828.0</v>
      </c>
      <c r="N90" s="99">
        <v>0.35477261</v>
      </c>
    </row>
    <row r="91" ht="22.5" customHeight="1">
      <c r="A91" s="105" t="s">
        <v>128</v>
      </c>
      <c r="B91" s="106">
        <v>45747.0</v>
      </c>
      <c r="C91" s="106">
        <v>45779.0</v>
      </c>
      <c r="D91" s="107">
        <v>0.01765</v>
      </c>
      <c r="F91" s="100" t="s">
        <v>128</v>
      </c>
      <c r="G91" s="101">
        <v>45012.0</v>
      </c>
      <c r="H91" s="101">
        <v>45653.0</v>
      </c>
      <c r="I91" s="102">
        <v>0.096392</v>
      </c>
      <c r="K91" s="100" t="s">
        <v>82</v>
      </c>
      <c r="L91" s="101">
        <v>45763.0</v>
      </c>
      <c r="M91" s="101">
        <v>45797.0</v>
      </c>
      <c r="N91" s="102">
        <v>0.35477261</v>
      </c>
    </row>
    <row r="92" ht="22.5" customHeight="1">
      <c r="A92" s="97" t="s">
        <v>132</v>
      </c>
      <c r="B92" s="98">
        <v>45733.0</v>
      </c>
      <c r="C92" s="98">
        <v>45736.0</v>
      </c>
      <c r="D92" s="99">
        <v>0.1</v>
      </c>
      <c r="F92" s="97" t="s">
        <v>128</v>
      </c>
      <c r="G92" s="98">
        <v>45012.0</v>
      </c>
      <c r="H92" s="98">
        <v>45471.0</v>
      </c>
      <c r="I92" s="99">
        <v>0.096392</v>
      </c>
      <c r="K92" s="105" t="s">
        <v>82</v>
      </c>
      <c r="L92" s="106">
        <v>46013.0</v>
      </c>
      <c r="M92" s="106">
        <v>46101.0</v>
      </c>
      <c r="N92" s="107">
        <v>0.29642144</v>
      </c>
    </row>
    <row r="93" ht="22.5" customHeight="1">
      <c r="A93" s="100" t="s">
        <v>128</v>
      </c>
      <c r="B93" s="101">
        <v>45716.0</v>
      </c>
      <c r="C93" s="101">
        <v>45748.0</v>
      </c>
      <c r="D93" s="102">
        <v>0.01765</v>
      </c>
      <c r="K93" s="100" t="s">
        <v>128</v>
      </c>
      <c r="L93" s="101">
        <v>46013.0</v>
      </c>
      <c r="M93" s="101">
        <v>46073.0</v>
      </c>
      <c r="N93" s="102">
        <v>0.471604</v>
      </c>
    </row>
    <row r="94" ht="22.5" customHeight="1">
      <c r="A94" s="97" t="s">
        <v>82</v>
      </c>
      <c r="B94" s="98">
        <v>45705.0</v>
      </c>
      <c r="C94" s="98">
        <v>45723.0</v>
      </c>
      <c r="D94" s="99">
        <v>1.25093</v>
      </c>
      <c r="K94" s="97" t="s">
        <v>128</v>
      </c>
      <c r="L94" s="98">
        <v>46013.0</v>
      </c>
      <c r="M94" s="98">
        <v>46101.0</v>
      </c>
      <c r="N94" s="99">
        <v>0.17518233</v>
      </c>
    </row>
    <row r="95" ht="22.5" customHeight="1">
      <c r="A95" s="100" t="s">
        <v>128</v>
      </c>
      <c r="B95" s="101">
        <v>45705.0</v>
      </c>
      <c r="C95" s="101">
        <v>45723.0</v>
      </c>
      <c r="D95" s="102">
        <v>0.33344</v>
      </c>
      <c r="F95" s="96" t="s">
        <v>65</v>
      </c>
      <c r="G95" s="96" t="s">
        <v>124</v>
      </c>
      <c r="H95" s="96" t="s">
        <v>125</v>
      </c>
      <c r="I95" s="96" t="s">
        <v>71</v>
      </c>
      <c r="K95" s="100" t="s">
        <v>128</v>
      </c>
      <c r="L95" s="101">
        <v>45890.0</v>
      </c>
      <c r="M95" s="101">
        <v>45982.0</v>
      </c>
      <c r="N95" s="102">
        <v>0.33596205</v>
      </c>
    </row>
    <row r="96" ht="22.5" customHeight="1">
      <c r="A96" s="97" t="s">
        <v>128</v>
      </c>
      <c r="B96" s="98">
        <v>45688.0</v>
      </c>
      <c r="C96" s="98">
        <v>45722.0</v>
      </c>
      <c r="D96" s="99">
        <v>0.01765</v>
      </c>
      <c r="F96" s="97" t="s">
        <v>82</v>
      </c>
      <c r="G96" s="98">
        <v>45978.0</v>
      </c>
      <c r="H96" s="98">
        <v>45987.0</v>
      </c>
      <c r="I96" s="99">
        <v>1.02</v>
      </c>
      <c r="K96" s="97" t="s">
        <v>128</v>
      </c>
      <c r="L96" s="98">
        <v>45890.0</v>
      </c>
      <c r="M96" s="98">
        <v>46013.0</v>
      </c>
      <c r="N96" s="99">
        <v>0.13504029</v>
      </c>
    </row>
    <row r="97" ht="22.5" customHeight="1">
      <c r="A97" s="100" t="s">
        <v>128</v>
      </c>
      <c r="B97" s="101">
        <v>45656.0</v>
      </c>
      <c r="C97" s="101">
        <v>45691.0</v>
      </c>
      <c r="D97" s="102">
        <v>0.01765</v>
      </c>
      <c r="F97" s="100" t="s">
        <v>82</v>
      </c>
      <c r="G97" s="101">
        <v>45881.0</v>
      </c>
      <c r="H97" s="101">
        <v>45890.0</v>
      </c>
      <c r="I97" s="102">
        <v>0.36</v>
      </c>
      <c r="K97" s="100" t="s">
        <v>82</v>
      </c>
      <c r="L97" s="101">
        <v>45890.0</v>
      </c>
      <c r="M97" s="101">
        <v>46013.0</v>
      </c>
      <c r="N97" s="102">
        <v>0.20092175</v>
      </c>
    </row>
    <row r="98" ht="22.5" customHeight="1">
      <c r="A98" s="97" t="s">
        <v>128</v>
      </c>
      <c r="B98" s="98">
        <v>45635.0</v>
      </c>
      <c r="C98" s="98">
        <v>45723.0</v>
      </c>
      <c r="D98" s="99">
        <v>0.31056</v>
      </c>
      <c r="F98" s="97" t="s">
        <v>82</v>
      </c>
      <c r="G98" s="98">
        <v>45790.0</v>
      </c>
      <c r="H98" s="98">
        <v>45800.0</v>
      </c>
      <c r="I98" s="99">
        <v>0.3</v>
      </c>
      <c r="K98" s="97" t="s">
        <v>82</v>
      </c>
      <c r="L98" s="98">
        <v>45810.0</v>
      </c>
      <c r="M98" s="98">
        <v>45922.0</v>
      </c>
      <c r="N98" s="99">
        <v>0.30844749</v>
      </c>
    </row>
    <row r="99" ht="22.5" customHeight="1">
      <c r="A99" s="100" t="s">
        <v>128</v>
      </c>
      <c r="B99" s="101">
        <v>45625.0</v>
      </c>
      <c r="C99" s="101">
        <v>45659.0</v>
      </c>
      <c r="D99" s="102">
        <v>0.01765</v>
      </c>
      <c r="F99" s="100" t="s">
        <v>82</v>
      </c>
      <c r="G99" s="101">
        <v>45743.0</v>
      </c>
      <c r="H99" s="101">
        <v>45751.0</v>
      </c>
      <c r="I99" s="102">
        <v>0.18</v>
      </c>
      <c r="K99" s="100" t="s">
        <v>128</v>
      </c>
      <c r="L99" s="101">
        <v>45810.0</v>
      </c>
      <c r="M99" s="101">
        <v>45922.0</v>
      </c>
      <c r="N99" s="102">
        <v>0.1461356</v>
      </c>
    </row>
    <row r="100" ht="22.5" customHeight="1">
      <c r="A100" s="97" t="s">
        <v>128</v>
      </c>
      <c r="B100" s="98">
        <v>45596.0</v>
      </c>
      <c r="C100" s="98">
        <v>45628.0</v>
      </c>
      <c r="D100" s="99">
        <v>0.01765</v>
      </c>
      <c r="F100" s="105"/>
      <c r="G100" s="106"/>
      <c r="H100" s="106"/>
      <c r="I100" s="107"/>
      <c r="K100" s="97" t="s">
        <v>128</v>
      </c>
      <c r="L100" s="98">
        <v>45810.0</v>
      </c>
      <c r="M100" s="98">
        <v>45889.0</v>
      </c>
      <c r="N100" s="99">
        <v>0.4545831</v>
      </c>
    </row>
    <row r="101" ht="22.5" customHeight="1">
      <c r="A101" s="100" t="s">
        <v>128</v>
      </c>
      <c r="B101" s="101">
        <v>45565.0</v>
      </c>
      <c r="C101" s="101">
        <v>45597.0</v>
      </c>
      <c r="D101" s="102">
        <v>0.01765</v>
      </c>
      <c r="K101" s="100" t="s">
        <v>89</v>
      </c>
      <c r="L101" s="101">
        <v>45763.0</v>
      </c>
      <c r="M101" s="101">
        <v>45797.0</v>
      </c>
      <c r="N101" s="102">
        <v>0.02152467</v>
      </c>
    </row>
    <row r="102" ht="22.5" customHeight="1">
      <c r="A102" s="97" t="s">
        <v>128</v>
      </c>
      <c r="B102" s="98">
        <v>45554.0</v>
      </c>
      <c r="C102" s="98">
        <v>45723.0</v>
      </c>
      <c r="D102" s="99">
        <v>0.27298</v>
      </c>
      <c r="K102" s="100"/>
      <c r="L102" s="101"/>
      <c r="M102" s="101"/>
      <c r="N102" s="102"/>
    </row>
    <row r="103" ht="22.5" customHeight="1">
      <c r="A103" s="105" t="s">
        <v>128</v>
      </c>
      <c r="B103" s="106">
        <v>45534.0</v>
      </c>
      <c r="C103" s="106">
        <v>45566.0</v>
      </c>
      <c r="D103" s="107">
        <v>0.01765</v>
      </c>
      <c r="F103" s="96" t="s">
        <v>65</v>
      </c>
      <c r="G103" s="96" t="s">
        <v>124</v>
      </c>
      <c r="H103" s="96" t="s">
        <v>125</v>
      </c>
      <c r="I103" s="96" t="s">
        <v>71</v>
      </c>
      <c r="K103" s="97"/>
      <c r="L103" s="98"/>
      <c r="M103" s="98"/>
      <c r="N103" s="99"/>
    </row>
    <row r="104" ht="22.5" customHeight="1">
      <c r="A104" s="97" t="s">
        <v>128</v>
      </c>
      <c r="B104" s="98">
        <v>45504.0</v>
      </c>
      <c r="C104" s="98">
        <v>45537.0</v>
      </c>
      <c r="D104" s="99">
        <v>0.01765</v>
      </c>
      <c r="F104" s="97" t="s">
        <v>128</v>
      </c>
      <c r="G104" s="98">
        <v>46021.0</v>
      </c>
      <c r="H104" s="99"/>
      <c r="I104" s="99">
        <v>0.11252854</v>
      </c>
      <c r="K104" s="105"/>
      <c r="L104" s="106"/>
      <c r="M104" s="106"/>
      <c r="N104" s="107"/>
    </row>
    <row r="105" ht="22.5" customHeight="1">
      <c r="A105" s="100" t="s">
        <v>128</v>
      </c>
      <c r="B105" s="101">
        <v>45471.0</v>
      </c>
      <c r="C105" s="101">
        <v>45505.0</v>
      </c>
      <c r="D105" s="102">
        <v>0.01765</v>
      </c>
      <c r="F105" s="100" t="s">
        <v>128</v>
      </c>
      <c r="G105" s="101">
        <v>45838.0</v>
      </c>
      <c r="H105" s="102"/>
      <c r="I105" s="102">
        <v>0.28686103</v>
      </c>
      <c r="K105" s="97"/>
      <c r="L105" s="98"/>
      <c r="M105" s="98"/>
      <c r="N105" s="99"/>
    </row>
    <row r="106" ht="22.5" customHeight="1">
      <c r="A106" s="97" t="s">
        <v>128</v>
      </c>
      <c r="B106" s="98">
        <v>45463.0</v>
      </c>
      <c r="C106" s="98">
        <v>45534.0</v>
      </c>
      <c r="D106" s="99">
        <v>0.251</v>
      </c>
      <c r="F106" s="97" t="s">
        <v>128</v>
      </c>
      <c r="G106" s="98">
        <v>45656.0</v>
      </c>
      <c r="H106" s="98">
        <v>45834.0</v>
      </c>
      <c r="I106" s="99">
        <v>0.162991</v>
      </c>
    </row>
    <row r="107" ht="22.5" customHeight="1">
      <c r="A107" s="100" t="s">
        <v>128</v>
      </c>
      <c r="B107" s="101">
        <v>45443.0</v>
      </c>
      <c r="C107" s="101">
        <v>45474.0</v>
      </c>
      <c r="D107" s="102">
        <v>0.01765</v>
      </c>
      <c r="F107" s="105" t="s">
        <v>128</v>
      </c>
      <c r="G107" s="106">
        <v>45471.0</v>
      </c>
      <c r="H107" s="106">
        <v>45834.0</v>
      </c>
      <c r="I107" s="107">
        <v>0.152872</v>
      </c>
    </row>
    <row r="108" ht="22.5" customHeight="1">
      <c r="A108" s="97" t="s">
        <v>128</v>
      </c>
      <c r="B108" s="98">
        <v>45412.0</v>
      </c>
      <c r="C108" s="98">
        <v>45446.0</v>
      </c>
      <c r="D108" s="99">
        <v>0.01765</v>
      </c>
      <c r="F108" s="97" t="s">
        <v>128</v>
      </c>
      <c r="G108" s="98">
        <v>45288.0</v>
      </c>
      <c r="H108" s="98">
        <v>45470.0</v>
      </c>
      <c r="I108" s="99">
        <v>0.125236</v>
      </c>
    </row>
    <row r="109" ht="22.5" customHeight="1">
      <c r="A109" s="105" t="s">
        <v>128</v>
      </c>
      <c r="B109" s="106">
        <v>45379.0</v>
      </c>
      <c r="C109" s="106">
        <v>45414.0</v>
      </c>
      <c r="D109" s="107">
        <v>0.01765</v>
      </c>
      <c r="F109" s="100" t="s">
        <v>128</v>
      </c>
      <c r="G109" s="101">
        <v>45107.0</v>
      </c>
      <c r="H109" s="101">
        <v>45470.0</v>
      </c>
      <c r="I109" s="102">
        <v>0.183464</v>
      </c>
    </row>
    <row r="110" ht="22.5" customHeight="1">
      <c r="A110" s="97" t="s">
        <v>128</v>
      </c>
      <c r="B110" s="98">
        <v>45372.0</v>
      </c>
      <c r="C110" s="98">
        <v>45535.0</v>
      </c>
      <c r="D110" s="99">
        <v>0.2418</v>
      </c>
    </row>
    <row r="111" ht="22.5" customHeight="1">
      <c r="A111" s="100" t="s">
        <v>128</v>
      </c>
      <c r="B111" s="101">
        <v>45351.0</v>
      </c>
      <c r="C111" s="101">
        <v>45383.0</v>
      </c>
      <c r="D111" s="102">
        <v>0.01765</v>
      </c>
    </row>
    <row r="112" ht="22.5" customHeight="1">
      <c r="A112" s="97" t="s">
        <v>82</v>
      </c>
      <c r="B112" s="98">
        <v>45343.0</v>
      </c>
      <c r="C112" s="98">
        <v>45359.0</v>
      </c>
      <c r="D112" s="99">
        <v>1.125125</v>
      </c>
    </row>
    <row r="113" ht="22.5" customHeight="1">
      <c r="A113" s="100" t="s">
        <v>128</v>
      </c>
      <c r="B113" s="101">
        <v>45322.0</v>
      </c>
      <c r="C113" s="101">
        <v>45352.0</v>
      </c>
      <c r="D113" s="102">
        <v>0.01765</v>
      </c>
    </row>
    <row r="114" ht="22.5" customHeight="1">
      <c r="A114" s="100"/>
      <c r="B114" s="101"/>
      <c r="C114" s="101"/>
      <c r="D114" s="102"/>
    </row>
    <row r="115" ht="22.5" customHeight="1">
      <c r="A115" s="97"/>
      <c r="B115" s="98"/>
      <c r="C115" s="98"/>
      <c r="D115" s="99"/>
    </row>
    <row r="116" ht="22.5" customHeight="1">
      <c r="A116" s="100"/>
      <c r="B116" s="101"/>
      <c r="C116" s="101"/>
      <c r="D116" s="102"/>
    </row>
    <row r="117" ht="22.5" customHeight="1">
      <c r="A117" s="105"/>
      <c r="B117" s="106"/>
      <c r="C117" s="106"/>
      <c r="D117" s="107"/>
    </row>
    <row r="118" ht="22.5" customHeight="1">
      <c r="A118" s="100"/>
      <c r="B118" s="101"/>
      <c r="C118" s="101"/>
      <c r="D118" s="102"/>
    </row>
    <row r="119" ht="22.5" customHeight="1">
      <c r="A119" s="97"/>
      <c r="B119" s="98"/>
      <c r="C119" s="98"/>
      <c r="D119" s="99"/>
    </row>
    <row r="120" ht="22.5" customHeight="1">
      <c r="A120" s="100"/>
      <c r="B120" s="101"/>
      <c r="C120" s="101"/>
      <c r="D120" s="102"/>
    </row>
    <row r="121" ht="22.5" customHeight="1">
      <c r="A121" s="97"/>
      <c r="B121" s="98"/>
      <c r="C121" s="98"/>
      <c r="D121" s="99"/>
    </row>
    <row r="122" ht="22.5" customHeight="1">
      <c r="A122" s="100"/>
      <c r="B122" s="101"/>
      <c r="C122" s="101"/>
      <c r="D122" s="102"/>
    </row>
    <row r="123" ht="22.5" customHeight="1">
      <c r="A123" s="97"/>
      <c r="B123" s="98"/>
      <c r="C123" s="98"/>
      <c r="D123" s="99"/>
    </row>
    <row r="127" ht="22.5" customHeight="1">
      <c r="A127" s="96" t="s">
        <v>65</v>
      </c>
      <c r="B127" s="96" t="s">
        <v>124</v>
      </c>
      <c r="C127" s="96" t="s">
        <v>125</v>
      </c>
      <c r="D127" s="96" t="s">
        <v>71</v>
      </c>
    </row>
    <row r="128" ht="22.5" customHeight="1">
      <c r="A128" s="97" t="s">
        <v>132</v>
      </c>
      <c r="B128" s="98">
        <v>46009.0</v>
      </c>
      <c r="C128" s="98">
        <v>46014.0</v>
      </c>
      <c r="D128" s="99">
        <v>0.02</v>
      </c>
    </row>
    <row r="129" ht="22.5" customHeight="1">
      <c r="A129" s="100" t="s">
        <v>128</v>
      </c>
      <c r="B129" s="101">
        <v>46000.0</v>
      </c>
      <c r="C129" s="101">
        <v>46087.0</v>
      </c>
      <c r="D129" s="102">
        <v>0.0182</v>
      </c>
    </row>
    <row r="130" ht="22.5" customHeight="1">
      <c r="A130" s="97" t="s">
        <v>82</v>
      </c>
      <c r="B130" s="98">
        <v>46000.0</v>
      </c>
      <c r="C130" s="98">
        <v>46010.0</v>
      </c>
      <c r="D130" s="99">
        <v>0.775364</v>
      </c>
    </row>
    <row r="131" ht="22.5" customHeight="1">
      <c r="A131" s="105" t="s">
        <v>128</v>
      </c>
      <c r="B131" s="106">
        <v>45989.0</v>
      </c>
      <c r="C131" s="106">
        <v>46024.0</v>
      </c>
      <c r="D131" s="107">
        <v>0.0235295</v>
      </c>
    </row>
    <row r="132" ht="22.5" customHeight="1">
      <c r="A132" s="97" t="s">
        <v>128</v>
      </c>
      <c r="B132" s="98">
        <v>45898.0</v>
      </c>
      <c r="C132" s="98">
        <v>45931.0</v>
      </c>
      <c r="D132" s="99">
        <v>0.023529</v>
      </c>
    </row>
    <row r="133" ht="22.5" customHeight="1">
      <c r="A133" s="100" t="s">
        <v>128</v>
      </c>
      <c r="B133" s="101">
        <v>45887.0</v>
      </c>
      <c r="C133" s="101">
        <v>45898.0</v>
      </c>
      <c r="D133" s="102">
        <v>0.1859</v>
      </c>
    </row>
    <row r="134" ht="22.5" customHeight="1">
      <c r="A134" s="97" t="s">
        <v>128</v>
      </c>
      <c r="B134" s="98">
        <v>45828.0</v>
      </c>
      <c r="C134" s="98">
        <v>45898.0</v>
      </c>
      <c r="D134" s="99">
        <v>0.0591</v>
      </c>
    </row>
    <row r="135" ht="22.5" customHeight="1">
      <c r="A135" s="100" t="s">
        <v>128</v>
      </c>
      <c r="B135" s="101">
        <v>45807.0</v>
      </c>
      <c r="C135" s="101">
        <v>45839.0</v>
      </c>
      <c r="D135" s="102">
        <v>0.0235295</v>
      </c>
    </row>
    <row r="136" ht="22.5" customHeight="1">
      <c r="A136" s="97" t="s">
        <v>128</v>
      </c>
      <c r="B136" s="98">
        <v>45716.0</v>
      </c>
      <c r="C136" s="98">
        <v>45748.0</v>
      </c>
      <c r="D136" s="99">
        <v>0.0235295</v>
      </c>
    </row>
    <row r="137" ht="22.5" customHeight="1">
      <c r="A137" s="100" t="s">
        <v>128</v>
      </c>
      <c r="B137" s="101">
        <v>45716.0</v>
      </c>
      <c r="C137" s="101">
        <v>45748.0</v>
      </c>
      <c r="D137" s="102">
        <v>0.0235295</v>
      </c>
    </row>
    <row r="138" ht="22.5" customHeight="1">
      <c r="A138" s="97" t="s">
        <v>128</v>
      </c>
      <c r="B138" s="98">
        <v>45705.0</v>
      </c>
      <c r="C138" s="98">
        <v>45723.0</v>
      </c>
      <c r="D138" s="99">
        <v>0.1011</v>
      </c>
    </row>
    <row r="139" ht="22.5" customHeight="1">
      <c r="A139" s="100" t="s">
        <v>82</v>
      </c>
      <c r="B139" s="101">
        <v>45705.0</v>
      </c>
      <c r="C139" s="101">
        <v>45723.0</v>
      </c>
      <c r="D139" s="102">
        <v>0.40815</v>
      </c>
    </row>
    <row r="140" ht="22.5" customHeight="1">
      <c r="A140" s="97" t="s">
        <v>82</v>
      </c>
      <c r="B140" s="98">
        <v>45705.0</v>
      </c>
      <c r="C140" s="98">
        <v>45769.0</v>
      </c>
      <c r="D140" s="99">
        <v>0.09224</v>
      </c>
    </row>
    <row r="141" ht="22.5" customHeight="1">
      <c r="A141" s="105" t="s">
        <v>128</v>
      </c>
      <c r="B141" s="106">
        <v>45637.0</v>
      </c>
      <c r="C141" s="106">
        <v>45723.0</v>
      </c>
      <c r="D141" s="107">
        <v>0.0581</v>
      </c>
    </row>
    <row r="142" ht="22.5" customHeight="1">
      <c r="A142" s="97" t="s">
        <v>132</v>
      </c>
      <c r="B142" s="98">
        <v>45628.0</v>
      </c>
      <c r="C142" s="98">
        <v>45630.0</v>
      </c>
      <c r="D142" s="99">
        <v>0.05</v>
      </c>
    </row>
    <row r="143" ht="22.5" customHeight="1">
      <c r="A143" s="100" t="s">
        <v>128</v>
      </c>
      <c r="B143" s="101">
        <v>45625.0</v>
      </c>
      <c r="C143" s="101">
        <v>45659.0</v>
      </c>
      <c r="D143" s="102">
        <v>0.0235295</v>
      </c>
    </row>
    <row r="144" ht="22.5" customHeight="1">
      <c r="A144" s="97" t="s">
        <v>128</v>
      </c>
      <c r="B144" s="98">
        <v>45554.0</v>
      </c>
      <c r="C144" s="98">
        <v>45723.0</v>
      </c>
      <c r="D144" s="99">
        <v>0.0484</v>
      </c>
    </row>
    <row r="145" ht="22.5" customHeight="1">
      <c r="A145" s="100" t="s">
        <v>128</v>
      </c>
      <c r="B145" s="101">
        <v>45534.0</v>
      </c>
      <c r="C145" s="101">
        <v>45566.0</v>
      </c>
      <c r="D145" s="102">
        <v>0.0235295</v>
      </c>
    </row>
    <row r="146" ht="22.5" customHeight="1">
      <c r="A146" s="97" t="s">
        <v>128</v>
      </c>
      <c r="B146" s="98">
        <v>45463.0</v>
      </c>
      <c r="C146" s="98">
        <v>45534.0</v>
      </c>
      <c r="D146" s="99">
        <v>0.0946</v>
      </c>
    </row>
    <row r="147" ht="22.5" customHeight="1">
      <c r="A147" s="100" t="s">
        <v>128</v>
      </c>
      <c r="B147" s="101">
        <v>45443.0</v>
      </c>
      <c r="C147" s="101">
        <v>45474.0</v>
      </c>
      <c r="D147" s="102">
        <v>0.0235295</v>
      </c>
    </row>
    <row r="148" ht="22.5" customHeight="1">
      <c r="A148" s="97" t="s">
        <v>128</v>
      </c>
      <c r="B148" s="98">
        <v>45372.0</v>
      </c>
      <c r="C148" s="98">
        <v>45534.0</v>
      </c>
      <c r="D148" s="99">
        <v>0.07</v>
      </c>
    </row>
    <row r="149" ht="22.5" customHeight="1">
      <c r="A149" s="100" t="s">
        <v>128</v>
      </c>
      <c r="B149" s="101">
        <v>45351.0</v>
      </c>
      <c r="C149" s="101">
        <v>45383.0</v>
      </c>
      <c r="D149" s="102">
        <v>0.0235295</v>
      </c>
    </row>
    <row r="150" ht="22.5" customHeight="1">
      <c r="A150" s="105" t="s">
        <v>82</v>
      </c>
      <c r="B150" s="106">
        <v>45344.0</v>
      </c>
      <c r="C150" s="106">
        <v>45359.0</v>
      </c>
      <c r="D150" s="107">
        <v>0.3005</v>
      </c>
    </row>
    <row r="151" ht="22.5" customHeight="1">
      <c r="A151" s="97"/>
      <c r="B151" s="98"/>
      <c r="C151" s="98"/>
      <c r="D151" s="99"/>
    </row>
    <row r="152" ht="22.5" customHeight="1">
      <c r="A152" s="100"/>
      <c r="B152" s="101"/>
      <c r="C152" s="101"/>
      <c r="D152" s="102"/>
    </row>
    <row r="153" ht="22.5" customHeight="1">
      <c r="A153" s="97"/>
      <c r="B153" s="98"/>
      <c r="C153" s="98"/>
      <c r="D153" s="99"/>
    </row>
    <row r="154" ht="22.5" customHeight="1">
      <c r="A154" s="105"/>
      <c r="B154" s="106"/>
      <c r="C154" s="106"/>
      <c r="D154" s="107"/>
    </row>
    <row r="155" ht="22.5" customHeight="1">
      <c r="A155" s="97"/>
      <c r="B155" s="98"/>
      <c r="C155" s="98"/>
      <c r="D155" s="99"/>
    </row>
    <row r="156" ht="22.5" customHeight="1">
      <c r="A156" s="100"/>
      <c r="B156" s="101"/>
      <c r="C156" s="101"/>
      <c r="D156" s="102"/>
    </row>
    <row r="157" ht="22.5" customHeight="1">
      <c r="A157" s="97"/>
      <c r="B157" s="98"/>
      <c r="C157" s="98"/>
      <c r="D157" s="99"/>
    </row>
    <row r="158" ht="22.5" customHeight="1">
      <c r="A158" s="100"/>
      <c r="B158" s="101"/>
      <c r="C158" s="101"/>
      <c r="D158" s="102"/>
    </row>
    <row r="159" ht="22.5" customHeight="1">
      <c r="A159" s="97"/>
      <c r="B159" s="98"/>
      <c r="C159" s="98"/>
      <c r="D159" s="99"/>
    </row>
    <row r="160" ht="22.5" customHeight="1">
      <c r="A160" s="105"/>
      <c r="B160" s="106"/>
      <c r="C160" s="106"/>
      <c r="D160" s="107"/>
    </row>
    <row r="161" ht="22.5" customHeight="1">
      <c r="A161" s="97"/>
      <c r="B161" s="98"/>
      <c r="C161" s="98"/>
      <c r="D161" s="99"/>
    </row>
    <row r="162" ht="22.5" customHeight="1">
      <c r="A162" s="100"/>
      <c r="B162" s="101"/>
      <c r="C162" s="101"/>
      <c r="D162" s="102"/>
    </row>
    <row r="163" ht="22.5" customHeight="1">
      <c r="A163" s="97"/>
      <c r="B163" s="98"/>
      <c r="C163" s="98"/>
      <c r="D163" s="99"/>
    </row>
    <row r="164" ht="22.5" customHeight="1">
      <c r="A164" s="100"/>
      <c r="B164" s="101"/>
      <c r="C164" s="101"/>
      <c r="D164" s="102"/>
    </row>
    <row r="165" ht="22.5" customHeight="1">
      <c r="A165" s="100"/>
      <c r="B165" s="101"/>
      <c r="C165" s="101"/>
      <c r="D165" s="102"/>
    </row>
    <row r="166" ht="22.5" customHeight="1">
      <c r="A166" s="97"/>
      <c r="B166" s="98"/>
      <c r="C166" s="98"/>
      <c r="D166" s="99"/>
    </row>
    <row r="167" ht="22.5" customHeight="1">
      <c r="A167" s="100"/>
      <c r="B167" s="101"/>
      <c r="C167" s="101"/>
      <c r="D167" s="102"/>
    </row>
    <row r="168" ht="22.5" customHeight="1">
      <c r="A168" s="105"/>
      <c r="B168" s="106"/>
      <c r="C168" s="106"/>
      <c r="D168" s="107"/>
    </row>
    <row r="169" ht="22.5" customHeight="1">
      <c r="A169" s="100"/>
      <c r="B169" s="101"/>
      <c r="C169" s="101"/>
      <c r="D169" s="102"/>
    </row>
    <row r="170" ht="22.5" customHeight="1">
      <c r="A170" s="97"/>
      <c r="B170" s="98"/>
      <c r="C170" s="98"/>
      <c r="D170" s="99"/>
    </row>
    <row r="171" ht="22.5" customHeight="1">
      <c r="A171" s="100"/>
      <c r="B171" s="101"/>
      <c r="C171" s="101"/>
      <c r="D171" s="102"/>
    </row>
    <row r="172" ht="22.5" customHeight="1">
      <c r="A172" s="97"/>
      <c r="B172" s="98"/>
      <c r="C172" s="98"/>
      <c r="D172" s="99"/>
    </row>
    <row r="173" ht="22.5" customHeight="1">
      <c r="A173" s="100"/>
      <c r="B173" s="101"/>
      <c r="C173" s="101"/>
      <c r="D173" s="102"/>
    </row>
    <row r="174" ht="22.5" customHeight="1">
      <c r="A174" s="97"/>
      <c r="B174" s="98"/>
      <c r="C174" s="98"/>
      <c r="D174" s="99"/>
    </row>
  </sheetData>
  <dataValidations>
    <dataValidation type="custom" allowBlank="1" showDropDown="1" sqref="B48:C56 G48:H56 L48:M63 B60:C73 L67:M75 L79:M86 G60:H92 G96:H100 L90:M105 G104:H109 B77:C123 B128:C174">
      <formula1>OR(NOT(ISERROR(DATEVALUE(B48))), AND(ISNUMBER(B48), LEFT(CELL("format", B48))="D"))</formula1>
    </dataValidation>
    <dataValidation type="custom" allowBlank="1" showDropDown="1" sqref="J3:J6 J19:K22 F19:G22 B19:C22 J26:K29 B26:C29 F26:G29 J33:K36 B33:C36 F33:G36 J40:K43 B40:C43 F40:G43">
      <formula1>AND(ISNUMBER(B3),(NOT(OR(NOT(ISERROR(DATEVALUE(B3))), AND(ISNUMBER(B3), LEFT(CELL("format", B3))="D")))))</formula1>
    </dataValidation>
  </dataValidations>
  <drawing r:id="rId1"/>
  <tableParts count="39"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16.38"/>
    <col customWidth="1" min="4" max="4" width="17.88"/>
    <col customWidth="1" min="5" max="5" width="21.75"/>
    <col customWidth="1" min="6" max="6" width="22.88"/>
    <col customWidth="1" min="7" max="7" width="16.63"/>
    <col customWidth="1" min="8" max="8" width="21.38"/>
    <col customWidth="1" min="9" max="9" width="23.25"/>
    <col customWidth="1" min="10" max="10" width="17.38"/>
    <col customWidth="1" min="11" max="11" width="18.63"/>
    <col customWidth="1" min="12" max="12" width="18.0"/>
    <col customWidth="1" min="13" max="13" width="15.25"/>
    <col customWidth="1" min="14" max="14" width="16.75"/>
    <col customWidth="1" min="15" max="15" width="15.25"/>
    <col customWidth="1" min="16" max="16" width="16.5"/>
    <col customWidth="1" min="18" max="18" width="23.63"/>
    <col customWidth="1" min="19" max="19" width="20.25"/>
    <col customWidth="1" min="20" max="20" width="18.0"/>
    <col customWidth="1" min="21" max="21" width="17.5"/>
  </cols>
  <sheetData>
    <row r="2" ht="22.5" customHeight="1">
      <c r="A2" s="1" t="s">
        <v>0</v>
      </c>
      <c r="B2" s="1" t="s">
        <v>1</v>
      </c>
      <c r="C2" s="1" t="s">
        <v>3</v>
      </c>
      <c r="D2" s="1" t="s">
        <v>4</v>
      </c>
      <c r="E2" s="2" t="s">
        <v>5</v>
      </c>
      <c r="F2" s="3" t="s">
        <v>6</v>
      </c>
      <c r="G2" s="3" t="s">
        <v>9</v>
      </c>
      <c r="H2" s="5"/>
      <c r="I2" s="1" t="s">
        <v>13</v>
      </c>
      <c r="J2" s="1" t="s">
        <v>15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 ht="22.5" customHeight="1">
      <c r="A3" s="7" t="s">
        <v>20</v>
      </c>
      <c r="B3" s="9" t="e">
        <v>#NUM!</v>
      </c>
      <c r="C3" s="10">
        <v>0.0</v>
      </c>
      <c r="D3" s="9">
        <v>0.0806</v>
      </c>
      <c r="E3" s="10">
        <v>3846.52</v>
      </c>
      <c r="F3" s="11">
        <v>46255.82716526621</v>
      </c>
      <c r="G3" s="13">
        <v>47253.0</v>
      </c>
      <c r="H3" s="5"/>
      <c r="I3" s="14" t="s">
        <v>24</v>
      </c>
      <c r="J3" s="15">
        <v>0.139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 ht="22.5" customHeight="1">
      <c r="A4" s="12" t="s">
        <v>25</v>
      </c>
      <c r="B4" s="9">
        <v>0.0796</v>
      </c>
      <c r="C4" s="10">
        <v>3007.31</v>
      </c>
      <c r="D4" s="9">
        <v>0.0808</v>
      </c>
      <c r="E4" s="10">
        <v>2987.53</v>
      </c>
      <c r="F4" s="11">
        <v>46255.82716526621</v>
      </c>
      <c r="G4" s="13">
        <v>48441.0</v>
      </c>
      <c r="H4" s="5"/>
      <c r="I4" s="14" t="s">
        <v>28</v>
      </c>
      <c r="J4" s="15">
        <v>0.0444302461783459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 ht="22.5" customHeight="1">
      <c r="A5" s="12" t="s">
        <v>29</v>
      </c>
      <c r="B5" s="9">
        <v>0.07490000000000001</v>
      </c>
      <c r="C5" s="10">
        <v>1737.24</v>
      </c>
      <c r="D5" s="9">
        <v>0.0761</v>
      </c>
      <c r="E5" s="10">
        <v>1710.51</v>
      </c>
      <c r="F5" s="11">
        <v>46255.82716526621</v>
      </c>
      <c r="G5" s="13">
        <v>51363.0</v>
      </c>
      <c r="H5" s="5"/>
      <c r="I5" s="19" t="s">
        <v>32</v>
      </c>
      <c r="J5" s="21">
        <f>(1+J3)/(1+(J4+0.0025))-1 </f>
        <v>0.08794258658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 ht="22.5" customHeight="1">
      <c r="A6" s="12" t="s">
        <v>35</v>
      </c>
      <c r="B6" s="9">
        <v>0.07139999999999999</v>
      </c>
      <c r="C6" s="10">
        <v>186.18</v>
      </c>
      <c r="D6" s="9">
        <v>0.0726</v>
      </c>
      <c r="E6" s="10">
        <v>176.87</v>
      </c>
      <c r="F6" s="11">
        <v>46255.82716526621</v>
      </c>
      <c r="G6" s="13">
        <v>67556.0</v>
      </c>
      <c r="H6" s="5"/>
      <c r="K6" s="5"/>
      <c r="L6" s="5"/>
      <c r="M6" s="5"/>
      <c r="N6" s="5"/>
      <c r="O6" s="5"/>
      <c r="P6" s="5"/>
      <c r="Q6" s="5"/>
      <c r="R6" s="5"/>
      <c r="S6" s="5"/>
      <c r="T6" s="5"/>
    </row>
    <row r="7" ht="22.5" customHeight="1">
      <c r="A7" s="12" t="s">
        <v>38</v>
      </c>
      <c r="B7" s="9" t="e">
        <v>#NUM!</v>
      </c>
      <c r="C7" s="10">
        <v>19657.2</v>
      </c>
      <c r="D7" s="9" t="e">
        <v>#NUM!</v>
      </c>
      <c r="E7" s="10">
        <v>19648.4</v>
      </c>
      <c r="F7" s="11">
        <v>46255.82716526621</v>
      </c>
      <c r="G7" s="13">
        <v>47908.0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P8" s="5"/>
      <c r="Q8" s="5"/>
      <c r="R8" s="5"/>
      <c r="S8" s="5"/>
      <c r="T8" s="5"/>
    </row>
    <row r="9">
      <c r="P9" s="5"/>
      <c r="Q9" s="5"/>
      <c r="R9" s="5"/>
      <c r="S9" s="5"/>
      <c r="T9" s="5"/>
    </row>
  </sheetData>
  <dataValidations>
    <dataValidation type="custom" allowBlank="1" showDropDown="1" sqref="F3:F7">
      <formula1>OR(NOT(ISERROR(DATEVALUE(F3))), AND(ISNUMBER(F3), LEFT(CELL("format", F3))="D"))</formula1>
    </dataValidation>
    <dataValidation type="custom" allowBlank="1" showDropDown="1" sqref="B3:E7">
      <formula1>AND(ISNUMBER(B3),(NOT(OR(NOT(ISERROR(DATEVALUE(B3))), AND(ISNUMBER(B3), LEFT(CELL("format", B3))="D")))))</formula1>
    </dataValidation>
  </dataValidation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0.13"/>
    <col customWidth="1" min="7" max="7" width="25.13"/>
    <col customWidth="1" min="11" max="11" width="16.5"/>
    <col customWidth="1" min="12" max="12" width="20.0"/>
  </cols>
  <sheetData>
    <row r="2">
      <c r="L2" s="6" t="s">
        <v>69</v>
      </c>
      <c r="M2" s="45" t="s">
        <v>70</v>
      </c>
      <c r="N2" s="45" t="s">
        <v>71</v>
      </c>
    </row>
    <row r="3" ht="22.5" customHeight="1">
      <c r="A3" s="46" t="s">
        <v>69</v>
      </c>
      <c r="B3" s="46" t="s">
        <v>72</v>
      </c>
      <c r="C3" s="46" t="s">
        <v>73</v>
      </c>
      <c r="D3" s="46" t="s">
        <v>74</v>
      </c>
      <c r="E3" s="46" t="s">
        <v>75</v>
      </c>
      <c r="F3" s="48" t="s">
        <v>76</v>
      </c>
      <c r="G3" s="49" t="s">
        <v>77</v>
      </c>
      <c r="H3" s="46" t="s">
        <v>78</v>
      </c>
      <c r="I3" s="50" t="s">
        <v>79</v>
      </c>
      <c r="J3" s="50" t="s">
        <v>80</v>
      </c>
      <c r="K3" s="50" t="s">
        <v>81</v>
      </c>
      <c r="L3" s="45" t="str">
        <f>IFERROR(__xludf.DUMMYFUNCTION("IFERROR(
  FILTER({
    ARRAYFORMULA(
      Aporte_Mensal[Ticker] &amp; 
      ""("" &amp; Aporte_Mensal[QTD_Compra] &amp; "" "" &amp; 
      TEXT(Aporte_Mensal[% Somada], ""##0.00%"") &amp; "")""
    ),
    Aporte_Mensal[QTD_Compra],
    Aporte_Mensal[Valor_Total]
  },
  Ap"&amp;"orte_Mensal[QTD_Compra]&gt;0),
  {""📉 Sem aportes (0x 0.00%)"",0,1}
)
"),"📉 Sem aportes (0x 0.00%)")</f>
        <v>📉 Sem aportes (0x 0.00%)</v>
      </c>
      <c r="M3" s="45">
        <f>IFERROR(__xludf.DUMMYFUNCTION("""COMPUTED_VALUE"""),0.0)</f>
        <v>0</v>
      </c>
      <c r="N3" s="45">
        <f>IFERROR(__xludf.DUMMYFUNCTION("""COMPUTED_VALUE"""),1.0)</f>
        <v>1</v>
      </c>
    </row>
    <row r="4" ht="22.5" customHeight="1">
      <c r="A4" s="52" t="s">
        <v>30</v>
      </c>
      <c r="B4" s="60" t="str">
        <f t="array" ref="B4">IFERROR(IF(AND(
  INDEX(Ações_Nacionais[], MATCH(A4, Ações_Nacionais[Ação], 0), MATCH(Ações_Nacionais[[#HEADERS],[Preço mercado]], Ações_Nacionais[#HEADERS], 0)) &lt; 
  INDEX(Ações_Nacionais[], MATCH(A4, Ações_Nacionais[Ação], 0), MATCH(Ações_Nacionais[[#HEADERS],[Bazin]], Ações_Nacionais[#HEADERS], 0)),
), "SIM", "NÃO"), "")
</f>
        <v>NÃO</v>
      </c>
      <c r="C4" s="66">
        <f t="array" ref="C4">IFERROR(INDEX(Ações_Nacionais[], MATCH(A4, Ações_Nacionais[Ação], 0), MATCH(Ações_Nacionais[[#HEADERS],[Peso]], Ações_Nacionais[#HEADERS], 0)), "")
</f>
        <v>0.01381251341</v>
      </c>
      <c r="D4" s="20">
        <f t="array" ref="D4">IFERROR(INDEX(Ações_Nacionais[], MATCH(A4, Ações_Nacionais[Ação], 0), MATCH(Ações_Nacionais[[#HEADERS],[Peso Ideal]], Ações_Nacionais[#HEADERS], 0)), "")
</f>
        <v>0.0375</v>
      </c>
      <c r="E4" s="72">
        <f t="shared" ref="E4:E14" si="1">IF(AND(B4="SIM", C4&lt;D4), D4-C4, 0)</f>
        <v>0</v>
      </c>
      <c r="F4" s="77">
        <f t="array" ref="F4">IFERROR(INDEX(Ações_Nacionais[], MATCH(A4, Ações_Nacionais[Ação], 0), 4), "")</f>
        <v>10</v>
      </c>
      <c r="G4" s="72">
        <f>IF(AND(B4="SIM", E4&gt;0), (E4 * F4) / SUMPRODUCT((Aporte_Mensal[Está barato?]="SIM") * (Aporte_Mensal[Diferença]) * (Aporte_Mensal[Nota])), 0)</f>
        <v>0</v>
      </c>
      <c r="H4" s="18">
        <f>G4*HOME!$S$8</f>
        <v>0</v>
      </c>
      <c r="I4" s="83">
        <f t="array" ref="I4">INT(H4 / INDEX(Ações_Nacionais[], MATCH(A4, Ações_Nacionais[Ação], 0), MATCH(Ações_Nacionais[[#HEADERS],[Preço mercado]], Ações_Nacionais[#HEADERS], 0)))</f>
        <v>0</v>
      </c>
      <c r="J4" s="85">
        <f t="array" ref="J4">I4 * INDEX(Ações_Nacionais[], MATCH(A4, Ações_Nacionais[Ação], 0), MATCH(Ações_Nacionais[[#HEADERS],[Preço mercado]], Ações_Nacionais[#HEADERS], 0))
</f>
        <v>0</v>
      </c>
      <c r="K4" s="86">
        <f>((J4/HOME!$B$9)+C4)</f>
        <v>0.01381251341</v>
      </c>
    </row>
    <row r="5" ht="22.5" customHeight="1">
      <c r="A5" s="52" t="s">
        <v>23</v>
      </c>
      <c r="B5" s="60" t="str">
        <f t="array" ref="B5">IFERROR(IF(AND(
  INDEX(Ações_Nacionais[], MATCH(A5, Ações_Nacionais[Ação], 0), MATCH(Ações_Nacionais[[#HEADERS],[Preço mercado]], Ações_Nacionais[#HEADERS], 0)) &lt; 
  INDEX(Ações_Nacionais[], MATCH(A5, Ações_Nacionais[Ação], 0), MATCH(Ações_Nacionais[[#HEADERS],[Bazin]], Ações_Nacionais[#HEADERS], 0)),
), "SIM", "NÃO"), "")
</f>
        <v>NÃO</v>
      </c>
      <c r="C5" s="66">
        <f t="array" ref="C5">IFERROR(INDEX(Ações_Nacionais[], MATCH(A5, Ações_Nacionais[Ação], 0), MATCH(Ações_Nacionais[[#HEADERS],[Peso]], Ações_Nacionais[#HEADERS], 0)), "")
</f>
        <v>0.02787234799</v>
      </c>
      <c r="D5" s="20">
        <f t="array" ref="D5">IFERROR(INDEX(Ações_Nacionais[], MATCH(A5, Ações_Nacionais[Ação], 0), MATCH(Ações_Nacionais[[#HEADERS],[Peso Ideal]], Ações_Nacionais[#HEADERS], 0)), "")
</f>
        <v>0.0375</v>
      </c>
      <c r="E5" s="72">
        <f t="shared" si="1"/>
        <v>0</v>
      </c>
      <c r="F5" s="77">
        <f t="array" ref="F5">IFERROR(INDEX(Ações_Nacionais[], MATCH(A5, Ações_Nacionais[Ação], 0), 4), "")</f>
        <v>10</v>
      </c>
      <c r="G5" s="72">
        <f>IF(AND(B5="SIM", E5&gt;0), (E5 * F5) / SUMPRODUCT((Aporte_Mensal[Está barato?]="SIM") * (Aporte_Mensal[Diferença]) * (Aporte_Mensal[Nota])), 0)</f>
        <v>0</v>
      </c>
      <c r="H5" s="18">
        <f>G5*HOME!$S$8</f>
        <v>0</v>
      </c>
      <c r="I5" s="83">
        <f t="array" ref="I5">INT(H5 / INDEX(Ações_Nacionais[], MATCH(A5, Ações_Nacionais[Ação], 0), MATCH(Ações_Nacionais[[#HEADERS],[Preço mercado]], Ações_Nacionais[#HEADERS], 0)))</f>
        <v>0</v>
      </c>
      <c r="J5" s="85">
        <f t="array" ref="J5">I5 * INDEX(Ações_Nacionais[], MATCH(A5, Ações_Nacionais[Ação], 0), MATCH(Ações_Nacionais[[#HEADERS],[Preço mercado]], Ações_Nacionais[#HEADERS], 0))
</f>
        <v>0</v>
      </c>
      <c r="K5" s="86">
        <f>((J5/HOME!$B$9)+C5)</f>
        <v>0.02787234799</v>
      </c>
    </row>
    <row r="6" ht="22.5" customHeight="1">
      <c r="A6" s="52" t="s">
        <v>54</v>
      </c>
      <c r="B6" s="60" t="str">
        <f t="array" ref="B6">IFERROR(IF(AND(
  INDEX(Ações_Nacionais[], MATCH(A6, Ações_Nacionais[Ação], 0), MATCH(Ações_Nacionais[[#HEADERS],[Preço mercado]], Ações_Nacionais[#HEADERS], 0)) &lt; 
  INDEX(Ações_Nacionais[], MATCH(A6, Ações_Nacionais[Ação], 0), MATCH(Ações_Nacionais[[#HEADERS],[Bazin]], Ações_Nacionais[#HEADERS], 0)),
), "SIM", "NÃO"), "")
</f>
        <v>NÃO</v>
      </c>
      <c r="C6" s="66">
        <f t="array" ref="C6">IFERROR(INDEX(Ações_Nacionais[], MATCH(A6, Ações_Nacionais[Ação], 0), MATCH(Ações_Nacionais[[#HEADERS],[Peso]], Ações_Nacionais[#HEADERS], 0)), "")
</f>
        <v>0.05623184378</v>
      </c>
      <c r="D6" s="20">
        <f t="array" ref="D6">IFERROR(INDEX(Ações_Nacionais[], MATCH(A6, Ações_Nacionais[Ação], 0), MATCH(Ações_Nacionais[[#HEADERS],[Peso Ideal]], Ações_Nacionais[#HEADERS], 0)), "")
</f>
        <v>0.0375</v>
      </c>
      <c r="E6" s="72">
        <f t="shared" si="1"/>
        <v>0</v>
      </c>
      <c r="F6" s="77">
        <f t="array" ref="F6">IFERROR(INDEX(Ações_Nacionais[], MATCH(A6, Ações_Nacionais[Ação], 0), 4), "")</f>
        <v>10</v>
      </c>
      <c r="G6" s="72">
        <f>IF(AND(B6="SIM", E6&gt;0), (E6 * F6) / SUMPRODUCT((Aporte_Mensal[Está barato?]="SIM") * (Aporte_Mensal[Diferença]) * (Aporte_Mensal[Nota])), 0)</f>
        <v>0</v>
      </c>
      <c r="H6" s="18">
        <f>G6*HOME!$S$8</f>
        <v>0</v>
      </c>
      <c r="I6" s="83">
        <f t="array" ref="I6">INT(H6 / INDEX(Ações_Nacionais[], MATCH(A6, Ações_Nacionais[Ação], 0), MATCH(Ações_Nacionais[[#HEADERS],[Preço mercado]], Ações_Nacionais[#HEADERS], 0)))</f>
        <v>0</v>
      </c>
      <c r="J6" s="85">
        <f t="array" ref="J6">I6 * INDEX(Ações_Nacionais[], MATCH(A6, Ações_Nacionais[Ação], 0), MATCH(Ações_Nacionais[[#HEADERS],[Preço mercado]], Ações_Nacionais[#HEADERS], 0))
</f>
        <v>0</v>
      </c>
      <c r="K6" s="86">
        <f>((J6/HOME!$B$9)+C6)</f>
        <v>0.05623184378</v>
      </c>
    </row>
    <row r="7" ht="22.5" customHeight="1">
      <c r="A7" s="95" t="s">
        <v>47</v>
      </c>
      <c r="B7" s="60" t="str">
        <f t="array" ref="B7">IFERROR(IF(AND(
  INDEX(Ações_Nacionais[], MATCH(A7, Ações_Nacionais[Ação], 0), MATCH(Ações_Nacionais[[#HEADERS],[Preço mercado]], Ações_Nacionais[#HEADERS], 0)) &lt; 
  INDEX(Ações_Nacionais[], MATCH(A7, Ações_Nacionais[Ação], 0), MATCH(Ações_Nacionais[[#HEADERS],[Bazin]], Ações_Nacionais[#HEADERS], 0)),
), "SIM", "NÃO"), "")
</f>
        <v>NÃO</v>
      </c>
      <c r="C7" s="66">
        <f t="array" ref="C7">IFERROR(INDEX(Ações_Nacionais[], MATCH(A7, Ações_Nacionais[Ação], 0), MATCH(Ações_Nacionais[[#HEADERS],[Peso]], Ações_Nacionais[#HEADERS], 0)), "")
</f>
        <v>0.02815714209</v>
      </c>
      <c r="D7" s="20">
        <f t="array" ref="D7">IFERROR(INDEX(Ações_Nacionais[], MATCH(A7, Ações_Nacionais[Ação], 0), MATCH(Ações_Nacionais[[#HEADERS],[Peso Ideal]], Ações_Nacionais[#HEADERS], 0)), "")
</f>
        <v>0.0375</v>
      </c>
      <c r="E7" s="72">
        <f t="shared" si="1"/>
        <v>0</v>
      </c>
      <c r="F7" s="77">
        <f t="array" ref="F7">IFERROR(INDEX(Ações_Nacionais[], MATCH(A7, Ações_Nacionais[Ação], 0), 4), "")</f>
        <v>10</v>
      </c>
      <c r="G7" s="72">
        <f>IF(AND(B7="SIM", E7&gt;0), (E7 * F7) / SUMPRODUCT((Aporte_Mensal[Está barato?]="SIM") * (Aporte_Mensal[Diferença]) * (Aporte_Mensal[Nota])), 0)</f>
        <v>0</v>
      </c>
      <c r="H7" s="18">
        <f>G7*HOME!$S$8</f>
        <v>0</v>
      </c>
      <c r="I7" s="83">
        <f t="array" ref="I7">INT(H7 / INDEX(Ações_Nacionais[], MATCH(A7, Ações_Nacionais[Ação], 0), MATCH(Ações_Nacionais[[#HEADERS],[Preço mercado]], Ações_Nacionais[#HEADERS], 0)))</f>
        <v>0</v>
      </c>
      <c r="J7" s="85">
        <f t="array" ref="J7">I7 * INDEX(Ações_Nacionais[], MATCH(A7, Ações_Nacionais[Ação], 0), MATCH(Ações_Nacionais[[#HEADERS],[Preço mercado]], Ações_Nacionais[#HEADERS], 0))
</f>
        <v>0</v>
      </c>
      <c r="K7" s="86">
        <f>((J7/HOME!$B$9)+C7)</f>
        <v>0.02815714209</v>
      </c>
    </row>
    <row r="8" ht="22.5" customHeight="1">
      <c r="A8" s="95" t="s">
        <v>34</v>
      </c>
      <c r="B8" s="60" t="str">
        <f t="array" ref="B8">IFERROR(IF(AND(
  INDEX(Ações_Nacionais[], MATCH(A8, Ações_Nacionais[Ação], 0), MATCH(Ações_Nacionais[[#HEADERS],[Preço mercado]], Ações_Nacionais[#HEADERS], 0)) &lt; 
  INDEX(Ações_Nacionais[], MATCH(A8, Ações_Nacionais[Ação], 0), MATCH(Ações_Nacionais[[#HEADERS],[Bazin]], Ações_Nacionais[#HEADERS], 0)),
), "SIM", "NÃO"), "")
</f>
        <v>NÃO</v>
      </c>
      <c r="C8" s="66">
        <f t="array" ref="C8">IFERROR(INDEX(Ações_Nacionais[], MATCH(A8, Ações_Nacionais[Ação], 0), MATCH(Ações_Nacionais[[#HEADERS],[Peso]], Ações_Nacionais[#HEADERS], 0)), "")
</f>
        <v>0.03102007216</v>
      </c>
      <c r="D8" s="20">
        <f t="array" ref="D8">IFERROR(INDEX(Ações_Nacionais[], MATCH(A8, Ações_Nacionais[Ação], 0), MATCH(Ações_Nacionais[[#HEADERS],[Peso Ideal]], Ações_Nacionais[#HEADERS], 0)), "")
</f>
        <v>0.0375</v>
      </c>
      <c r="E8" s="72">
        <f t="shared" si="1"/>
        <v>0</v>
      </c>
      <c r="F8" s="77">
        <f t="array" ref="F8">IFERROR(INDEX(Ações_Nacionais[], MATCH(A8, Ações_Nacionais[Ação], 0), 4), "")</f>
        <v>10</v>
      </c>
      <c r="G8" s="72">
        <f>IF(AND(B8="SIM", E8&gt;0), (E8 * F8) / SUMPRODUCT((Aporte_Mensal[Está barato?]="SIM") * (Aporte_Mensal[Diferença]) * (Aporte_Mensal[Nota])), 0)</f>
        <v>0</v>
      </c>
      <c r="H8" s="18">
        <f>G8*HOME!$S$8</f>
        <v>0</v>
      </c>
      <c r="I8" s="83">
        <f t="array" ref="I8">INT(H8 / INDEX(Ações_Nacionais[], MATCH(A8, Ações_Nacionais[Ação], 0), MATCH(Ações_Nacionais[[#HEADERS],[Preço mercado]], Ações_Nacionais[#HEADERS], 0)))</f>
        <v>0</v>
      </c>
      <c r="J8" s="85">
        <f t="array" ref="J8">I8 * INDEX(Ações_Nacionais[], MATCH(A8, Ações_Nacionais[Ação], 0), MATCH(Ações_Nacionais[[#HEADERS],[Preço mercado]], Ações_Nacionais[#HEADERS], 0))
</f>
        <v>0</v>
      </c>
      <c r="K8" s="86">
        <f>((J8/HOME!$B$9)+C8)</f>
        <v>0.03102007216</v>
      </c>
    </row>
    <row r="9" ht="22.5" customHeight="1">
      <c r="A9" s="95" t="s">
        <v>56</v>
      </c>
      <c r="B9" s="60" t="str">
        <f t="array" ref="B9">IFERROR(IF(AND(
  INDEX(Ações_Nacionais[], MATCH(A9, Ações_Nacionais[Ação], 0), MATCH(Ações_Nacionais[[#HEADERS],[Preço mercado]], Ações_Nacionais[#HEADERS], 0)) &lt; 
  INDEX(Ações_Nacionais[], MATCH(A9, Ações_Nacionais[Ação], 0), MATCH(Ações_Nacionais[[#HEADERS],[Bazin]], Ações_Nacionais[#HEADERS], 0)),
), "SIM", "NÃO"), "")
</f>
        <v>NÃO</v>
      </c>
      <c r="C9" s="66">
        <f t="array" ref="C9">IFERROR(INDEX(Ações_Nacionais[], MATCH(A9, Ações_Nacionais[Ação], 0), MATCH(Ações_Nacionais[[#HEADERS],[Peso]], Ações_Nacionais[#HEADERS], 0)), "")
</f>
        <v>0.03320099533</v>
      </c>
      <c r="D9" s="20">
        <f t="array" ref="D9">IFERROR(INDEX(Ações_Nacionais[], MATCH(A9, Ações_Nacionais[Ação], 0), MATCH(Ações_Nacionais[[#HEADERS],[Peso Ideal]], Ações_Nacionais[#HEADERS], 0)), "")
</f>
        <v>0.0375</v>
      </c>
      <c r="E9" s="72">
        <f t="shared" si="1"/>
        <v>0</v>
      </c>
      <c r="F9" s="77">
        <f t="array" ref="F9">IFERROR(INDEX(Ações_Nacionais[], MATCH(A9, Ações_Nacionais[Ação], 0), 4), "")</f>
        <v>10</v>
      </c>
      <c r="G9" s="72">
        <f>IF(AND(B9="SIM", E9&gt;0), (E9 * F9) / SUMPRODUCT((Aporte_Mensal[Está barato?]="SIM") * (Aporte_Mensal[Diferença]) * (Aporte_Mensal[Nota])), 0)</f>
        <v>0</v>
      </c>
      <c r="H9" s="18">
        <f>G9*HOME!$S$8</f>
        <v>0</v>
      </c>
      <c r="I9" s="83">
        <f t="array" ref="I9">INT(H9 / INDEX(Ações_Nacionais[], MATCH(A9, Ações_Nacionais[Ação], 0), MATCH(Ações_Nacionais[[#HEADERS],[Preço mercado]], Ações_Nacionais[#HEADERS], 0)))</f>
        <v>0</v>
      </c>
      <c r="J9" s="85">
        <f t="array" ref="J9">I9 * INDEX(Ações_Nacionais[], MATCH(A9, Ações_Nacionais[Ação], 0), MATCH(Ações_Nacionais[[#HEADERS],[Preço mercado]], Ações_Nacionais[#HEADERS], 0))
</f>
        <v>0</v>
      </c>
      <c r="K9" s="86">
        <f>((J9/HOME!$B$9)+C9)</f>
        <v>0.03320099533</v>
      </c>
    </row>
    <row r="10" ht="22.5" customHeight="1">
      <c r="A10" s="95" t="s">
        <v>60</v>
      </c>
      <c r="B10" s="60" t="str">
        <f t="array" ref="B10">IFERROR(IF(AND(
  INDEX(Ações_Nacionais[], MATCH(A10, Ações_Nacionais[Ação], 0), MATCH(Ações_Nacionais[[#HEADERS],[Preço mercado]], Ações_Nacionais[#HEADERS], 0)) &lt; 
  INDEX(Ações_Nacionais[], MATCH(A10, Ações_Nacionais[Ação], 0), MATCH(Ações_Nacionais[[#HEADERS],[Bazin]], Ações_Nacionais[#HEADERS], 0)),
), "SIM", "NÃO"), "")
</f>
        <v>NÃO</v>
      </c>
      <c r="C10" s="66">
        <f t="array" ref="C10">IFERROR(INDEX(Ações_Nacionais[], MATCH(A10, Ações_Nacionais[Ação], 0), MATCH(Ações_Nacionais[[#HEADERS],[Peso]], Ações_Nacionais[#HEADERS], 0)), "")
</f>
        <v>0.03692580225</v>
      </c>
      <c r="D10" s="20">
        <f t="array" ref="D10">IFERROR(INDEX(Ações_Nacionais[], MATCH(A10, Ações_Nacionais[Ação], 0), MATCH(Ações_Nacionais[[#HEADERS],[Peso Ideal]], Ações_Nacionais[#HEADERS], 0)), "")
</f>
        <v>0.0375</v>
      </c>
      <c r="E10" s="72">
        <f t="shared" si="1"/>
        <v>0</v>
      </c>
      <c r="F10" s="77">
        <f t="array" ref="F10">IFERROR(INDEX(Ações_Nacionais[], MATCH(A10, Ações_Nacionais[Ação], 0), 4), "")</f>
        <v>10</v>
      </c>
      <c r="G10" s="72">
        <f>IF(AND(B10="SIM", E10&gt;0), (E10 * F10) / SUMPRODUCT((Aporte_Mensal[Está barato?]="SIM") * (Aporte_Mensal[Diferença]) * (Aporte_Mensal[Nota])), 0)</f>
        <v>0</v>
      </c>
      <c r="H10" s="18">
        <f>G10*HOME!$S$8</f>
        <v>0</v>
      </c>
      <c r="I10" s="83">
        <f t="array" ref="I10">INT(H10 / INDEX(Ações_Nacionais[], MATCH(A10, Ações_Nacionais[Ação], 0), MATCH(Ações_Nacionais[[#HEADERS],[Preço mercado]], Ações_Nacionais[#HEADERS], 0)))</f>
        <v>0</v>
      </c>
      <c r="J10" s="85">
        <f t="array" ref="J10">I10 * INDEX(Ações_Nacionais[], MATCH(A10, Ações_Nacionais[Ação], 0), MATCH(Ações_Nacionais[[#HEADERS],[Preço mercado]], Ações_Nacionais[#HEADERS], 0))
</f>
        <v>0</v>
      </c>
      <c r="K10" s="86">
        <f>((J10/HOME!$B$9)+C10)</f>
        <v>0.03692580225</v>
      </c>
    </row>
    <row r="11" ht="22.5" customHeight="1">
      <c r="A11" s="95" t="s">
        <v>39</v>
      </c>
      <c r="B11" s="60" t="str">
        <f t="array" ref="B11">IFERROR(IF(AND(
  INDEX(Ações_Nacionais[], MATCH(A11, Ações_Nacionais[Ação], 0), MATCH(Ações_Nacionais[[#HEADERS],[Preço mercado]], Ações_Nacionais[#HEADERS], 0)) &lt; 
  INDEX(Ações_Nacionais[], MATCH(A11, Ações_Nacionais[Ação], 0), MATCH(Ações_Nacionais[[#HEADERS],[Bazin]], Ações_Nacionais[#HEADERS], 0)),
), "SIM", "NÃO"), "")
</f>
        <v>SIM</v>
      </c>
      <c r="C11" s="66">
        <f t="array" ref="C11">IFERROR(INDEX(Ações_Nacionais[], MATCH(A11, Ações_Nacionais[Ação], 0), MATCH(Ações_Nacionais[[#HEADERS],[Peso]], Ações_Nacionais[#HEADERS], 0)), "")
</f>
        <v>0.009105916325</v>
      </c>
      <c r="D11" s="20">
        <f t="array" ref="D11">IFERROR(INDEX(Ações_Nacionais[], MATCH(A11, Ações_Nacionais[Ação], 0), MATCH(Ações_Nacionais[[#HEADERS],[Peso Ideal]], Ações_Nacionais[#HEADERS], 0)), "")
</f>
        <v>0</v>
      </c>
      <c r="E11" s="72">
        <f t="shared" si="1"/>
        <v>0</v>
      </c>
      <c r="F11" s="77">
        <f t="array" ref="F11">IFERROR(INDEX(Ações_Nacionais[], MATCH(A11, Ações_Nacionais[Ação], 0), 4), "")</f>
        <v>0</v>
      </c>
      <c r="G11" s="72">
        <f>IF(AND(B11="SIM", E11&gt;0), (E11 * F11) / SUMPRODUCT((Aporte_Mensal[Está barato?]="SIM") * (Aporte_Mensal[Diferença]) * (Aporte_Mensal[Nota])), 0)</f>
        <v>0</v>
      </c>
      <c r="H11" s="18">
        <f>G11*HOME!$S$8</f>
        <v>0</v>
      </c>
      <c r="I11" s="83">
        <f t="array" ref="I11">INT(H11 / INDEX(Ações_Nacionais[], MATCH(A11, Ações_Nacionais[Ação], 0), MATCH(Ações_Nacionais[[#HEADERS],[Preço mercado]], Ações_Nacionais[#HEADERS], 0)))</f>
        <v>0</v>
      </c>
      <c r="J11" s="85">
        <f t="array" ref="J11">I11 * INDEX(Ações_Nacionais[], MATCH(A11, Ações_Nacionais[Ação], 0), MATCH(Ações_Nacionais[[#HEADERS],[Preço mercado]], Ações_Nacionais[#HEADERS], 0))
</f>
        <v>0</v>
      </c>
      <c r="K11" s="86">
        <f>((J11/HOME!$B$9)+C11)</f>
        <v>0.009105916325</v>
      </c>
    </row>
    <row r="12" ht="22.5" customHeight="1">
      <c r="A12" s="95" t="s">
        <v>49</v>
      </c>
      <c r="B12" s="60" t="str">
        <f t="array" ref="B12">IFERROR(IF(AND(
  INDEX(Ações_Nacionais[], MATCH(A12, Ações_Nacionais[Ação], 0), MATCH(Ações_Nacionais[[#HEADERS],[Preço mercado]], Ações_Nacionais[#HEADERS], 0)) &lt; 
  INDEX(Ações_Nacionais[], MATCH(A12, Ações_Nacionais[Ação], 0), MATCH(Ações_Nacionais[[#HEADERS],[Bazin]], Ações_Nacionais[#HEADERS], 0)),
), "SIM", "NÃO"), "")
</f>
        <v>SIM</v>
      </c>
      <c r="C12" s="66">
        <f t="array" ref="C12">IFERROR(INDEX(Ações_Nacionais[], MATCH(A12, Ações_Nacionais[Ação], 0), MATCH(Ações_Nacionais[[#HEADERS],[Peso]], Ações_Nacionais[#HEADERS], 0)), "")
</f>
        <v>0.007524559663</v>
      </c>
      <c r="D12" s="20">
        <f t="array" ref="D12">IFERROR(INDEX(Ações_Nacionais[], MATCH(A12, Ações_Nacionais[Ação], 0), MATCH(Ações_Nacionais[[#HEADERS],[Peso Ideal]], Ações_Nacionais[#HEADERS], 0)), "")
</f>
        <v>0.0375</v>
      </c>
      <c r="E12" s="72">
        <f t="shared" si="1"/>
        <v>0.02997544034</v>
      </c>
      <c r="F12" s="77">
        <f t="array" ref="F12">IFERROR(INDEX(Ações_Nacionais[], MATCH(A12, Ações_Nacionais[Ação], 0), 4), "")</f>
        <v>10</v>
      </c>
      <c r="G12" s="72">
        <f>IF(AND(B12="SIM", E12&gt;0), (E12 * F12) / SUMPRODUCT((Aporte_Mensal[Está barato?]="SIM") * (Aporte_Mensal[Diferença]) * (Aporte_Mensal[Nota])), 0)</f>
        <v>0.4784669165</v>
      </c>
      <c r="H12" s="18">
        <f>G12*HOME!$S$8</f>
        <v>0</v>
      </c>
      <c r="I12" s="83">
        <f t="array" ref="I12">INT(H12 / INDEX(Ações_Nacionais[], MATCH(A12, Ações_Nacionais[Ação], 0), MATCH(Ações_Nacionais[[#HEADERS],[Preço mercado]], Ações_Nacionais[#HEADERS], 0)))</f>
        <v>0</v>
      </c>
      <c r="J12" s="85">
        <f t="array" ref="J12">I12 * INDEX(Ações_Nacionais[], MATCH(A12, Ações_Nacionais[Ação], 0), MATCH(Ações_Nacionais[[#HEADERS],[Preço mercado]], Ações_Nacionais[#HEADERS], 0))
</f>
        <v>0</v>
      </c>
      <c r="K12" s="86">
        <f>((J12/HOME!$B$9)+C12)</f>
        <v>0.007524559663</v>
      </c>
      <c r="L12" s="45" t="str">
        <f>IF(HOME!$U$8 = 0,
   "Ações : 💸 Sem aporte",
   "Ações K: " &amp;
   IF(HOME!$Q$8 - SUM(Aporte_Mensal[Valor_Total]) - SUM(Fiis_Aporte[Valor_Total]) &lt; 0, "🔻", "🟢") &amp;
   TEXT(HOME!$V$8, " R$ #,##0.00") &amp;
   " V:💰 " &amp;
   TEXT(HOME!$U$8, " R$ #,##0.00")
)</f>
        <v>Ações : 💸 Sem aporte</v>
      </c>
    </row>
    <row r="13" ht="22.5" customHeight="1">
      <c r="A13" s="95" t="s">
        <v>52</v>
      </c>
      <c r="B13" s="60" t="str">
        <f t="array" ref="B13">IFERROR(IF(AND(
  INDEX(Ações_Nacionais[], MATCH(A13, Ações_Nacionais[Ação], 0), MATCH(Ações_Nacionais[[#HEADERS],[Preço mercado]], Ações_Nacionais[#HEADERS], 0)) &lt; 
  INDEX(Ações_Nacionais[], MATCH(A13, Ações_Nacionais[Ação], 0), MATCH(Ações_Nacionais[[#HEADERS],[Bazin]], Ações_Nacionais[#HEADERS], 0)),
), "SIM", "NÃO"), "")
</f>
        <v>NÃO</v>
      </c>
      <c r="C13" s="66">
        <f t="array" ref="C13">IFERROR(INDEX(Ações_Nacionais[], MATCH(A13, Ações_Nacionais[Ação], 0), MATCH(Ações_Nacionais[[#HEADERS],[Peso]], Ações_Nacionais[#HEADERS], 0)), "")
</f>
        <v>0.01950090064</v>
      </c>
      <c r="D13" s="20">
        <f t="array" ref="D13">IFERROR(INDEX(Ações_Nacionais[], MATCH(A13, Ações_Nacionais[Ação], 0), MATCH(Ações_Nacionais[[#HEADERS],[Peso Ideal]], Ações_Nacionais[#HEADERS], 0)), "")
</f>
        <v>0.0375</v>
      </c>
      <c r="E13" s="72">
        <f t="shared" si="1"/>
        <v>0</v>
      </c>
      <c r="F13" s="77">
        <f t="array" ref="F13">IFERROR(INDEX(Ações_Nacionais[], MATCH(A13, Ações_Nacionais[Ação], 0), 4), "")</f>
        <v>10</v>
      </c>
      <c r="G13" s="72">
        <f>IF(AND(B13="SIM", E13&gt;0), (E13 * F13) / SUMPRODUCT((Aporte_Mensal[Está barato?]="SIM") * (Aporte_Mensal[Diferença]) * (Aporte_Mensal[Nota])), 0)</f>
        <v>0</v>
      </c>
      <c r="H13" s="18">
        <f>G13*HOME!$S$8</f>
        <v>0</v>
      </c>
      <c r="I13" s="83">
        <f t="array" ref="I13">INT(H13 / INDEX(Ações_Nacionais[], MATCH(A13, Ações_Nacionais[Ação], 0), MATCH(Ações_Nacionais[[#HEADERS],[Preço mercado]], Ações_Nacionais[#HEADERS], 0)))</f>
        <v>0</v>
      </c>
      <c r="J13" s="85">
        <f t="array" ref="J13">I13 * INDEX(Ações_Nacionais[], MATCH(A13, Ações_Nacionais[Ação], 0), MATCH(Ações_Nacionais[[#HEADERS],[Preço mercado]], Ações_Nacionais[#HEADERS], 0))
</f>
        <v>0</v>
      </c>
      <c r="K13" s="86">
        <f>((J13/HOME!$B$9)+C13)</f>
        <v>0.01950090064</v>
      </c>
      <c r="L13" s="45" t="str">
        <f>IF(HOME!$U$8 = 0,
   "FIIs : 💸 Sem aporte",
   "FIIs K: " &amp;
   IF(HOME!$Q$8 - SUM(Aporte_Mensal[Valor_Total]) - SUM(Fiis_Aporte[Valor_Total]) &lt; 0, "🔻", "🟢") &amp;
   TEXT(HOME!$V$8, " R$ #,##0.00") &amp;
   " V:💰 " &amp;
   TEXT(HOME!$U$8, " R$ #,##0.00")
)</f>
        <v>FIIs : 💸 Sem aporte</v>
      </c>
    </row>
    <row r="14" ht="22.5" customHeight="1">
      <c r="A14" s="95" t="s">
        <v>58</v>
      </c>
      <c r="B14" s="60" t="str">
        <f t="array" ref="B14">IFERROR(IF(AND(
  INDEX(Ações_Nacionais[], MATCH(A14, Ações_Nacionais[Ação], 0), MATCH(Ações_Nacionais[[#HEADERS],[Preço mercado]], Ações_Nacionais[#HEADERS], 0)) &lt; 
  INDEX(Ações_Nacionais[], MATCH(A14, Ações_Nacionais[Ação], 0), MATCH(Ações_Nacionais[[#HEADERS],[Bazin]], Ações_Nacionais[#HEADERS], 0)),
), "SIM", "NÃO"), "")
</f>
        <v>SIM</v>
      </c>
      <c r="C14" s="66">
        <f t="array" ref="C14">IFERROR(INDEX(Ações_Nacionais[], MATCH(A14, Ações_Nacionais[Ação], 0), MATCH(Ações_Nacionais[[#HEADERS],[Peso]], Ações_Nacionais[#HEADERS], 0)), "")
</f>
        <v>0.004826510381</v>
      </c>
      <c r="D14" s="20">
        <f t="array" ref="D14">IFERROR(INDEX(Ações_Nacionais[], MATCH(A14, Ações_Nacionais[Ação], 0), MATCH(Ações_Nacionais[[#HEADERS],[Peso Ideal]], Ações_Nacionais[#HEADERS], 0)), "")
</f>
        <v>0.0375</v>
      </c>
      <c r="E14" s="72">
        <f t="shared" si="1"/>
        <v>0.03267348962</v>
      </c>
      <c r="F14" s="77">
        <f t="array" ref="F14">IFERROR(INDEX(Ações_Nacionais[], MATCH(A14, Ações_Nacionais[Ação], 0), 4), "")</f>
        <v>10</v>
      </c>
      <c r="G14" s="72">
        <f>IF(AND(B14="SIM", E14&gt;0), (E14 * F14) / SUMPRODUCT((Aporte_Mensal[Está barato?]="SIM") * (Aporte_Mensal[Diferença]) * (Aporte_Mensal[Nota])), 0)</f>
        <v>0.5215330835</v>
      </c>
      <c r="H14" s="18">
        <f>G14*HOME!$S$8</f>
        <v>0</v>
      </c>
      <c r="I14" s="83">
        <f t="array" ref="I14">INT(H14 / INDEX(Ações_Nacionais[], MATCH(A14, Ações_Nacionais[Ação], 0), MATCH(Ações_Nacionais[[#HEADERS],[Preço mercado]], Ações_Nacionais[#HEADERS], 0)))</f>
        <v>0</v>
      </c>
      <c r="J14" s="85">
        <f t="array" ref="J14">I14 * INDEX(Ações_Nacionais[], MATCH(A14, Ações_Nacionais[Ação], 0), MATCH(Ações_Nacionais[[#HEADERS],[Preço mercado]], Ações_Nacionais[#HEADERS], 0))
</f>
        <v>0</v>
      </c>
      <c r="K14" s="86">
        <f>((J14/HOME!$B$9)+C14)</f>
        <v>0.004826510381</v>
      </c>
    </row>
    <row r="17">
      <c r="L17" s="6" t="s">
        <v>69</v>
      </c>
      <c r="M17" s="45" t="s">
        <v>70</v>
      </c>
      <c r="N17" s="45" t="s">
        <v>71</v>
      </c>
    </row>
    <row r="18" ht="22.5" customHeight="1">
      <c r="A18" s="46" t="s">
        <v>69</v>
      </c>
      <c r="B18" s="46" t="s">
        <v>72</v>
      </c>
      <c r="C18" s="46" t="s">
        <v>73</v>
      </c>
      <c r="D18" s="46" t="s">
        <v>74</v>
      </c>
      <c r="E18" s="46" t="s">
        <v>75</v>
      </c>
      <c r="F18" s="48" t="s">
        <v>76</v>
      </c>
      <c r="G18" s="46" t="s">
        <v>77</v>
      </c>
      <c r="H18" s="46" t="s">
        <v>78</v>
      </c>
      <c r="I18" s="8" t="s">
        <v>79</v>
      </c>
      <c r="J18" s="8" t="s">
        <v>80</v>
      </c>
      <c r="K18" s="50" t="s">
        <v>81</v>
      </c>
      <c r="L18" s="6" t="str">
        <f>IFERROR(__xludf.DUMMYFUNCTION("IFERROR(
  FILTER({
    ARRAYFORMULA(
      Fiis_Aporte[Ticker] &amp; 
      ""("" &amp; Fiis_Aporte[QTD_Compra] &amp; "" "" &amp; 
      TEXT(Fiis_Aporte[% Somada], ""##0.00%"") &amp; "")""
    ),
    Fiis_Aporte[QTD_Compra],
    Fiis_Aporte[Valor_Total]
  },
  Fiis_Aporte["&amp;"QTD_Compra]&gt;0),
  {""📉 Sem aportes (0x 0.00%)"",0,1}
)
"),"📉 Sem aportes (0x 0.00%)")</f>
        <v>📉 Sem aportes (0x 0.00%)</v>
      </c>
      <c r="M18" s="45">
        <f>IFERROR(__xludf.DUMMYFUNCTION("""COMPUTED_VALUE"""),0.0)</f>
        <v>0</v>
      </c>
      <c r="N18" s="45">
        <f>IFERROR(__xludf.DUMMYFUNCTION("""COMPUTED_VALUE"""),1.0)</f>
        <v>1</v>
      </c>
    </row>
    <row r="19" ht="22.5" customHeight="1">
      <c r="A19" s="128" t="s">
        <v>36</v>
      </c>
      <c r="B19" s="129" t="str">
        <f t="array" ref="B19">IFERROR(IF(AND(
  INDEX(Fiis[], MATCH(A19, Fiis[Fii], 0), MATCH(Fiis[[#HEADERS],[Preço mercado]], Fiis[#HEADERS], 0)) &lt; 
  INDEX(Fiis[], MATCH(A19, Fiis[Fii], 0), MATCH(Fiis[[#HEADERS],[Barato]], Fiis[#HEADERS], 0)),
  INDEX(Fiis[], MATCH(A19, Fiis[Fii], 0), MATCH(Fiis[[#HEADERS],[Preço mercado]], Fiis[#HEADERS], 0)) &lt; 
  INDEX(Fiis[], MATCH(A19, Fiis[Fii], 0), MATCH(Fiis[[#HEADERS],[Justo]], Fiis[#HEADERS], 0)),  
  INDEX(Fiis[], MATCH(A19, Fiis[Fii], 0), MATCH(Fiis[[#HEADERS],[Preço mercado]], Fiis[#HEADERS], 0)) &lt; 
  INDEX(Fiis[], MATCH(A19, Fiis[Fii], 0), MATCH(Fiis[[#HEADERS],[VP/Cota]], Fiis[#HEADERS], 0))
), "SIM", "NÃO"), "")
</f>
        <v>NÃO</v>
      </c>
      <c r="C19" s="20">
        <f t="array" ref="C19">IFERROR(INDEX(Fiis[], MATCH(A19, Fiis[Fii], 0), MATCH(Fiis[[#HEADERS],[Peso]], Fiis[#HEADERS], 0)), "")
</f>
        <v>0.03372561602</v>
      </c>
      <c r="D19" s="20">
        <f t="array" ref="D19">IFERROR(INDEX(Fiis[], MATCH(A19, Fiis[Fii], 0), MATCH(Fiis[[#HEADERS],[Peso Ideal]], Fiis[#HEADERS], 0)), "")
</f>
        <v>0.02272727273</v>
      </c>
      <c r="E19" s="72">
        <f t="shared" ref="E19:E28" si="2">IF(AND(B19="SIM", C19&lt;D19), D19-C19, 0)</f>
        <v>0</v>
      </c>
      <c r="F19" s="77">
        <f t="array" ref="F19">IFERROR(INDEX(Fiis[], MATCH(A19, Fiis[Fii], 0), MATCH(Fiis[[#HEADERS],[Nota]], Fiis[#HEADERS], 0)), "")
</f>
        <v>10</v>
      </c>
      <c r="G19" s="72">
        <f>IF(AND(B19="SIM", E19&gt;0), (E19 * F19) / SUMPRODUCT((Fiis_Aporte[Está barato?]="SIM") * (Fiis_Aporte[Diferença]) * (Fiis_Aporte[Nota])), 0)</f>
        <v>0</v>
      </c>
      <c r="H19" s="130">
        <f>G19*HOME!$T$8</f>
        <v>0</v>
      </c>
      <c r="I19" s="130">
        <f t="array" ref="I19">INT(H19 / INDEX(Fiis[], MATCH(A19, Fiis[Fii], 0), MATCH(Fiis[[#HEADERS],[Preço mercado]], Fiis[#HEADERS], 0)))</f>
        <v>0</v>
      </c>
      <c r="J19" s="131">
        <f t="array" ref="J19">I19 * INDEX(Fiis[], MATCH(A19, Fiis[Fii], 0), MATCH(Fiis[[#HEADERS],[Preço mercado]], Fiis[#HEADERS], 0))
</f>
        <v>0</v>
      </c>
      <c r="K19" s="85">
        <f>((J19/HOME!$B$9)+C19)</f>
        <v>0.03372561602</v>
      </c>
    </row>
    <row r="20" ht="22.5" customHeight="1">
      <c r="A20" s="128" t="s">
        <v>31</v>
      </c>
      <c r="B20" s="129" t="str">
        <f t="array" ref="B20">IFERROR(IF(AND(
  INDEX(Fiis[], MATCH(A20, Fiis[Fii], 0), MATCH(Fiis[[#HEADERS],[Preço mercado]], Fiis[#HEADERS], 0)) &lt; 
  INDEX(Fiis[], MATCH(A20, Fiis[Fii], 0), MATCH(Fiis[[#HEADERS],[Barato]], Fiis[#HEADERS], 0)),
  INDEX(Fiis[], MATCH(A20, Fiis[Fii], 0), MATCH(Fiis[[#HEADERS],[Preço mercado]], Fiis[#HEADERS], 0)) &lt; 
  INDEX(Fiis[], MATCH(A20, Fiis[Fii], 0), MATCH(Fiis[[#HEADERS],[Justo]], Fiis[#HEADERS], 0)),  
  INDEX(Fiis[], MATCH(A20, Fiis[Fii], 0), MATCH(Fiis[[#HEADERS],[Preço mercado]], Fiis[#HEADERS], 0)) &lt; 
  INDEX(Fiis[], MATCH(A20, Fiis[Fii], 0), MATCH(Fiis[[#HEADERS],[VP/Cota]], Fiis[#HEADERS], 0))
), "SIM", "NÃO"), "")
</f>
        <v>NÃO</v>
      </c>
      <c r="C20" s="20">
        <f t="array" ref="C20">IFERROR(INDEX(Fiis[], MATCH(A20, Fiis[Fii], 0), MATCH(Fiis[[#HEADERS],[Peso]], Fiis[#HEADERS], 0)), "")
</f>
        <v>0.03778393181</v>
      </c>
      <c r="D20" s="20">
        <f t="array" ref="D20">IFERROR(INDEX(Fiis[], MATCH(A20, Fiis[Fii], 0), MATCH(Fiis[[#HEADERS],[Peso Ideal]], Fiis[#HEADERS], 0)), "")
</f>
        <v>0.02272727273</v>
      </c>
      <c r="E20" s="72">
        <f t="shared" si="2"/>
        <v>0</v>
      </c>
      <c r="F20" s="77">
        <f t="array" ref="F20">IFERROR(INDEX(Fiis[], MATCH(A20, Fiis[Fii], 0), MATCH(Fiis[[#HEADERS],[Nota]], Fiis[#HEADERS], 0)), "")
</f>
        <v>10</v>
      </c>
      <c r="G20" s="72">
        <f>IF(AND(B20="SIM", E20&gt;0), (E20 * F20) / SUMPRODUCT((Fiis_Aporte[Está barato?]="SIM") * (Fiis_Aporte[Diferença]) * (Fiis_Aporte[Nota])), 0)</f>
        <v>0</v>
      </c>
      <c r="H20" s="130">
        <f>G20*HOME!$T$8</f>
        <v>0</v>
      </c>
      <c r="I20" s="130">
        <f t="array" ref="I20">INT(H20 / INDEX(Fiis[], MATCH(A20, Fiis[Fii], 0), MATCH(Fiis[[#HEADERS],[Preço mercado]], Fiis[#HEADERS], 0)))</f>
        <v>0</v>
      </c>
      <c r="J20" s="131">
        <f t="array" ref="J20">I20 * INDEX(Fiis[], MATCH(A20, Fiis[Fii], 0), MATCH(Fiis[[#HEADERS],[Preço mercado]], Fiis[#HEADERS], 0))
</f>
        <v>0</v>
      </c>
      <c r="K20" s="85">
        <f>((J20/HOME!$B$9)+C20)</f>
        <v>0.03778393181</v>
      </c>
    </row>
    <row r="21" ht="22.5" customHeight="1">
      <c r="A21" s="128" t="s">
        <v>59</v>
      </c>
      <c r="B21" s="129" t="str">
        <f t="array" ref="B21">IFERROR(IF(AND(
  INDEX(Fiis[], MATCH(A21, Fiis[Fii], 0), MATCH(Fiis[[#HEADERS],[Preço mercado]], Fiis[#HEADERS], 0)) &lt; 
  INDEX(Fiis[], MATCH(A21, Fiis[Fii], 0), MATCH(Fiis[[#HEADERS],[Barato]], Fiis[#HEADERS], 0)),
  INDEX(Fiis[], MATCH(A21, Fiis[Fii], 0), MATCH(Fiis[[#HEADERS],[Preço mercado]], Fiis[#HEADERS], 0)) &lt; 
  INDEX(Fiis[], MATCH(A21, Fiis[Fii], 0), MATCH(Fiis[[#HEADERS],[Justo]], Fiis[#HEADERS], 0)),  
  INDEX(Fiis[], MATCH(A21, Fiis[Fii], 0), MATCH(Fiis[[#HEADERS],[Preço mercado]], Fiis[#HEADERS], 0)) &lt; 
  INDEX(Fiis[], MATCH(A21, Fiis[Fii], 0), MATCH(Fiis[[#HEADERS],[VP/Cota]], Fiis[#HEADERS], 0))
), "SIM", "NÃO"), "")
</f>
        <v>NÃO</v>
      </c>
      <c r="C21" s="86">
        <f t="array" ref="C21">IFERROR(INDEX(Fiis[], MATCH(A21, Fiis[Fii], 0), MATCH(Fiis[[#HEADERS],[Peso]], Fiis[#HEADERS], 0)), "")
</f>
        <v>0.003469991159</v>
      </c>
      <c r="D21" s="86">
        <f t="array" ref="D21">IFERROR(INDEX(Fiis[], MATCH(A21, Fiis[Fii], 0), MATCH(Fiis[[#HEADERS],[Peso Ideal]], Fiis[#HEADERS], 0)), "")
</f>
        <v>0.02272727273</v>
      </c>
      <c r="E21" s="132">
        <f t="shared" si="2"/>
        <v>0</v>
      </c>
      <c r="F21" s="133">
        <f t="array" ref="F21">IFERROR(INDEX(Fiis[], MATCH(A21, Fiis[Fii], 0), MATCH(Fiis[[#HEADERS],[Nota]], Fiis[#HEADERS], 0)), "")
</f>
        <v>10</v>
      </c>
      <c r="G21" s="132">
        <f>IF(AND(B21="SIM", E21&gt;0), (E21 * F21) / SUMPRODUCT((Fiis_Aporte[Está barato?]="SIM") * (Fiis_Aporte[Diferença]) * (Fiis_Aporte[Nota])), 0)</f>
        <v>0</v>
      </c>
      <c r="H21" s="83">
        <f>G21*HOME!$T$8</f>
        <v>0</v>
      </c>
      <c r="I21" s="83">
        <f t="array" ref="I21">INT(H21 / INDEX(Fiis[], MATCH(A21, Fiis[Fii], 0), MATCH(Fiis[[#HEADERS],[Preço mercado]], Fiis[#HEADERS], 0)))</f>
        <v>0</v>
      </c>
      <c r="J21" s="85">
        <f t="array" ref="J21">I21 * INDEX(Fiis[], MATCH(A21, Fiis[Fii], 0), MATCH(Fiis[[#HEADERS],[Preço mercado]], Fiis[#HEADERS], 0))
</f>
        <v>0</v>
      </c>
      <c r="K21" s="85">
        <f>((J21/HOME!$B$9)+C21)</f>
        <v>0.003469991159</v>
      </c>
    </row>
    <row r="22" ht="22.5" customHeight="1">
      <c r="A22" s="128" t="s">
        <v>118</v>
      </c>
      <c r="B22" s="129" t="str">
        <f t="array" ref="B22">IFERROR(IF(AND(
  INDEX(Fiis[], MATCH(A22, Fiis[Fii], 0), MATCH(Fiis[[#HEADERS],[Preço mercado]], Fiis[#HEADERS], 0)) &lt; 
  INDEX(Fiis[], MATCH(A22, Fiis[Fii], 0), MATCH(Fiis[[#HEADERS],[Barato]], Fiis[#HEADERS], 0)),
  INDEX(Fiis[], MATCH(A22, Fiis[Fii], 0), MATCH(Fiis[[#HEADERS],[Preço mercado]], Fiis[#HEADERS], 0)) &lt; 
  INDEX(Fiis[], MATCH(A22, Fiis[Fii], 0), MATCH(Fiis[[#HEADERS],[Justo]], Fiis[#HEADERS], 0)),  
  INDEX(Fiis[], MATCH(A22, Fiis[Fii], 0), MATCH(Fiis[[#HEADERS],[Preço mercado]], Fiis[#HEADERS], 0)) &lt; 
  INDEX(Fiis[], MATCH(A22, Fiis[Fii], 0), MATCH(Fiis[[#HEADERS],[VP/Cota]], Fiis[#HEADERS], 0))
), "SIM", "NÃO"), "")
</f>
        <v>NÃO</v>
      </c>
      <c r="C22" s="20">
        <f t="array" ref="C22">IFERROR(INDEX(Fiis[], MATCH(A22, Fiis[Fii], 0), MATCH(Fiis[[#HEADERS],[Peso]], Fiis[#HEADERS], 0)), "")
</f>
        <v>0.0369070658</v>
      </c>
      <c r="D22" s="20">
        <f t="array" ref="D22">IFERROR(INDEX(Fiis[], MATCH(A22, Fiis[Fii], 0), MATCH(Fiis[[#HEADERS],[Peso Ideal]], Fiis[#HEADERS], 0)), "")
</f>
        <v>0.02272727273</v>
      </c>
      <c r="E22" s="72">
        <f t="shared" si="2"/>
        <v>0</v>
      </c>
      <c r="F22" s="77">
        <f t="array" ref="F22">IFERROR(INDEX(Fiis[], MATCH(A22, Fiis[Fii], 0), MATCH(Fiis[[#HEADERS],[Nota]], Fiis[#HEADERS], 0)), "")
</f>
        <v>10</v>
      </c>
      <c r="G22" s="72">
        <f>IF(AND(B22="SIM", E22&gt;0), (E22 * F22) / SUMPRODUCT((Fiis_Aporte[Está barato?]="SIM") * (Fiis_Aporte[Diferença]) * (Fiis_Aporte[Nota])), 0)</f>
        <v>0</v>
      </c>
      <c r="H22" s="130">
        <f>G22*HOME!$T$8</f>
        <v>0</v>
      </c>
      <c r="I22" s="130">
        <f t="array" ref="I22">INT(H22 / INDEX(Fiis[], MATCH(A22, Fiis[Fii], 0), MATCH(Fiis[[#HEADERS],[Preço mercado]], Fiis[#HEADERS], 0)))</f>
        <v>0</v>
      </c>
      <c r="J22" s="131">
        <f t="array" ref="J22">I22 * INDEX(Fiis[], MATCH(A22, Fiis[Fii], 0), MATCH(Fiis[[#HEADERS],[Preço mercado]], Fiis[#HEADERS], 0))
</f>
        <v>0</v>
      </c>
      <c r="K22" s="85">
        <f>((J22/HOME!$B$9)+C22)</f>
        <v>0.0369070658</v>
      </c>
    </row>
    <row r="23" ht="22.5" customHeight="1">
      <c r="A23" s="128" t="s">
        <v>61</v>
      </c>
      <c r="B23" s="129" t="str">
        <f t="array" ref="B23">IFERROR(IF(AND(
  INDEX(Fiis[], MATCH(A23, Fiis[Fii], 0), MATCH(Fiis[[#HEADERS],[Preço mercado]], Fiis[#HEADERS], 0)) &lt; 
  INDEX(Fiis[], MATCH(A23, Fiis[Fii], 0), MATCH(Fiis[[#HEADERS],[Barato]], Fiis[#HEADERS], 0)),
  INDEX(Fiis[], MATCH(A23, Fiis[Fii], 0), MATCH(Fiis[[#HEADERS],[Preço mercado]], Fiis[#HEADERS], 0)) &lt; 
  INDEX(Fiis[], MATCH(A23, Fiis[Fii], 0), MATCH(Fiis[[#HEADERS],[Justo]], Fiis[#HEADERS], 0)),  
  INDEX(Fiis[], MATCH(A23, Fiis[Fii], 0), MATCH(Fiis[[#HEADERS],[Preço mercado]], Fiis[#HEADERS], 0)) &lt; 
  INDEX(Fiis[], MATCH(A23, Fiis[Fii], 0), MATCH(Fiis[[#HEADERS],[VP/Cota]], Fiis[#HEADERS], 0))
), "SIM", "NÃO"), "")
</f>
        <v>NÃO</v>
      </c>
      <c r="C23" s="20">
        <f t="array" ref="C23">IFERROR(INDEX(Fiis[], MATCH(A23, Fiis[Fii], 0), MATCH(Fiis[[#HEADERS],[Peso]], Fiis[#HEADERS], 0)), "")
</f>
        <v>0.05516386594</v>
      </c>
      <c r="D23" s="20">
        <f t="array" ref="D23">IFERROR(INDEX(Fiis[], MATCH(A23, Fiis[Fii], 0), MATCH(Fiis[[#HEADERS],[Peso Ideal]], Fiis[#HEADERS], 0)), "")
</f>
        <v>0</v>
      </c>
      <c r="E23" s="72">
        <f t="shared" si="2"/>
        <v>0</v>
      </c>
      <c r="F23" s="77">
        <f t="array" ref="F23">IFERROR(INDEX(Fiis[], MATCH(A23, Fiis[Fii], 0), MATCH(Fiis[[#HEADERS],[Nota]], Fiis[#HEADERS], 0)), "")
</f>
        <v>0</v>
      </c>
      <c r="G23" s="72">
        <f>IF(AND(B23="SIM", E23&gt;0), (E23 * F23) / SUMPRODUCT((Fiis_Aporte[Está barato?]="SIM") * (Fiis_Aporte[Diferença]) * (Fiis_Aporte[Nota])), 0)</f>
        <v>0</v>
      </c>
      <c r="H23" s="130">
        <f>G23*HOME!$T$8</f>
        <v>0</v>
      </c>
      <c r="I23" s="130">
        <f t="array" ref="I23">INT(H23 / INDEX(Fiis[], MATCH(A23, Fiis[Fii], 0), MATCH(Fiis[[#HEADERS],[Preço mercado]], Fiis[#HEADERS], 0)))</f>
        <v>0</v>
      </c>
      <c r="J23" s="131">
        <f t="array" ref="J23">I23 * INDEX(Fiis[], MATCH(A23, Fiis[Fii], 0), MATCH(Fiis[[#HEADERS],[Preço mercado]], Fiis[#HEADERS], 0))
</f>
        <v>0</v>
      </c>
      <c r="K23" s="85">
        <f>((J23/HOME!$B$9)+C23)</f>
        <v>0.05516386594</v>
      </c>
    </row>
    <row r="24" ht="22.5" customHeight="1">
      <c r="A24" s="128" t="s">
        <v>48</v>
      </c>
      <c r="B24" s="129" t="str">
        <f t="array" ref="B24">IFERROR(IF(AND(
  INDEX(Fiis[], MATCH(A24, Fiis[Fii], 0), MATCH(Fiis[[#HEADERS],[Preço mercado]], Fiis[#HEADERS], 0)) &lt; 
  INDEX(Fiis[], MATCH(A24, Fiis[Fii], 0), MATCH(Fiis[[#HEADERS],[Barato]], Fiis[#HEADERS], 0)),
  INDEX(Fiis[], MATCH(A24, Fiis[Fii], 0), MATCH(Fiis[[#HEADERS],[Preço mercado]], Fiis[#HEADERS], 0)) &lt; 
  INDEX(Fiis[], MATCH(A24, Fiis[Fii], 0), MATCH(Fiis[[#HEADERS],[Justo]], Fiis[#HEADERS], 0)),  
  INDEX(Fiis[], MATCH(A24, Fiis[Fii], 0), MATCH(Fiis[[#HEADERS],[Preço mercado]], Fiis[#HEADERS], 0)) &lt; 
  INDEX(Fiis[], MATCH(A24, Fiis[Fii], 0), MATCH(Fiis[[#HEADERS],[VP/Cota]], Fiis[#HEADERS], 0))
), "SIM", "NÃO"), "")
</f>
        <v>NÃO</v>
      </c>
      <c r="C24" s="20">
        <f t="array" ref="C24">IFERROR(INDEX(Fiis[], MATCH(A24, Fiis[Fii], 0), MATCH(Fiis[[#HEADERS],[Peso]], Fiis[#HEADERS], 0)), "")
</f>
        <v>0.006969960644</v>
      </c>
      <c r="D24" s="20">
        <f t="array" ref="D24">IFERROR(INDEX(Fiis[], MATCH(A24, Fiis[Fii], 0), MATCH(Fiis[[#HEADERS],[Peso Ideal]], Fiis[#HEADERS], 0)), "")
</f>
        <v>0.02272727273</v>
      </c>
      <c r="E24" s="72">
        <f t="shared" si="2"/>
        <v>0</v>
      </c>
      <c r="F24" s="77">
        <f t="array" ref="F24">IFERROR(INDEX(Fiis[], MATCH(A24, Fiis[Fii], 0), MATCH(Fiis[[#HEADERS],[Nota]], Fiis[#HEADERS], 0)), "")
</f>
        <v>10</v>
      </c>
      <c r="G24" s="72">
        <f>IF(AND(B24="SIM", E24&gt;0), (E24 * F24) / SUMPRODUCT((Fiis_Aporte[Está barato?]="SIM") * (Fiis_Aporte[Diferença]) * (Fiis_Aporte[Nota])), 0)</f>
        <v>0</v>
      </c>
      <c r="H24" s="130">
        <f>G24*HOME!$T$8</f>
        <v>0</v>
      </c>
      <c r="I24" s="130">
        <f t="array" ref="I24">INT(H24 / INDEX(Fiis[], MATCH(A24, Fiis[Fii], 0), MATCH(Fiis[[#HEADERS],[Preço mercado]], Fiis[#HEADERS], 0)))</f>
        <v>0</v>
      </c>
      <c r="J24" s="131">
        <f t="array" ref="J24">I24 * INDEX(Fiis[], MATCH(A24, Fiis[Fii], 0), MATCH(Fiis[[#HEADERS],[Preço mercado]], Fiis[#HEADERS], 0))
</f>
        <v>0</v>
      </c>
      <c r="K24" s="85">
        <f>((J24/HOME!$B$9)+C24)</f>
        <v>0.006969960644</v>
      </c>
    </row>
    <row r="25" ht="22.5" customHeight="1">
      <c r="A25" s="128" t="s">
        <v>50</v>
      </c>
      <c r="B25" s="129" t="str">
        <f t="array" ref="B25">IFERROR(IF(AND(
  INDEX(Fiis[], MATCH(A25, Fiis[Fii], 0), MATCH(Fiis[[#HEADERS],[Preço mercado]], Fiis[#HEADERS], 0)) &lt; 
  INDEX(Fiis[], MATCH(A25, Fiis[Fii], 0), MATCH(Fiis[[#HEADERS],[Barato]], Fiis[#HEADERS], 0)),
  INDEX(Fiis[], MATCH(A25, Fiis[Fii], 0), MATCH(Fiis[[#HEADERS],[Preço mercado]], Fiis[#HEADERS], 0)) &lt; 
  INDEX(Fiis[], MATCH(A25, Fiis[Fii], 0), MATCH(Fiis[[#HEADERS],[Justo]], Fiis[#HEADERS], 0)),  
  INDEX(Fiis[], MATCH(A25, Fiis[Fii], 0), MATCH(Fiis[[#HEADERS],[Preço mercado]], Fiis[#HEADERS], 0)) &lt; 
  INDEX(Fiis[], MATCH(A25, Fiis[Fii], 0), MATCH(Fiis[[#HEADERS],[VP/Cota]], Fiis[#HEADERS], 0))
), "SIM", "NÃO"), "")
</f>
        <v>NÃO</v>
      </c>
      <c r="C25" s="20">
        <f t="array" ref="C25">IFERROR(INDEX(Fiis[], MATCH(A25, Fiis[Fii], 0), MATCH(Fiis[[#HEADERS],[Peso]], Fiis[#HEADERS], 0)), "")
</f>
        <v>0.003395045346</v>
      </c>
      <c r="D25" s="20">
        <f t="array" ref="D25">IFERROR(INDEX(Fiis[], MATCH(A25, Fiis[Fii], 0), MATCH(Fiis[[#HEADERS],[Peso Ideal]], Fiis[#HEADERS], 0)), "")
</f>
        <v>0.02272727273</v>
      </c>
      <c r="E25" s="72">
        <f t="shared" si="2"/>
        <v>0</v>
      </c>
      <c r="F25" s="77">
        <f t="array" ref="F25">IFERROR(INDEX(Fiis[], MATCH(A25, Fiis[Fii], 0), MATCH(Fiis[[#HEADERS],[Nota]], Fiis[#HEADERS], 0)), "")
</f>
        <v>10</v>
      </c>
      <c r="G25" s="72">
        <f>IF(AND(B25="SIM", E25&gt;0), (E25 * F25) / SUMPRODUCT((Fiis_Aporte[Está barato?]="SIM") * (Fiis_Aporte[Diferença]) * (Fiis_Aporte[Nota])), 0)</f>
        <v>0</v>
      </c>
      <c r="H25" s="130">
        <f>G25*HOME!$T$8</f>
        <v>0</v>
      </c>
      <c r="I25" s="130">
        <f t="array" ref="I25">INT(H25 / INDEX(Fiis[], MATCH(A25, Fiis[Fii], 0), MATCH(Fiis[[#HEADERS],[Preço mercado]], Fiis[#HEADERS], 0)))</f>
        <v>0</v>
      </c>
      <c r="J25" s="131">
        <f t="array" ref="J25">I25 * INDEX(Fiis[], MATCH(A25, Fiis[Fii], 0), MATCH(Fiis[[#HEADERS],[Preço mercado]], Fiis[#HEADERS], 0))
</f>
        <v>0</v>
      </c>
      <c r="K25" s="85">
        <f>((J25/HOME!$B$9)+C25)</f>
        <v>0.003395045346</v>
      </c>
    </row>
    <row r="26" ht="22.5" customHeight="1">
      <c r="A26" s="128" t="s">
        <v>57</v>
      </c>
      <c r="B26" s="129" t="str">
        <f t="array" ref="B26">IFERROR(IF(AND(
  INDEX(Fiis[], MATCH(A26, Fiis[Fii], 0), MATCH(Fiis[[#HEADERS],[Preço mercado]], Fiis[#HEADERS], 0)) &lt; 
  INDEX(Fiis[], MATCH(A26, Fiis[Fii], 0), MATCH(Fiis[[#HEADERS],[Barato]], Fiis[#HEADERS], 0)),
  INDEX(Fiis[], MATCH(A26, Fiis[Fii], 0), MATCH(Fiis[[#HEADERS],[Preço mercado]], Fiis[#HEADERS], 0)) &lt; 
  INDEX(Fiis[], MATCH(A26, Fiis[Fii], 0), MATCH(Fiis[[#HEADERS],[Justo]], Fiis[#HEADERS], 0)),  
  INDEX(Fiis[], MATCH(A26, Fiis[Fii], 0), MATCH(Fiis[[#HEADERS],[Preço mercado]], Fiis[#HEADERS], 0)) &lt; 
  INDEX(Fiis[], MATCH(A26, Fiis[Fii], 0), MATCH(Fiis[[#HEADERS],[VP/Cota]], Fiis[#HEADERS], 0))
), "SIM", "NÃO"), "")
</f>
        <v>NÃO</v>
      </c>
      <c r="C26" s="20">
        <f t="array" ref="C26">IFERROR(INDEX(Fiis[], MATCH(A26, Fiis[Fii], 0), MATCH(Fiis[[#HEADERS],[Peso]], Fiis[#HEADERS], 0)), "")
</f>
        <v>0.00308402022</v>
      </c>
      <c r="D26" s="20">
        <f t="array" ref="D26">IFERROR(INDEX(Fiis[], MATCH(A26, Fiis[Fii], 0), MATCH(Fiis[[#HEADERS],[Peso Ideal]], Fiis[#HEADERS], 0)), "")
</f>
        <v>0.02272727273</v>
      </c>
      <c r="E26" s="72">
        <f t="shared" si="2"/>
        <v>0</v>
      </c>
      <c r="F26" s="77">
        <f t="array" ref="F26">IFERROR(INDEX(Fiis[], MATCH(A26, Fiis[Fii], 0), MATCH(Fiis[[#HEADERS],[Nota]], Fiis[#HEADERS], 0)), "")
</f>
        <v>10</v>
      </c>
      <c r="G26" s="72">
        <f>IF(AND(B26="SIM", E26&gt;0), (E26 * F26) / SUMPRODUCT((Fiis_Aporte[Está barato?]="SIM") * (Fiis_Aporte[Diferença]) * (Fiis_Aporte[Nota])), 0)</f>
        <v>0</v>
      </c>
      <c r="H26" s="130">
        <f>G26*HOME!$T$8</f>
        <v>0</v>
      </c>
      <c r="I26" s="130">
        <f t="array" ref="I26">INT(H26 / INDEX(Fiis[], MATCH(A26, Fiis[Fii], 0), MATCH(Fiis[[#HEADERS],[Preço mercado]], Fiis[#HEADERS], 0)))</f>
        <v>0</v>
      </c>
      <c r="J26" s="131">
        <f t="array" ref="J26">I26 * INDEX(Fiis[], MATCH(A26, Fiis[Fii], 0), MATCH(Fiis[[#HEADERS],[Preço mercado]], Fiis[#HEADERS], 0))
</f>
        <v>0</v>
      </c>
      <c r="K26" s="85">
        <f>((J26/HOME!$B$9)+C26)</f>
        <v>0.00308402022</v>
      </c>
    </row>
    <row r="27" ht="22.5" customHeight="1">
      <c r="A27" s="128" t="s">
        <v>40</v>
      </c>
      <c r="B27" s="129" t="str">
        <f t="array" ref="B27">IFERROR(IF(AND(
  INDEX(Fiis[], MATCH(A27, Fiis[Fii], 0), MATCH(Fiis[[#HEADERS],[Preço mercado]], Fiis[#HEADERS], 0)) &lt; 
  INDEX(Fiis[], MATCH(A27, Fiis[Fii], 0), MATCH(Fiis[[#HEADERS],[Barato]], Fiis[#HEADERS], 0)),
  INDEX(Fiis[], MATCH(A27, Fiis[Fii], 0), MATCH(Fiis[[#HEADERS],[Preço mercado]], Fiis[#HEADERS], 0)) &lt; 
  INDEX(Fiis[], MATCH(A27, Fiis[Fii], 0), MATCH(Fiis[[#HEADERS],[Justo]], Fiis[#HEADERS], 0)),  
  INDEX(Fiis[], MATCH(A27, Fiis[Fii], 0), MATCH(Fiis[[#HEADERS],[Preço mercado]], Fiis[#HEADERS], 0)) &lt; 
  INDEX(Fiis[], MATCH(A27, Fiis[Fii], 0), MATCH(Fiis[[#HEADERS],[VP/Cota]], Fiis[#HEADERS], 0))
), "SIM", "NÃO"), "")
</f>
        <v>NÃO</v>
      </c>
      <c r="C27" s="20">
        <f t="array" ref="C27">IFERROR(INDEX(Fiis[], MATCH(A27, Fiis[Fii], 0), MATCH(Fiis[[#HEADERS],[Peso]], Fiis[#HEADERS], 0)), "")
</f>
        <v>0.03686209831</v>
      </c>
      <c r="D27" s="20">
        <f t="array" ref="D27">IFERROR(INDEX(Fiis[], MATCH(A27, Fiis[Fii], 0), MATCH(Fiis[[#HEADERS],[Peso Ideal]], Fiis[#HEADERS], 0)), "")
</f>
        <v>0.02272727273</v>
      </c>
      <c r="E27" s="72">
        <f t="shared" si="2"/>
        <v>0</v>
      </c>
      <c r="F27" s="77">
        <f t="array" ref="F27">IFERROR(INDEX(Fiis[], MATCH(A27, Fiis[Fii], 0), MATCH(Fiis[[#HEADERS],[Nota]], Fiis[#HEADERS], 0)), "")
</f>
        <v>10</v>
      </c>
      <c r="G27" s="72">
        <f>IF(AND(B27="SIM", E27&gt;0), (E27 * F27) / SUMPRODUCT((Fiis_Aporte[Está barato?]="SIM") * (Fiis_Aporte[Diferença]) * (Fiis_Aporte[Nota])), 0)</f>
        <v>0</v>
      </c>
      <c r="H27" s="130">
        <f>G27*HOME!$T$8</f>
        <v>0</v>
      </c>
      <c r="I27" s="130">
        <f t="array" ref="I27">INT(H27 / INDEX(Fiis[], MATCH(A27, Fiis[Fii], 0), MATCH(Fiis[[#HEADERS],[Preço mercado]], Fiis[#HEADERS], 0)))</f>
        <v>0</v>
      </c>
      <c r="J27" s="131">
        <f t="array" ref="J27">I27 * INDEX(Fiis[], MATCH(A27, Fiis[Fii], 0), MATCH(Fiis[[#HEADERS],[Preço mercado]], Fiis[#HEADERS], 0))
</f>
        <v>0</v>
      </c>
      <c r="K27" s="85">
        <f>((J27/HOME!$B$9)+C27)</f>
        <v>0.03686209831</v>
      </c>
    </row>
    <row r="28" ht="22.5" customHeight="1">
      <c r="A28" s="128" t="s">
        <v>55</v>
      </c>
      <c r="B28" s="129" t="str">
        <f t="array" ref="B28">IFERROR(IF(AND(
  INDEX(Fiis[], MATCH(A28, Fiis[Fii], 0), MATCH(Fiis[[#HEADERS],[Preço mercado]], Fiis[#HEADERS], 0)) &lt; 
  INDEX(Fiis[], MATCH(A28, Fiis[Fii], 0), MATCH(Fiis[[#HEADERS],[Barato]], Fiis[#HEADERS], 0)),
  INDEX(Fiis[], MATCH(A28, Fiis[Fii], 0), MATCH(Fiis[[#HEADERS],[Preço mercado]], Fiis[#HEADERS], 0)) &lt; 
  INDEX(Fiis[], MATCH(A28, Fiis[Fii], 0), MATCH(Fiis[[#HEADERS],[Justo]], Fiis[#HEADERS], 0)),  
  INDEX(Fiis[], MATCH(A28, Fiis[Fii], 0), MATCH(Fiis[[#HEADERS],[Preço mercado]], Fiis[#HEADERS], 0)) &lt; 
  INDEX(Fiis[], MATCH(A28, Fiis[Fii], 0), MATCH(Fiis[[#HEADERS],[VP/Cota]], Fiis[#HEADERS], 0))
), "SIM", "NÃO"), "")
</f>
        <v>NÃO</v>
      </c>
      <c r="C28" s="20">
        <f t="array" ref="C28">IFERROR(INDEX(Fiis[], MATCH(A28, Fiis[Fii], 0), MATCH(Fiis[[#HEADERS],[Peso]], Fiis[#HEADERS], 0)), "")
</f>
        <v>0.04190969884</v>
      </c>
      <c r="D28" s="20">
        <f t="array" ref="D28">IFERROR(INDEX(Fiis[], MATCH(A28, Fiis[Fii], 0), MATCH(Fiis[[#HEADERS],[Peso Ideal]], Fiis[#HEADERS], 0)), "")
</f>
        <v>0.02272727273</v>
      </c>
      <c r="E28" s="72">
        <f t="shared" si="2"/>
        <v>0</v>
      </c>
      <c r="F28" s="77">
        <f t="array" ref="F28">IFERROR(INDEX(Fiis[], MATCH(A28, Fiis[Fii], 0), MATCH(Fiis[[#HEADERS],[Nota]], Fiis[#HEADERS], 0)), "")
</f>
        <v>10</v>
      </c>
      <c r="G28" s="72">
        <f>IF(AND(B28="SIM", E28&gt;0), (E28 * F28) / SUMPRODUCT((Fiis_Aporte[Está barato?]="SIM") * (Fiis_Aporte[Diferença]) * (Fiis_Aporte[Nota])), 0)</f>
        <v>0</v>
      </c>
      <c r="H28" s="130">
        <f>G28*HOME!$T$8</f>
        <v>0</v>
      </c>
      <c r="I28" s="130">
        <f t="array" ref="I28">INT(H28 / INDEX(Fiis[], MATCH(A28, Fiis[Fii], 0), MATCH(Fiis[[#HEADERS],[Preço mercado]], Fiis[#HEADERS], 0)))</f>
        <v>0</v>
      </c>
      <c r="J28" s="131">
        <f t="array" ref="J28">I28 * INDEX(Fiis[], MATCH(A28, Fiis[Fii], 0), MATCH(Fiis[[#HEADERS],[Preço mercado]], Fiis[#HEADERS], 0))
</f>
        <v>0</v>
      </c>
      <c r="K28" s="85">
        <f>((J28/HOME!$B$9)+C28)</f>
        <v>0.04190969884</v>
      </c>
    </row>
    <row r="31">
      <c r="E31" s="6" t="s">
        <v>69</v>
      </c>
      <c r="F31" s="6" t="s">
        <v>71</v>
      </c>
    </row>
    <row r="32" ht="22.5" customHeight="1">
      <c r="A32" s="46" t="s">
        <v>69</v>
      </c>
      <c r="B32" s="46" t="s">
        <v>72</v>
      </c>
      <c r="C32" s="8" t="s">
        <v>71</v>
      </c>
      <c r="E32" s="45" t="str">
        <f>IFERROR(__xludf.DUMMYFUNCTION("IFERROR(
  FILTER({Baratos[Ticker],Baratos[Valor]},
         Baratos[Está barato?]=""SIM""),
  {""🛑 Nenhum ativo barato"",0}
)
"),"BBAS3")</f>
        <v>BBAS3</v>
      </c>
      <c r="F32" s="45">
        <f>IFERROR(__xludf.DUMMYFUNCTION("""COMPUTED_VALUE"""),18.43)</f>
        <v>18.43</v>
      </c>
    </row>
    <row r="33" ht="22.5" customHeight="1">
      <c r="A33" s="52" t="s">
        <v>30</v>
      </c>
      <c r="B33" s="60" t="str">
        <f t="array" ref="B33">IFERROR(IF(AND(
  INDEX(Ações_Nacionais[], MATCH(A33, Ações_Nacionais[Ação], 0), MATCH(Ações_Nacionais[[#HEADERS],[Preço mercado]], Ações_Nacionais[#HEADERS], 0)) &lt; 
  INDEX(Ações_Nacionais[], MATCH(A33, Ações_Nacionais[Ação], 0), MATCH(Ações_Nacionais[[#HEADERS],[Barato]], Ações_Nacionais[#HEADERS], 0)),
), "SIM", "NÃO"), "")
</f>
        <v>SIM</v>
      </c>
      <c r="C33" s="18">
        <f t="array" ref="C33">IFERROR(INDEX(Ações_Nacionais[], MATCH(A33, Ações_Nacionais[Ação], 0), MATCH(Ações_Nacionais[[#HEADERS],[Preço mercado]], Ações_Nacionais[#HEADERS], 0)), "")
</f>
        <v>18.43</v>
      </c>
      <c r="E33" s="45" t="str">
        <f>IFERROR(__xludf.DUMMYFUNCTION("""COMPUTED_VALUE"""),"SAPR4")</f>
        <v>SAPR4</v>
      </c>
      <c r="F33" s="45">
        <f>IFERROR(__xludf.DUMMYFUNCTION("""COMPUTED_VALUE"""),6.44)</f>
        <v>6.44</v>
      </c>
    </row>
    <row r="34" ht="22.5" customHeight="1">
      <c r="A34" s="52" t="s">
        <v>23</v>
      </c>
      <c r="B34" s="60" t="str">
        <f t="array" ref="B34">IFERROR(IF(AND(
  INDEX(Ações_Nacionais[], MATCH(A34, Ações_Nacionais[Ação], 0), MATCH(Ações_Nacionais[[#HEADERS],[Preço mercado]], Ações_Nacionais[#HEADERS], 0)) &lt; 
  INDEX(Ações_Nacionais[], MATCH(A34, Ações_Nacionais[Ação], 0), MATCH(Ações_Nacionais[[#HEADERS],[Barato]], Ações_Nacionais[#HEADERS], 0)),
), "SIM", "NÃO"), "")
</f>
        <v>NÃO</v>
      </c>
      <c r="C34" s="18">
        <f t="array" ref="C34">IFERROR(INDEX(Ações_Nacionais[], MATCH(A34, Ações_Nacionais[Ação], 0), MATCH(Ações_Nacionais[[#HEADERS],[Preço mercado]], Ações_Nacionais[#HEADERS], 0)), "")
</f>
        <v>37.19</v>
      </c>
      <c r="E34" s="45" t="str">
        <f>IFERROR(__xludf.DUMMYFUNCTION("""COMPUTED_VALUE"""),"XPLG11")</f>
        <v>XPLG11</v>
      </c>
      <c r="F34" s="45">
        <f>IFERROR(__xludf.DUMMYFUNCTION("""COMPUTED_VALUE"""),90.0)</f>
        <v>90</v>
      </c>
    </row>
    <row r="35" ht="22.5" customHeight="1">
      <c r="A35" s="52" t="s">
        <v>54</v>
      </c>
      <c r="B35" s="60" t="str">
        <f t="array" ref="B35">IFERROR(IF(AND(
  INDEX(Ações_Nacionais[], MATCH(A35, Ações_Nacionais[Ação], 0), MATCH(Ações_Nacionais[[#HEADERS],[Preço mercado]], Ações_Nacionais[#HEADERS], 0)) &lt; 
  INDEX(Ações_Nacionais[], MATCH(A35, Ações_Nacionais[Ação], 0), MATCH(Ações_Nacionais[[#HEADERS],[Barato]], Ações_Nacionais[#HEADERS], 0)),
), "SIM", "NÃO"), "")
</f>
        <v>NÃO</v>
      </c>
      <c r="C35" s="18">
        <f t="array" ref="C35">IFERROR(INDEX(Ações_Nacionais[], MATCH(A35, Ações_Nacionais[Ação], 0), MATCH(Ações_Nacionais[[#HEADERS],[Preço mercado]], Ações_Nacionais[#HEADERS], 0)), "")
</f>
        <v>75.03</v>
      </c>
      <c r="E35" s="45" t="str">
        <f>IFERROR(__xludf.DUMMYFUNCTION("""COMPUTED_VALUE"""),"HGBS11")</f>
        <v>HGBS11</v>
      </c>
      <c r="F35" s="45">
        <f>IFERROR(__xludf.DUMMYFUNCTION("""COMPUTED_VALUE"""),18.6)</f>
        <v>18.6</v>
      </c>
    </row>
    <row r="36" ht="22.5" customHeight="1">
      <c r="A36" s="95" t="s">
        <v>47</v>
      </c>
      <c r="B36" s="60" t="str">
        <f t="array" ref="B36">IFERROR(IF(AND(
  INDEX(Ações_Nacionais[], MATCH(A36, Ações_Nacionais[Ação], 0), MATCH(Ações_Nacionais[[#HEADERS],[Preço mercado]], Ações_Nacionais[#HEADERS], 0)) &lt; 
  INDEX(Ações_Nacionais[], MATCH(A36, Ações_Nacionais[Ação], 0), MATCH(Ações_Nacionais[[#HEADERS],[Barato]], Ações_Nacionais[#HEADERS], 0)),
), "SIM", "NÃO"), "")
</f>
        <v>NÃO</v>
      </c>
      <c r="C36" s="18">
        <f t="array" ref="C36">IFERROR(INDEX(Ações_Nacionais[], MATCH(A36, Ações_Nacionais[Ação], 0), MATCH(Ações_Nacionais[[#HEADERS],[Preço mercado]], Ações_Nacionais[#HEADERS], 0)), "")
</f>
        <v>37.57</v>
      </c>
      <c r="E36" s="45" t="str">
        <f>IFERROR(__xludf.DUMMYFUNCTION("""COMPUTED_VALUE"""),"HGLG11")</f>
        <v>HGLG11</v>
      </c>
      <c r="F36" s="45">
        <f>IFERROR(__xludf.DUMMYFUNCTION("""COMPUTED_VALUE"""),147.21)</f>
        <v>147.21</v>
      </c>
    </row>
    <row r="37" ht="22.5" customHeight="1">
      <c r="A37" s="95" t="s">
        <v>34</v>
      </c>
      <c r="B37" s="60" t="str">
        <f t="array" ref="B37">IFERROR(IF(AND(
  INDEX(Ações_Nacionais[], MATCH(A37, Ações_Nacionais[Ação], 0), MATCH(Ações_Nacionais[[#HEADERS],[Preço mercado]], Ações_Nacionais[#HEADERS], 0)) &lt; 
  INDEX(Ações_Nacionais[], MATCH(A37, Ações_Nacionais[Ação], 0), MATCH(Ações_Nacionais[[#HEADERS],[Barato]], Ações_Nacionais[#HEADERS], 0)),
), "SIM", "NÃO"), "")
</f>
        <v>NÃO</v>
      </c>
      <c r="C37" s="18">
        <f t="array" ref="C37">IFERROR(INDEX(Ações_Nacionais[], MATCH(A37, Ações_Nacionais[Ação], 0), MATCH(Ações_Nacionais[[#HEADERS],[Preço mercado]], Ações_Nacionais[#HEADERS], 0)), "")
</f>
        <v>41.39</v>
      </c>
      <c r="E37" s="45" t="str">
        <f>IFERROR(__xludf.DUMMYFUNCTION("""COMPUTED_VALUE"""),"BTLG11")</f>
        <v>BTLG11</v>
      </c>
      <c r="F37" s="45">
        <f>IFERROR(__xludf.DUMMYFUNCTION("""COMPUTED_VALUE"""),98.37)</f>
        <v>98.37</v>
      </c>
    </row>
    <row r="38" ht="22.5" customHeight="1">
      <c r="A38" s="95" t="s">
        <v>56</v>
      </c>
      <c r="B38" s="60" t="str">
        <f t="array" ref="B38">IFERROR(IF(AND(
  INDEX(Ações_Nacionais[], MATCH(A38, Ações_Nacionais[Ação], 0), MATCH(Ações_Nacionais[[#HEADERS],[Preço mercado]], Ações_Nacionais[#HEADERS], 0)) &lt; 
  INDEX(Ações_Nacionais[], MATCH(A38, Ações_Nacionais[Ação], 0), MATCH(Ações_Nacionais[[#HEADERS],[Barato]], Ações_Nacionais[#HEADERS], 0)),
), "SIM", "NÃO"), "")
</f>
        <v>NÃO</v>
      </c>
      <c r="C38" s="18">
        <f t="array" ref="C38">IFERROR(INDEX(Ações_Nacionais[], MATCH(A38, Ações_Nacionais[Ação], 0), MATCH(Ações_Nacionais[[#HEADERS],[Preço mercado]], Ações_Nacionais[#HEADERS], 0)), "")
</f>
        <v>44.3</v>
      </c>
      <c r="E38" s="45" t="str">
        <f>IFERROR(__xludf.DUMMYFUNCTION("""COMPUTED_VALUE"""),"GGRC11")</f>
        <v>GGRC11</v>
      </c>
      <c r="F38" s="45">
        <f>IFERROR(__xludf.DUMMYFUNCTION("""COMPUTED_VALUE"""),9.06)</f>
        <v>9.06</v>
      </c>
    </row>
    <row r="39" ht="22.5" customHeight="1">
      <c r="A39" s="95" t="s">
        <v>60</v>
      </c>
      <c r="B39" s="60" t="str">
        <f t="array" ref="B39">IFERROR(IF(AND(
  INDEX(Ações_Nacionais[], MATCH(A39, Ações_Nacionais[Ação], 0), MATCH(Ações_Nacionais[[#HEADERS],[Preço mercado]], Ações_Nacionais[#HEADERS], 0)) &lt; 
  INDEX(Ações_Nacionais[], MATCH(A39, Ações_Nacionais[Ação], 0), MATCH(Ações_Nacionais[[#HEADERS],[Barato]], Ações_Nacionais[#HEADERS], 0)),
), "SIM", "NÃO"), "")
</f>
        <v>NÃO</v>
      </c>
      <c r="C39" s="18">
        <f t="array" ref="C39">IFERROR(INDEX(Ações_Nacionais[], MATCH(A39, Ações_Nacionais[Ação], 0), MATCH(Ações_Nacionais[[#HEADERS],[Preço mercado]], Ações_Nacionais[#HEADERS], 0)), "")
</f>
        <v>49.27</v>
      </c>
      <c r="E39" s="45" t="str">
        <f>IFERROR(__xludf.DUMMYFUNCTION("""COMPUTED_VALUE"""),"GARE11")</f>
        <v>GARE11</v>
      </c>
      <c r="F39" s="45">
        <f>IFERROR(__xludf.DUMMYFUNCTION("""COMPUTED_VALUE"""),8.23)</f>
        <v>8.23</v>
      </c>
    </row>
    <row r="40" ht="22.5" customHeight="1">
      <c r="A40" s="95" t="s">
        <v>39</v>
      </c>
      <c r="B40" s="60" t="str">
        <f t="array" ref="B40">IFERROR(IF(AND(
  INDEX(Ações_Nacionais[], MATCH(A40, Ações_Nacionais[Ação], 0), MATCH(Ações_Nacionais[[#HEADERS],[Preço mercado]], Ações_Nacionais[#HEADERS], 0)) &lt; 
  INDEX(Ações_Nacionais[], MATCH(A40, Ações_Nacionais[Ação], 0), MATCH(Ações_Nacionais[[#HEADERS],[Barato]], Ações_Nacionais[#HEADERS], 0)),
), "SIM", "NÃO"), "")
</f>
        <v>NÃO</v>
      </c>
      <c r="C40" s="18">
        <f t="array" ref="C40">IFERROR(INDEX(Ações_Nacionais[], MATCH(A40, Ações_Nacionais[Ação], 0), MATCH(Ações_Nacionais[[#HEADERS],[Preço mercado]], Ações_Nacionais[#HEADERS], 0)), "")
</f>
        <v>12.15</v>
      </c>
      <c r="E40" s="45" t="str">
        <f>IFERROR(__xludf.DUMMYFUNCTION("""COMPUTED_VALUE"""),"PMLL11")</f>
        <v>PMLL11</v>
      </c>
      <c r="F40" s="45">
        <f>IFERROR(__xludf.DUMMYFUNCTION("""COMPUTED_VALUE"""),100.83)</f>
        <v>100.83</v>
      </c>
    </row>
    <row r="41" ht="22.5" customHeight="1">
      <c r="A41" s="95" t="s">
        <v>49</v>
      </c>
      <c r="B41" s="60" t="str">
        <f t="array" ref="B41">IFERROR(IF(AND(
  INDEX(Ações_Nacionais[], MATCH(A41, Ações_Nacionais[Ação], 0), MATCH(Ações_Nacionais[[#HEADERS],[Preço mercado]], Ações_Nacionais[#HEADERS], 0)) &lt; 
  INDEX(Ações_Nacionais[], MATCH(A41, Ações_Nacionais[Ação], 0), MATCH(Ações_Nacionais[[#HEADERS],[Barato]], Ações_Nacionais[#HEADERS], 0)),
), "SIM", "NÃO"), "")
</f>
        <v>NÃO</v>
      </c>
      <c r="C41" s="18">
        <f t="array" ref="C41">IFERROR(INDEX(Ações_Nacionais[], MATCH(A41, Ações_Nacionais[Ação], 0), MATCH(Ações_Nacionais[[#HEADERS],[Preço mercado]], Ações_Nacionais[#HEADERS], 0)), "")
</f>
        <v>10.04</v>
      </c>
      <c r="E41" s="45" t="str">
        <f>IFERROR(__xludf.DUMMYFUNCTION("""COMPUTED_VALUE"""),"HGRU11")</f>
        <v>HGRU11</v>
      </c>
      <c r="F41" s="45">
        <f>IFERROR(__xludf.DUMMYFUNCTION("""COMPUTED_VALUE"""),114.99)</f>
        <v>114.99</v>
      </c>
    </row>
    <row r="42" ht="22.5" customHeight="1">
      <c r="A42" s="95" t="s">
        <v>52</v>
      </c>
      <c r="B42" s="60" t="str">
        <f t="array" ref="B42">IFERROR(IF(AND(
  INDEX(Ações_Nacionais[], MATCH(A42, Ações_Nacionais[Ação], 0), MATCH(Ações_Nacionais[[#HEADERS],[Preço mercado]], Ações_Nacionais[#HEADERS], 0)) &lt; 
  INDEX(Ações_Nacionais[], MATCH(A42, Ações_Nacionais[Ação], 0), MATCH(Ações_Nacionais[[#HEADERS],[Barato]], Ações_Nacionais[#HEADERS], 0)),
), "SIM", "NÃO"), "")
</f>
        <v>NÃO</v>
      </c>
      <c r="C42" s="18">
        <f t="array" ref="C42">IFERROR(INDEX(Ações_Nacionais[], MATCH(A42, Ações_Nacionais[Ação], 0), MATCH(Ações_Nacionais[[#HEADERS],[Preço mercado]], Ações_Nacionais[#HEADERS], 0)), "")
</f>
        <v>26.02</v>
      </c>
      <c r="E42" s="45" t="str">
        <f>IFERROR(__xludf.DUMMYFUNCTION("""COMPUTED_VALUE"""),"PCIP11")</f>
        <v>PCIP11</v>
      </c>
      <c r="F42" s="45">
        <f>IFERROR(__xludf.DUMMYFUNCTION("""COMPUTED_VALUE"""),72.2)</f>
        <v>72.2</v>
      </c>
    </row>
    <row r="43" ht="22.5" customHeight="1">
      <c r="A43" s="95" t="s">
        <v>58</v>
      </c>
      <c r="B43" s="60" t="str">
        <f t="array" ref="B43">IFERROR(IF(AND(
  INDEX(Ações_Nacionais[], MATCH(A43, Ações_Nacionais[Ação], 0), MATCH(Ações_Nacionais[[#HEADERS],[Preço mercado]], Ações_Nacionais[#HEADERS], 0)) &lt; 
  INDEX(Ações_Nacionais[], MATCH(A43, Ações_Nacionais[Ação], 0), MATCH(Ações_Nacionais[[#HEADERS],[Barato]], Ações_Nacionais[#HEADERS], 0)),
), "SIM", "NÃO"), "")
</f>
        <v>SIM</v>
      </c>
      <c r="C43" s="18">
        <f t="array" ref="C43">IFERROR(INDEX(Ações_Nacionais[], MATCH(A43, Ações_Nacionais[Ação], 0), MATCH(Ações_Nacionais[[#HEADERS],[Preço mercado]], Ações_Nacionais[#HEADERS], 0)), "")
</f>
        <v>6.44</v>
      </c>
    </row>
    <row r="44" ht="22.5" customHeight="1">
      <c r="A44" s="128" t="s">
        <v>36</v>
      </c>
      <c r="B44" s="60" t="str">
        <f t="array" ref="B44">IFERROR(IF(AND( 
  INDEX(Fiis[], MATCH(A44, Fiis[Fii], 0), MATCH(Fiis[[#HEADERS],[Preço mercado]], Fiis[#HEADERS], 0)) &lt; 
  INDEX(Fiis[], MATCH(A44, Fiis[Fii], 0), MATCH(Fiis[[#HEADERS],[Justo]], Fiis[#HEADERS], 0)),  
  INDEX(Fiis[], MATCH(A44, Fiis[Fii], 0), MATCH(Fiis[[#HEADERS],[Preço mercado]], Fiis[#HEADERS], 0)) &lt; 
  INDEX(Fiis[], MATCH(A44, Fiis[Fii], 0), MATCH(Fiis[[#HEADERS],[VP/Cota]], Fiis[#HEADERS], 0))
), "SIM", "NÃO"), "")
</f>
        <v>SIM</v>
      </c>
      <c r="C44" s="18">
        <f>IFERROR(__xludf.DUMMYFUNCTION("IFERROR(GOOGLEFINANCE(""BVMF:"" &amp; A44),0)"),90.0)</f>
        <v>90</v>
      </c>
    </row>
    <row r="45" ht="22.5" customHeight="1">
      <c r="A45" s="128" t="s">
        <v>48</v>
      </c>
      <c r="B45" s="60" t="str">
        <f t="array" ref="B45">IFERROR(IF(AND( 
  INDEX(Fiis[], MATCH(A45, Fiis[Fii], 0), MATCH(Fiis[[#HEADERS],[Preço mercado]], Fiis[#HEADERS], 0)) &lt; 
  INDEX(Fiis[], MATCH(A45, Fiis[Fii], 0), MATCH(Fiis[[#HEADERS],[Justo]], Fiis[#HEADERS], 0)),  
  INDEX(Fiis[], MATCH(A45, Fiis[Fii], 0), MATCH(Fiis[[#HEADERS],[Preço mercado]], Fiis[#HEADERS], 0)) &lt; 
  INDEX(Fiis[], MATCH(A45, Fiis[Fii], 0), MATCH(Fiis[[#HEADERS],[VP/Cota]], Fiis[#HEADERS], 0))
), "SIM", "NÃO"), "")
</f>
        <v>SIM</v>
      </c>
      <c r="C45" s="18">
        <f>IFERROR(__xludf.DUMMYFUNCTION("IFERROR(GOOGLEFINANCE(""BVMF:"" &amp; A45),0)"),18.6)</f>
        <v>18.6</v>
      </c>
    </row>
    <row r="46" ht="22.5" customHeight="1">
      <c r="A46" s="128" t="s">
        <v>55</v>
      </c>
      <c r="B46" s="60" t="str">
        <f t="array" ref="B46">IFERROR(IF(AND( 
  INDEX(Fiis[], MATCH(A46, Fiis[Fii], 0), MATCH(Fiis[[#HEADERS],[Preço mercado]], Fiis[#HEADERS], 0)) &lt; 
  INDEX(Fiis[], MATCH(A46, Fiis[Fii], 0), MATCH(Fiis[[#HEADERS],[Justo]], Fiis[#HEADERS], 0)),  
  INDEX(Fiis[], MATCH(A46, Fiis[Fii], 0), MATCH(Fiis[[#HEADERS],[Preço mercado]], Fiis[#HEADERS], 0)) &lt; 
  INDEX(Fiis[], MATCH(A46, Fiis[Fii], 0), MATCH(Fiis[[#HEADERS],[VP/Cota]], Fiis[#HEADERS], 0))
), "SIM", "NÃO"), "")
</f>
        <v>NÃO</v>
      </c>
      <c r="C46" s="18">
        <f>IFERROR(__xludf.DUMMYFUNCTION("IFERROR(GOOGLEFINANCE(""BVMF:"" &amp; A46),0)"),111.84)</f>
        <v>111.84</v>
      </c>
    </row>
    <row r="47" ht="22.5" customHeight="1">
      <c r="A47" s="128" t="s">
        <v>61</v>
      </c>
      <c r="B47" s="60" t="str">
        <f t="array" ref="B47">IFERROR(IF(AND( 
  INDEX(Fiis[], MATCH(A47, Fiis[Fii], 0), MATCH(Fiis[[#HEADERS],[Preço mercado]], Fiis[#HEADERS], 0)) &lt; 
  INDEX(Fiis[], MATCH(A47, Fiis[Fii], 0), MATCH(Fiis[[#HEADERS],[Justo]], Fiis[#HEADERS], 0)),  
  INDEX(Fiis[], MATCH(A47, Fiis[Fii], 0), MATCH(Fiis[[#HEADERS],[Preço mercado]], Fiis[#HEADERS], 0)) &lt; 
  INDEX(Fiis[], MATCH(A47, Fiis[Fii], 0), MATCH(Fiis[[#HEADERS],[VP/Cota]], Fiis[#HEADERS], 0))
), "SIM", "NÃO"), "")
</f>
        <v>SIM</v>
      </c>
      <c r="C47" s="18">
        <f>IFERROR(__xludf.DUMMYFUNCTION("IFERROR(GOOGLEFINANCE(""BVMF:"" &amp; A47),0)"),147.21)</f>
        <v>147.21</v>
      </c>
    </row>
    <row r="48" ht="22.5" customHeight="1">
      <c r="A48" s="128" t="s">
        <v>118</v>
      </c>
      <c r="B48" s="60" t="str">
        <f t="array" ref="B48">IFERROR(IF(AND( 
  INDEX(Fiis[], MATCH(A48, Fiis[Fii], 0), MATCH(Fiis[[#HEADERS],[Preço mercado]], Fiis[#HEADERS], 0)) &lt; 
  INDEX(Fiis[], MATCH(A48, Fiis[Fii], 0), MATCH(Fiis[[#HEADERS],[Justo]], Fiis[#HEADERS], 0)),  
  INDEX(Fiis[], MATCH(A48, Fiis[Fii], 0), MATCH(Fiis[[#HEADERS],[Preço mercado]], Fiis[#HEADERS], 0)) &lt; 
  INDEX(Fiis[], MATCH(A48, Fiis[Fii], 0), MATCH(Fiis[[#HEADERS],[VP/Cota]], Fiis[#HEADERS], 0))
), "SIM", "NÃO"), "")
</f>
        <v>NÃO</v>
      </c>
      <c r="C48" s="18">
        <f>IFERROR(__xludf.DUMMYFUNCTION("IFERROR(GOOGLEFINANCE(""BVMF:"" &amp; A48),0)"),98.49)</f>
        <v>98.49</v>
      </c>
    </row>
    <row r="49" ht="22.5" customHeight="1">
      <c r="A49" s="128" t="s">
        <v>40</v>
      </c>
      <c r="B49" s="60" t="str">
        <f t="array" ref="B49">IFERROR(IF(AND( 
  INDEX(Fiis[], MATCH(A49, Fiis[Fii], 0), MATCH(Fiis[[#HEADERS],[Preço mercado]], Fiis[#HEADERS], 0)) &lt; 
  INDEX(Fiis[], MATCH(A49, Fiis[Fii], 0), MATCH(Fiis[[#HEADERS],[Justo]], Fiis[#HEADERS], 0)),  
  INDEX(Fiis[], MATCH(A49, Fiis[Fii], 0), MATCH(Fiis[[#HEADERS],[Preço mercado]], Fiis[#HEADERS], 0)) &lt; 
  INDEX(Fiis[], MATCH(A49, Fiis[Fii], 0), MATCH(Fiis[[#HEADERS],[VP/Cota]], Fiis[#HEADERS], 0))
), "SIM", "NÃO"), "")
</f>
        <v>SIM</v>
      </c>
      <c r="C49" s="18">
        <f>IFERROR(__xludf.DUMMYFUNCTION("IFERROR(GOOGLEFINANCE(""BVMF:"" &amp; A49),0)"),98.37)</f>
        <v>98.37</v>
      </c>
    </row>
    <row r="50" ht="22.5" customHeight="1">
      <c r="A50" s="128" t="s">
        <v>50</v>
      </c>
      <c r="B50" s="60" t="str">
        <f t="array" ref="B50">IFERROR(IF(AND( 
  INDEX(Fiis[], MATCH(A50, Fiis[Fii], 0), MATCH(Fiis[[#HEADERS],[Preço mercado]], Fiis[#HEADERS], 0)) &lt; 
  INDEX(Fiis[], MATCH(A50, Fiis[Fii], 0), MATCH(Fiis[[#HEADERS],[Justo]], Fiis[#HEADERS], 0)),  
  INDEX(Fiis[], MATCH(A50, Fiis[Fii], 0), MATCH(Fiis[[#HEADERS],[Preço mercado]], Fiis[#HEADERS], 0)) &lt; 
  INDEX(Fiis[], MATCH(A50, Fiis[Fii], 0), MATCH(Fiis[[#HEADERS],[VP/Cota]], Fiis[#HEADERS], 0))
), "SIM", "NÃO"), "")
</f>
        <v>SIM</v>
      </c>
      <c r="C50" s="18">
        <f>IFERROR(__xludf.DUMMYFUNCTION("IFERROR(GOOGLEFINANCE(""BVMF:"" &amp; A50),0)"),9.06)</f>
        <v>9.06</v>
      </c>
    </row>
    <row r="51" ht="22.5" customHeight="1">
      <c r="A51" s="128" t="s">
        <v>57</v>
      </c>
      <c r="B51" s="60" t="str">
        <f t="array" ref="B51">IFERROR(IF(AND( 
  INDEX(Fiis[], MATCH(A51, Fiis[Fii], 0), MATCH(Fiis[[#HEADERS],[Preço mercado]], Fiis[#HEADERS], 0)) &lt; 
  INDEX(Fiis[], MATCH(A51, Fiis[Fii], 0), MATCH(Fiis[[#HEADERS],[Justo]], Fiis[#HEADERS], 0)),  
  INDEX(Fiis[], MATCH(A51, Fiis[Fii], 0), MATCH(Fiis[[#HEADERS],[Preço mercado]], Fiis[#HEADERS], 0)) &lt; 
  INDEX(Fiis[], MATCH(A51, Fiis[Fii], 0), MATCH(Fiis[[#HEADERS],[VP/Cota]], Fiis[#HEADERS], 0))
), "SIM", "NÃO"), "")
</f>
        <v>SIM</v>
      </c>
      <c r="C51" s="18">
        <f>IFERROR(__xludf.DUMMYFUNCTION("IFERROR(GOOGLEFINANCE(""BVMF:"" &amp; A51),0)"),8.23)</f>
        <v>8.23</v>
      </c>
    </row>
    <row r="52" ht="22.5" customHeight="1">
      <c r="A52" s="128" t="s">
        <v>31</v>
      </c>
      <c r="B52" s="60" t="str">
        <f t="array" ref="B52">IFERROR(IF(AND( 
  INDEX(Fiis[], MATCH(A52, Fiis[Fii], 0), MATCH(Fiis[[#HEADERS],[Preço mercado]], Fiis[#HEADERS], 0)) &lt; 
  INDEX(Fiis[], MATCH(A52, Fiis[Fii], 0), MATCH(Fiis[[#HEADERS],[Justo]], Fiis[#HEADERS], 0)),  
  INDEX(Fiis[], MATCH(A52, Fiis[Fii], 0), MATCH(Fiis[[#HEADERS],[Preço mercado]], Fiis[#HEADERS], 0)) &lt; 
  INDEX(Fiis[], MATCH(A52, Fiis[Fii], 0), MATCH(Fiis[[#HEADERS],[VP/Cota]], Fiis[#HEADERS], 0))
), "SIM", "NÃO"), "")
</f>
        <v>SIM</v>
      </c>
      <c r="C52" s="18">
        <f>IFERROR(__xludf.DUMMYFUNCTION("IFERROR(GOOGLEFINANCE(""BVMF:"" &amp; A52),0)"),100.83)</f>
        <v>100.83</v>
      </c>
    </row>
    <row r="53" ht="22.5" customHeight="1">
      <c r="A53" s="128" t="s">
        <v>26</v>
      </c>
      <c r="B53" s="60" t="str">
        <f t="array" ref="B53">IFERROR(IF(AND( 
  INDEX(Fiis[], MATCH(A53, Fiis[Fii], 0), MATCH(Fiis[[#HEADERS],[Preço mercado]], Fiis[#HEADERS], 0)) &lt; 
  INDEX(Fiis[], MATCH(A53, Fiis[Fii], 0), MATCH(Fiis[[#HEADERS],[Justo]], Fiis[#HEADERS], 0)),  
  INDEX(Fiis[], MATCH(A53, Fiis[Fii], 0), MATCH(Fiis[[#HEADERS],[Preço mercado]], Fiis[#HEADERS], 0)) &lt; 
  INDEX(Fiis[], MATCH(A53, Fiis[Fii], 0), MATCH(Fiis[[#HEADERS],[VP/Cota]], Fiis[#HEADERS], 0))
), "SIM", "NÃO"), "")
</f>
        <v>NÃO</v>
      </c>
      <c r="C53" s="18">
        <f>IFERROR(__xludf.DUMMYFUNCTION("IFERROR(GOOGLEFINANCE(""BVMF:"" &amp; A53),0)"),155.48)</f>
        <v>155.48</v>
      </c>
    </row>
    <row r="54" ht="22.5" customHeight="1">
      <c r="A54" s="128" t="s">
        <v>59</v>
      </c>
      <c r="B54" s="60" t="str">
        <f t="array" ref="B54">IFERROR(IF(AND( 
  INDEX(Fiis[], MATCH(A54, Fiis[Fii], 0), MATCH(Fiis[[#HEADERS],[Preço mercado]], Fiis[#HEADERS], 0)) &lt; 
  INDEX(Fiis[], MATCH(A54, Fiis[Fii], 0), MATCH(Fiis[[#HEADERS],[Justo]], Fiis[#HEADERS], 0)),  
  INDEX(Fiis[], MATCH(A54, Fiis[Fii], 0), MATCH(Fiis[[#HEADERS],[Preço mercado]], Fiis[#HEADERS], 0)) &lt; 
  INDEX(Fiis[], MATCH(A54, Fiis[Fii], 0), MATCH(Fiis[[#HEADERS],[VP/Cota]], Fiis[#HEADERS], 0))
), "SIM", "NÃO"), "")
</f>
        <v>NÃO</v>
      </c>
      <c r="C54" s="18">
        <f>IFERROR(__xludf.DUMMYFUNCTION("IFERROR(GOOGLEFINANCE(""BVMF:"" &amp; A54),0)"),9.26)</f>
        <v>9.26</v>
      </c>
    </row>
    <row r="55" ht="22.5" customHeight="1">
      <c r="A55" s="128" t="s">
        <v>63</v>
      </c>
      <c r="B55" s="60" t="str">
        <f t="array" ref="B55">IFERROR(IF(AND( 
  INDEX(Fiis[], MATCH(A55, Fiis[Fii], 0), MATCH(Fiis[[#HEADERS],[Preço mercado]], Fiis[#HEADERS], 0)) &lt; 
  INDEX(Fiis[], MATCH(A55, Fiis[Fii], 0), MATCH(Fiis[[#HEADERS],[Justo]], Fiis[#HEADERS], 0)),  
  INDEX(Fiis[], MATCH(A55, Fiis[Fii], 0), MATCH(Fiis[[#HEADERS],[Preço mercado]], Fiis[#HEADERS], 0)) &lt; 
  INDEX(Fiis[], MATCH(A55, Fiis[Fii], 0), MATCH(Fiis[[#HEADERS],[VP/Cota]], Fiis[#HEADERS], 0))
), "SIM", "NÃO"), "")
</f>
        <v>SIM</v>
      </c>
      <c r="C55" s="18">
        <f>IFERROR(__xludf.DUMMYFUNCTION("IFERROR(GOOGLEFINANCE(""BVMF:"" &amp; A55),0)"),114.99)</f>
        <v>114.99</v>
      </c>
    </row>
    <row r="56" ht="22.5" customHeight="1">
      <c r="A56" s="128" t="s">
        <v>64</v>
      </c>
      <c r="B56" s="60" t="str">
        <f t="array" ref="B56">IFERROR(IF(AND( 
  INDEX(Fiis[], MATCH(A56, Fiis[Fii], 0), MATCH(Fiis[[#HEADERS],[Preço mercado]], Fiis[#HEADERS], 0)) &lt; 
  INDEX(Fiis[], MATCH(A56, Fiis[Fii], 0), MATCH(Fiis[[#HEADERS],[Justo]], Fiis[#HEADERS], 0)),  
  INDEX(Fiis[], MATCH(A56, Fiis[Fii], 0), MATCH(Fiis[[#HEADERS],[Preço mercado]], Fiis[#HEADERS], 0)) &lt; 
  INDEX(Fiis[], MATCH(A56, Fiis[Fii], 0), MATCH(Fiis[[#HEADERS],[VP/Cota]], Fiis[#HEADERS], 0))
), "SIM", "NÃO"), "")
</f>
        <v>SIM</v>
      </c>
      <c r="C56" s="18">
        <f>IFERROR(__xludf.DUMMYFUNCTION("IFERROR(GOOGLEFINANCE(""BVMF:"" &amp; A56),0)"),72.2)</f>
        <v>72.2</v>
      </c>
    </row>
    <row r="82">
      <c r="A82" s="6" t="s">
        <v>166</v>
      </c>
      <c r="C82" s="6" t="s">
        <v>167</v>
      </c>
      <c r="E82" s="156">
        <f>SUM(C85+(C86*C87))/(1+C86)</f>
        <v>18.74577601</v>
      </c>
    </row>
    <row r="83">
      <c r="C83" s="6" t="s">
        <v>168</v>
      </c>
      <c r="E83" s="142">
        <f> (C88 + (C87 * C86/100)) / (1 + C86/100)
</f>
        <v>0.01702135525</v>
      </c>
    </row>
    <row r="84">
      <c r="A84" s="6" t="s">
        <v>170</v>
      </c>
      <c r="C84" s="6" t="s">
        <v>48</v>
      </c>
    </row>
    <row r="85">
      <c r="A85" s="6" t="s">
        <v>171</v>
      </c>
      <c r="B85" s="158"/>
      <c r="C85" s="142">
        <f>IFERROR(__xludf.DUMMYFUNCTION("GOOGLEFINANCE(C84)"),18.6)</f>
        <v>18.6</v>
      </c>
    </row>
    <row r="86">
      <c r="A86" s="6" t="s">
        <v>172</v>
      </c>
      <c r="C86" s="159">
        <v>0.0831</v>
      </c>
    </row>
    <row r="87">
      <c r="A87" s="6" t="s">
        <v>173</v>
      </c>
      <c r="C87" s="158">
        <v>20.5</v>
      </c>
    </row>
    <row r="88">
      <c r="A88" s="6" t="s">
        <v>174</v>
      </c>
      <c r="C88" s="160" t="str">
        <f t="array" ref="C88">IFERROR(INDEX(#REF!, MATCH(C91, #REF!, 0), MATCH(#REF!, #REF!, 0)), "")
</f>
        <v/>
      </c>
    </row>
    <row r="90">
      <c r="A90" s="6" t="s">
        <v>175</v>
      </c>
      <c r="G90" s="6" t="s">
        <v>176</v>
      </c>
    </row>
    <row r="91">
      <c r="A91" s="6" t="s">
        <v>177</v>
      </c>
      <c r="C91" s="6" t="str">
        <f>C84</f>
        <v>HGBS11</v>
      </c>
      <c r="G91" s="6" t="s">
        <v>178</v>
      </c>
    </row>
    <row r="92">
      <c r="A92" s="6" t="s">
        <v>179</v>
      </c>
      <c r="C92" s="6">
        <f t="array" ref="C92">IFERROR(INDEX(Fiis[], MATCH(C91, Fiis[Fii], 0), MATCH(Fiis[[#HEADERS],[QTD]], Fiis[#HEADERS], 0)), "")
</f>
        <v>50</v>
      </c>
      <c r="G92" s="6" t="s">
        <v>177</v>
      </c>
      <c r="I92" s="6" t="str">
        <f>C84</f>
        <v>HGBS11</v>
      </c>
    </row>
    <row r="93">
      <c r="A93" s="6" t="s">
        <v>180</v>
      </c>
      <c r="C93" s="159">
        <f>C86</f>
        <v>0.0831</v>
      </c>
      <c r="G93" s="6" t="s">
        <v>179</v>
      </c>
      <c r="I93" s="6">
        <f>C92</f>
        <v>50</v>
      </c>
    </row>
    <row r="94">
      <c r="A94" s="6" t="s">
        <v>181</v>
      </c>
      <c r="C94" s="45">
        <f>ROUNDDOWN(C92*C93,0)</f>
        <v>4</v>
      </c>
      <c r="G94" s="6" t="s">
        <v>180</v>
      </c>
      <c r="I94" s="159">
        <f>C86</f>
        <v>0.0831</v>
      </c>
    </row>
    <row r="95">
      <c r="A95" s="6" t="s">
        <v>182</v>
      </c>
      <c r="C95" s="142">
        <f>IFERROR(__xludf.DUMMYFUNCTION("GOOGLEFINANCE(C91)"),18.6)</f>
        <v>18.6</v>
      </c>
      <c r="G95" s="6" t="s">
        <v>181</v>
      </c>
      <c r="I95" s="6">
        <f>C94</f>
        <v>4</v>
      </c>
      <c r="M95" s="159"/>
    </row>
    <row r="96">
      <c r="A96" s="6" t="s">
        <v>184</v>
      </c>
      <c r="C96" s="142">
        <f>C87</f>
        <v>20.5</v>
      </c>
      <c r="G96" s="6" t="s">
        <v>182</v>
      </c>
      <c r="I96" s="142">
        <f>IFERROR(__xludf.DUMMYFUNCTION("GOOGLEFINANCE(I92)"),18.6)</f>
        <v>18.6</v>
      </c>
    </row>
    <row r="97">
      <c r="A97" s="6" t="s">
        <v>185</v>
      </c>
      <c r="C97" s="159">
        <v>0.2</v>
      </c>
      <c r="G97" s="6" t="s">
        <v>168</v>
      </c>
      <c r="I97" s="158">
        <f>E83</f>
        <v>0.01702135525</v>
      </c>
      <c r="M97" s="142"/>
    </row>
    <row r="98">
      <c r="A98" s="6" t="s">
        <v>186</v>
      </c>
      <c r="C98" s="142">
        <f>C99*C97</f>
        <v>-1.52</v>
      </c>
      <c r="G98" s="6" t="s">
        <v>168</v>
      </c>
      <c r="I98" s="166">
        <v>1.0</v>
      </c>
      <c r="M98" s="158"/>
    </row>
    <row r="99">
      <c r="A99" s="6" t="s">
        <v>187</v>
      </c>
      <c r="C99" s="142">
        <f>(C94*C95)-(C94*C96)</f>
        <v>-7.6</v>
      </c>
      <c r="G99" s="6" t="s">
        <v>188</v>
      </c>
      <c r="I99" s="6">
        <v>0.98</v>
      </c>
      <c r="M99" s="159"/>
    </row>
    <row r="100">
      <c r="A100" s="6" t="s">
        <v>189</v>
      </c>
      <c r="C100" s="142">
        <f>C99-C98</f>
        <v>-6.08</v>
      </c>
      <c r="G100" s="6" t="s">
        <v>188</v>
      </c>
      <c r="I100" s="142">
        <f>E83*0.98</f>
        <v>0.01668092815</v>
      </c>
    </row>
    <row r="101">
      <c r="G101" s="6" t="s">
        <v>185</v>
      </c>
      <c r="I101" s="159">
        <v>0.2</v>
      </c>
    </row>
    <row r="102">
      <c r="A102" s="6" t="s">
        <v>190</v>
      </c>
      <c r="G102" s="6" t="s">
        <v>186</v>
      </c>
      <c r="I102" s="142">
        <f>I103*I101</f>
        <v>14.86665526</v>
      </c>
    </row>
    <row r="103">
      <c r="A103" s="6" t="s">
        <v>191</v>
      </c>
      <c r="B103" s="142">
        <f t="array" ref="B103">IFERROR(INDEX(Fiis[], MATCH(C84, Fiis[Fii], 0), MATCH(Fiis[[#HEADERS],[Div/12]], Fiis[#HEADERS], 0)), "")
</f>
        <v>0.155</v>
      </c>
      <c r="G103" s="6" t="s">
        <v>187</v>
      </c>
      <c r="I103" s="142">
        <f>(I95*I96)-(I95*I100)</f>
        <v>74.33327629</v>
      </c>
    </row>
    <row r="104">
      <c r="A104" s="6" t="s">
        <v>192</v>
      </c>
      <c r="B104" s="142">
        <f>(B103*C94)*2</f>
        <v>1.24</v>
      </c>
      <c r="G104" s="6" t="s">
        <v>189</v>
      </c>
      <c r="I104" s="142">
        <f>I103-I102</f>
        <v>59.46662103</v>
      </c>
    </row>
    <row r="105">
      <c r="A105" s="6" t="s">
        <v>193</v>
      </c>
      <c r="B105" s="142">
        <f>C100-B104</f>
        <v>-7.32</v>
      </c>
      <c r="L105" s="142"/>
    </row>
    <row r="106">
      <c r="A106" s="6" t="s">
        <v>196</v>
      </c>
      <c r="B106" s="142">
        <f>IFERROR(C100/B104,0)</f>
        <v>-4.903225806</v>
      </c>
      <c r="G106" s="6" t="s">
        <v>201</v>
      </c>
    </row>
    <row r="107">
      <c r="G107" s="6" t="s">
        <v>191</v>
      </c>
      <c r="H107" s="142">
        <f t="array" ref="H107">IFERROR(INDEX(Fiis[], MATCH(C84, Fiis[Fii], 0), MATCH(Fiis[[#HEADERS],[Div/12]], Fiis[#HEADERS], 0)), "")
</f>
        <v>0.155</v>
      </c>
    </row>
    <row r="108">
      <c r="G108" s="6" t="s">
        <v>192</v>
      </c>
      <c r="H108" s="142">
        <f>(H107*I95)*2</f>
        <v>1.24</v>
      </c>
    </row>
    <row r="109">
      <c r="A109" s="6" t="s">
        <v>205</v>
      </c>
      <c r="G109" s="6" t="s">
        <v>193</v>
      </c>
      <c r="H109" s="142">
        <f>I104-H108</f>
        <v>58.22662103</v>
      </c>
    </row>
    <row r="110">
      <c r="A110" s="6" t="s">
        <v>206</v>
      </c>
      <c r="B110" s="6">
        <v>0.2</v>
      </c>
      <c r="G110" s="6" t="s">
        <v>196</v>
      </c>
      <c r="H110" s="142">
        <f>IFERROR(ROUNDDOWN(I104/H108,0),0)</f>
        <v>47</v>
      </c>
    </row>
    <row r="111">
      <c r="A111" s="6" t="s">
        <v>207</v>
      </c>
      <c r="B111" s="45">
        <f>C94</f>
        <v>4</v>
      </c>
    </row>
    <row r="112">
      <c r="A112" s="6" t="s">
        <v>185</v>
      </c>
      <c r="B112" s="182">
        <v>0.15</v>
      </c>
    </row>
    <row r="113">
      <c r="A113" s="6" t="s">
        <v>186</v>
      </c>
      <c r="B113" s="45">
        <f>B114*B112</f>
        <v>0.12</v>
      </c>
    </row>
    <row r="114">
      <c r="A114" s="6" t="s">
        <v>187</v>
      </c>
      <c r="B114" s="45">
        <f>B110*B111</f>
        <v>0.8</v>
      </c>
    </row>
    <row r="115">
      <c r="A115" s="6" t="s">
        <v>189</v>
      </c>
      <c r="B115" s="142">
        <f>B114-B113</f>
        <v>0.68</v>
      </c>
    </row>
    <row r="117">
      <c r="A117" s="6" t="s">
        <v>208</v>
      </c>
      <c r="C117" s="45" t="str">
        <f>IF(B115  &lt; B105  , "Arbitragem compensa" , "Venda de Direitos compensa")
</f>
        <v>Venda de Direitos compensa</v>
      </c>
    </row>
  </sheetData>
  <mergeCells count="7">
    <mergeCell ref="C82:D82"/>
    <mergeCell ref="C83:D83"/>
    <mergeCell ref="A90:B90"/>
    <mergeCell ref="G91:H91"/>
    <mergeCell ref="A102:C102"/>
    <mergeCell ref="A117:B117"/>
    <mergeCell ref="C117:D117"/>
  </mergeCells>
  <conditionalFormatting sqref="A44">
    <cfRule type="expression" dxfId="5" priority="1">
      <formula>AND($A45="RZTR11", VALUE(SUBSTITUTE($C114,"%","")) &gt; VALUE(SUBSTITUTE($E114,"%",""))*2)</formula>
    </cfRule>
  </conditionalFormatting>
  <conditionalFormatting sqref="A44">
    <cfRule type="expression" dxfId="5" priority="2">
      <formula>AND($A45="BRCO11", VALUE(SUBSTITUTE($C114,"%","")) &gt; VALUE(SUBSTITUTE($E114,"%",""))*2)</formula>
    </cfRule>
  </conditionalFormatting>
  <conditionalFormatting sqref="A44">
    <cfRule type="expression" dxfId="5" priority="3">
      <formula>AND($A45="BTLG11", VALUE(SUBSTITUTE($C114,"%","")) &gt; VALUE(SUBSTITUTE($E114,"%",""))*2)</formula>
    </cfRule>
  </conditionalFormatting>
  <conditionalFormatting sqref="A44">
    <cfRule type="expression" dxfId="5" priority="4">
      <formula>AND($A45="XPLG11", VALUE(SUBSTITUTE($C114,"%","")) &gt; VALUE(SUBSTITUTE($E114,"%",""))*2)</formula>
    </cfRule>
  </conditionalFormatting>
  <conditionalFormatting sqref="A44">
    <cfRule type="expression" dxfId="5" priority="5">
      <formula>AND($A45="GGRC11", VALUE(SUBSTITUTE($C114,"%","")) &gt; VALUE(SUBSTITUTE($E114,"%",""))*2)</formula>
    </cfRule>
  </conditionalFormatting>
  <conditionalFormatting sqref="A44">
    <cfRule type="expression" dxfId="5" priority="6">
      <formula>AND($A45="GARE11", VALUE(SUBSTITUTE($C114,"%","")) &gt; VALUE(SUBSTITUTE($E114,"%",""))*2)</formula>
    </cfRule>
  </conditionalFormatting>
  <conditionalFormatting sqref="A44">
    <cfRule type="expression" dxfId="5" priority="7">
      <formula>AND($A45="HGLG11", VALUE(SUBSTITUTE($C114,"%","")) &gt; VALUE(SUBSTITUTE($E114,"%",""))*2)</formula>
    </cfRule>
  </conditionalFormatting>
  <conditionalFormatting sqref="A44">
    <cfRule type="expression" dxfId="5" priority="8">
      <formula>AND($A45="HGBS11", VALUE(SUBSTITUTE($C114,"%","")) &gt; VALUE(SUBSTITUTE($E114,"%",""))*2)</formula>
    </cfRule>
  </conditionalFormatting>
  <conditionalFormatting sqref="A44">
    <cfRule type="expression" dxfId="5" priority="9">
      <formula>AND($A45="MALL11", VALUE(SUBSTITUTE($C114,"%","")) &gt; VALUE(SUBSTITUTE($E114,"%",""))*2)</formula>
    </cfRule>
  </conditionalFormatting>
  <conditionalFormatting sqref="A44">
    <cfRule type="expression" dxfId="5" priority="10">
      <formula>AND($A45="LVBI11", VALUE(SUBSTITUTE($C114,"%","")) &gt; VALUE(SUBSTITUTE($E114,"%",""))*2)</formula>
    </cfRule>
  </conditionalFormatting>
  <conditionalFormatting sqref="A44">
    <cfRule type="expression" dxfId="5" priority="11">
      <formula>AND($A45="RBRF11", VALUE(SUBSTITUTE($C114,"%","")) &gt; VALUE(SUBSTITUTE($E114,"%",""))*2)</formula>
    </cfRule>
  </conditionalFormatting>
  <conditionalFormatting sqref="A44">
    <cfRule type="expression" dxfId="5" priority="12">
      <formula>AND($A45="BTCI11", VALUE(SUBSTITUTE($C114,"%","")) &gt; VALUE(SUBSTITUTE($E114,"%",""))*2)</formula>
    </cfRule>
  </conditionalFormatting>
  <conditionalFormatting sqref="A44">
    <cfRule type="expression" dxfId="5" priority="13">
      <formula>AND($A45="RBRX11", VALUE(SUBSTITUTE($C114,"%","")) &gt; VALUE(SUBSTITUTE($E114,"%",""))*2)</formula>
    </cfRule>
  </conditionalFormatting>
  <conditionalFormatting sqref="A44">
    <cfRule type="expression" dxfId="5" priority="14">
      <formula>AND($A45="MXRF11", VALUE(SUBSTITUTE($C114,"%","")) &gt; VALUE(SUBSTITUTE($E114,"%",""))*2)</formula>
    </cfRule>
  </conditionalFormatting>
  <conditionalFormatting sqref="A44">
    <cfRule type="expression" dxfId="6" priority="15">
      <formula>AND($A45="RZTR11", VALUE(SUBSTITUTE($C114,"%","")) &gt; VALUE(SUBSTITUTE($E114,"%","")))</formula>
    </cfRule>
  </conditionalFormatting>
  <conditionalFormatting sqref="A44">
    <cfRule type="expression" dxfId="6" priority="16">
      <formula>AND($A45="BRCO11", VALUE(SUBSTITUTE($C114,"%","")) &gt; VALUE(SUBSTITUTE($E114,"%","")))</formula>
    </cfRule>
  </conditionalFormatting>
  <conditionalFormatting sqref="A44">
    <cfRule type="expression" dxfId="6" priority="17">
      <formula>AND($A45="BTLG11", VALUE(SUBSTITUTE($C114,"%","")) &gt; VALUE(SUBSTITUTE($E114,"%","")))</formula>
    </cfRule>
  </conditionalFormatting>
  <conditionalFormatting sqref="A44">
    <cfRule type="expression" dxfId="6" priority="18">
      <formula>AND($A45="XPLG11", VALUE(SUBSTITUTE($C114,"%","")) &gt; VALUE(SUBSTITUTE($E114,"%","")))</formula>
    </cfRule>
  </conditionalFormatting>
  <conditionalFormatting sqref="A44">
    <cfRule type="expression" dxfId="6" priority="19">
      <formula>AND($A45="GGRC11", VALUE(SUBSTITUTE($C114,"%","")) &gt; VALUE(SUBSTITUTE($E114,"%","")))</formula>
    </cfRule>
  </conditionalFormatting>
  <conditionalFormatting sqref="A44">
    <cfRule type="expression" dxfId="6" priority="20">
      <formula>AND($A45="GARE11", VALUE(SUBSTITUTE($C114,"%","")) &gt; VALUE(SUBSTITUTE($E114,"%","")))</formula>
    </cfRule>
  </conditionalFormatting>
  <conditionalFormatting sqref="A44">
    <cfRule type="expression" dxfId="6" priority="21">
      <formula>AND($A45="HGBS11", VALUE(SUBSTITUTE($C114,"%","")) &gt; VALUE(SUBSTITUTE($E114,"%","")))</formula>
    </cfRule>
  </conditionalFormatting>
  <conditionalFormatting sqref="A44">
    <cfRule type="expression" dxfId="6" priority="22">
      <formula>AND($A45="MALL11", VALUE(SUBSTITUTE($C114,"%","")) &gt; VALUE(SUBSTITUTE($E114,"%","")))</formula>
    </cfRule>
  </conditionalFormatting>
  <conditionalFormatting sqref="A44">
    <cfRule type="expression" dxfId="6" priority="23">
      <formula>AND($A45="LVBI11", VALUE(SUBSTITUTE($C114,"%","")) &gt; VALUE(SUBSTITUTE($E114,"%","")))</formula>
    </cfRule>
  </conditionalFormatting>
  <conditionalFormatting sqref="A44">
    <cfRule type="expression" dxfId="6" priority="24">
      <formula>AND($A45="RBRF11", VALUE(SUBSTITUTE($C114,"%","")) &gt; VALUE(SUBSTITUTE($E114,"%","")))</formula>
    </cfRule>
  </conditionalFormatting>
  <conditionalFormatting sqref="A44">
    <cfRule type="expression" dxfId="6" priority="25">
      <formula>AND($A45="BTCI11", VALUE(SUBSTITUTE($C114,"%","")) &gt; VALUE(SUBSTITUTE($E114,"%","")))</formula>
    </cfRule>
  </conditionalFormatting>
  <conditionalFormatting sqref="A44">
    <cfRule type="expression" dxfId="6" priority="26">
      <formula>AND($A45="RBRX11", VALUE(SUBSTITUTE($C114,"%","")) &gt; VALUE(SUBSTITUTE($E114,"%","")))</formula>
    </cfRule>
  </conditionalFormatting>
  <conditionalFormatting sqref="A44">
    <cfRule type="expression" dxfId="6" priority="27">
      <formula>AND($A45="MXRF11", VALUE(SUBSTITUTE($C114,"%","")) &gt; VALUE(SUBSTITUTE($E114,"%","")))</formula>
    </cfRule>
  </conditionalFormatting>
  <conditionalFormatting sqref="A44">
    <cfRule type="expression" dxfId="7" priority="28">
      <formula>AND($A45="RZTR11", VALUE(SUBSTITUTE($C114,"%","")) &lt; VALUE(SUBSTITUTE($E114,"%","")))</formula>
    </cfRule>
  </conditionalFormatting>
  <conditionalFormatting sqref="A44">
    <cfRule type="expression" dxfId="7" priority="29">
      <formula>AND($A45="BRCO11", VALUE(SUBSTITUTE($C114,"%","")) &lt; VALUE(SUBSTITUTE($E114,"%","")))</formula>
    </cfRule>
  </conditionalFormatting>
  <conditionalFormatting sqref="A44">
    <cfRule type="expression" dxfId="7" priority="30">
      <formula>AND($A45="BTLG11", VALUE(SUBSTITUTE($C114,"%","")) &lt; VALUE(SUBSTITUTE($E114,"%","")))</formula>
    </cfRule>
  </conditionalFormatting>
  <conditionalFormatting sqref="A44">
    <cfRule type="expression" dxfId="7" priority="31">
      <formula>AND($A45="XPLG11", VALUE(SUBSTITUTE($C114,"%","")) &lt; VALUE(SUBSTITUTE($E114,"%","")))</formula>
    </cfRule>
  </conditionalFormatting>
  <conditionalFormatting sqref="A44">
    <cfRule type="expression" dxfId="7" priority="32">
      <formula>AND($A45="GGRC11", VALUE(SUBSTITUTE($C114,"%","")) &lt; VALUE(SUBSTITUTE($E114,"%","")))</formula>
    </cfRule>
  </conditionalFormatting>
  <conditionalFormatting sqref="A44">
    <cfRule type="expression" dxfId="7" priority="33">
      <formula>AND($A45="GARE11", VALUE(SUBSTITUTE($C114,"%","")) &lt; VALUE(SUBSTITUTE($E114,"%","")))</formula>
    </cfRule>
  </conditionalFormatting>
  <conditionalFormatting sqref="A44">
    <cfRule type="expression" dxfId="7" priority="34">
      <formula>AND($A45="HGLG11", VALUE(SUBSTITUTE($C114,"%","")) &lt; VALUE(SUBSTITUTE($E114,"%","")))</formula>
    </cfRule>
  </conditionalFormatting>
  <conditionalFormatting sqref="A44">
    <cfRule type="expression" dxfId="7" priority="35">
      <formula>AND($A45="HGBS11", VALUE(SUBSTITUTE($C114,"%","")) &lt; VALUE(SUBSTITUTE($E114,"%","")))</formula>
    </cfRule>
  </conditionalFormatting>
  <conditionalFormatting sqref="A44">
    <cfRule type="expression" dxfId="7" priority="36">
      <formula>AND($A45="MALL11", VALUE(SUBSTITUTE($C114,"%","")) &lt; VALUE(SUBSTITUTE($E114,"%","")))</formula>
    </cfRule>
  </conditionalFormatting>
  <conditionalFormatting sqref="A44">
    <cfRule type="expression" dxfId="7" priority="37">
      <formula>AND($A45="LVBI11", VALUE(SUBSTITUTE($C114,"%","")) &lt; VALUE(SUBSTITUTE($E114,"%","")))</formula>
    </cfRule>
  </conditionalFormatting>
  <conditionalFormatting sqref="A44">
    <cfRule type="expression" dxfId="7" priority="38">
      <formula>AND($A45="RBRF11", VALUE(SUBSTITUTE($C114,"%","")) &lt; VALUE(SUBSTITUTE($E114,"%","")))</formula>
    </cfRule>
  </conditionalFormatting>
  <conditionalFormatting sqref="A44">
    <cfRule type="expression" dxfId="7" priority="39">
      <formula>AND($A45="BTCI11", VALUE(SUBSTITUTE($C114,"%","")) &lt; VALUE(SUBSTITUTE($E114,"%","")))</formula>
    </cfRule>
  </conditionalFormatting>
  <conditionalFormatting sqref="A44">
    <cfRule type="expression" dxfId="7" priority="40">
      <formula>AND($A45="RBRX11", VALUE(SUBSTITUTE($C114,"%","")) &lt; VALUE(SUBSTITUTE($E114,"%","")))</formula>
    </cfRule>
  </conditionalFormatting>
  <conditionalFormatting sqref="A44">
    <cfRule type="expression" dxfId="7" priority="41">
      <formula>AND($A45="MXRF11", VALUE(SUBSTITUTE($C114,"%","")) &lt; VALUE(SUBSTITUTE($E114,"%","")))</formula>
    </cfRule>
  </conditionalFormatting>
  <conditionalFormatting sqref="A46 A49 A52">
    <cfRule type="expression" dxfId="5" priority="42">
      <formula>AND($A47="RZTR11", VALUE(SUBSTITUTE($C117,"%","")) &gt; VALUE(SUBSTITUTE($E117,"%",""))*2)</formula>
    </cfRule>
  </conditionalFormatting>
  <conditionalFormatting sqref="A46 A49 A52">
    <cfRule type="expression" dxfId="5" priority="43">
      <formula>AND($A47="BRCO11", VALUE(SUBSTITUTE($C117,"%","")) &gt; VALUE(SUBSTITUTE($E117,"%",""))*2)</formula>
    </cfRule>
  </conditionalFormatting>
  <conditionalFormatting sqref="A46 A49 A52">
    <cfRule type="expression" dxfId="5" priority="44">
      <formula>AND($A47="BTLG11", VALUE(SUBSTITUTE($C117,"%","")) &gt; VALUE(SUBSTITUTE($E117,"%",""))*2)</formula>
    </cfRule>
  </conditionalFormatting>
  <conditionalFormatting sqref="A46 A49 A52">
    <cfRule type="expression" dxfId="5" priority="45">
      <formula>AND($A47="XPLG11", VALUE(SUBSTITUTE($C117,"%","")) &gt; VALUE(SUBSTITUTE($E117,"%",""))*2)</formula>
    </cfRule>
  </conditionalFormatting>
  <conditionalFormatting sqref="A46 A49 A52">
    <cfRule type="expression" dxfId="5" priority="46">
      <formula>AND($A47="GGRC11", VALUE(SUBSTITUTE($C117,"%","")) &gt; VALUE(SUBSTITUTE($E117,"%",""))*2)</formula>
    </cfRule>
  </conditionalFormatting>
  <conditionalFormatting sqref="A46 A49 A52">
    <cfRule type="expression" dxfId="5" priority="47">
      <formula>AND($A47="GARE11", VALUE(SUBSTITUTE($C117,"%","")) &gt; VALUE(SUBSTITUTE($E117,"%",""))*2)</formula>
    </cfRule>
  </conditionalFormatting>
  <conditionalFormatting sqref="A46 A49 A52">
    <cfRule type="expression" dxfId="5" priority="48">
      <formula>AND($A47="HGLG11", VALUE(SUBSTITUTE($C117,"%","")) &gt; VALUE(SUBSTITUTE($E117,"%",""))*2)</formula>
    </cfRule>
  </conditionalFormatting>
  <conditionalFormatting sqref="A46 A49 A52">
    <cfRule type="expression" dxfId="5" priority="49">
      <formula>AND($A47="HGBS11", VALUE(SUBSTITUTE($C117,"%","")) &gt; VALUE(SUBSTITUTE($E117,"%",""))*2)</formula>
    </cfRule>
  </conditionalFormatting>
  <conditionalFormatting sqref="A46 A49 A52">
    <cfRule type="expression" dxfId="5" priority="50">
      <formula>AND($A47="MALL11", VALUE(SUBSTITUTE($C117,"%","")) &gt; VALUE(SUBSTITUTE($E117,"%",""))*2)</formula>
    </cfRule>
  </conditionalFormatting>
  <conditionalFormatting sqref="A46 A49 A52">
    <cfRule type="expression" dxfId="5" priority="51">
      <formula>AND($A47="LVBI11", VALUE(SUBSTITUTE($C117,"%","")) &gt; VALUE(SUBSTITUTE($E117,"%",""))*2)</formula>
    </cfRule>
  </conditionalFormatting>
  <conditionalFormatting sqref="A46 A49 A52">
    <cfRule type="expression" dxfId="5" priority="52">
      <formula>AND($A47="RBRF11", VALUE(SUBSTITUTE($C117,"%","")) &gt; VALUE(SUBSTITUTE($E117,"%",""))*2)</formula>
    </cfRule>
  </conditionalFormatting>
  <conditionalFormatting sqref="A46 A49 A52">
    <cfRule type="expression" dxfId="5" priority="53">
      <formula>AND($A47="BTCI11", VALUE(SUBSTITUTE($C117,"%","")) &gt; VALUE(SUBSTITUTE($E117,"%",""))*2)</formula>
    </cfRule>
  </conditionalFormatting>
  <conditionalFormatting sqref="A46 A49 A52">
    <cfRule type="expression" dxfId="5" priority="54">
      <formula>AND($A47="RBRX11", VALUE(SUBSTITUTE($C117,"%","")) &gt; VALUE(SUBSTITUTE($E117,"%",""))*2)</formula>
    </cfRule>
  </conditionalFormatting>
  <conditionalFormatting sqref="A46 A49 A52">
    <cfRule type="expression" dxfId="5" priority="55">
      <formula>AND($A47="MXRF11", VALUE(SUBSTITUTE($C117,"%","")) &gt; VALUE(SUBSTITUTE($E117,"%",""))*2)</formula>
    </cfRule>
  </conditionalFormatting>
  <conditionalFormatting sqref="A46 A49 A52">
    <cfRule type="expression" dxfId="6" priority="56">
      <formula>AND($A47="RZTR11", VALUE(SUBSTITUTE($C117,"%","")) &gt; VALUE(SUBSTITUTE($E117,"%","")))</formula>
    </cfRule>
  </conditionalFormatting>
  <conditionalFormatting sqref="A46 A49 A52">
    <cfRule type="expression" dxfId="6" priority="57">
      <formula>AND($A47="BRCO11", VALUE(SUBSTITUTE($C117,"%","")) &gt; VALUE(SUBSTITUTE($E117,"%","")))</formula>
    </cfRule>
  </conditionalFormatting>
  <conditionalFormatting sqref="A46 A49 A52">
    <cfRule type="expression" dxfId="6" priority="58">
      <formula>AND($A47="BTLG11", VALUE(SUBSTITUTE($C117,"%","")) &gt; VALUE(SUBSTITUTE($E117,"%","")))</formula>
    </cfRule>
  </conditionalFormatting>
  <conditionalFormatting sqref="A46 A49 A52">
    <cfRule type="expression" dxfId="6" priority="59">
      <formula>AND($A47="XPLG11", VALUE(SUBSTITUTE($C117,"%","")) &gt; VALUE(SUBSTITUTE($E117,"%","")))</formula>
    </cfRule>
  </conditionalFormatting>
  <conditionalFormatting sqref="A46 A49 A52">
    <cfRule type="expression" dxfId="6" priority="60">
      <formula>AND($A47="GGRC11", VALUE(SUBSTITUTE($C117,"%","")) &gt; VALUE(SUBSTITUTE($E117,"%","")))</formula>
    </cfRule>
  </conditionalFormatting>
  <conditionalFormatting sqref="A46 A49 A52">
    <cfRule type="expression" dxfId="6" priority="61">
      <formula>AND($A47="GARE11", VALUE(SUBSTITUTE($C117,"%","")) &gt; VALUE(SUBSTITUTE($E117,"%","")))</formula>
    </cfRule>
  </conditionalFormatting>
  <conditionalFormatting sqref="A46 A49 A52">
    <cfRule type="expression" dxfId="6" priority="62">
      <formula>AND($A47="HGBS11", VALUE(SUBSTITUTE($C117,"%","")) &gt; VALUE(SUBSTITUTE($E117,"%","")))</formula>
    </cfRule>
  </conditionalFormatting>
  <conditionalFormatting sqref="A46 A49 A52">
    <cfRule type="expression" dxfId="6" priority="63">
      <formula>AND($A47="MALL11", VALUE(SUBSTITUTE($C117,"%","")) &gt; VALUE(SUBSTITUTE($E117,"%","")))</formula>
    </cfRule>
  </conditionalFormatting>
  <conditionalFormatting sqref="A46 A49 A52">
    <cfRule type="expression" dxfId="6" priority="64">
      <formula>AND($A47="LVBI11", VALUE(SUBSTITUTE($C117,"%","")) &gt; VALUE(SUBSTITUTE($E117,"%","")))</formula>
    </cfRule>
  </conditionalFormatting>
  <conditionalFormatting sqref="A46 A49 A52">
    <cfRule type="expression" dxfId="6" priority="65">
      <formula>AND($A47="RBRF11", VALUE(SUBSTITUTE($C117,"%","")) &gt; VALUE(SUBSTITUTE($E117,"%","")))</formula>
    </cfRule>
  </conditionalFormatting>
  <conditionalFormatting sqref="A46 A49 A52">
    <cfRule type="expression" dxfId="6" priority="66">
      <formula>AND($A47="BTCI11", VALUE(SUBSTITUTE($C117,"%","")) &gt; VALUE(SUBSTITUTE($E117,"%","")))</formula>
    </cfRule>
  </conditionalFormatting>
  <conditionalFormatting sqref="A46 A49 A52">
    <cfRule type="expression" dxfId="6" priority="67">
      <formula>AND($A47="RBRX11", VALUE(SUBSTITUTE($C117,"%","")) &gt; VALUE(SUBSTITUTE($E117,"%","")))</formula>
    </cfRule>
  </conditionalFormatting>
  <conditionalFormatting sqref="A46 A49 A52">
    <cfRule type="expression" dxfId="6" priority="68">
      <formula>AND($A47="MXRF11", VALUE(SUBSTITUTE($C117,"%","")) &gt; VALUE(SUBSTITUTE($E117,"%","")))</formula>
    </cfRule>
  </conditionalFormatting>
  <conditionalFormatting sqref="A46 A49 A52">
    <cfRule type="expression" dxfId="7" priority="69">
      <formula>AND($A47="RZTR11", VALUE(SUBSTITUTE($C117,"%","")) &lt; VALUE(SUBSTITUTE($E117,"%","")))</formula>
    </cfRule>
  </conditionalFormatting>
  <conditionalFormatting sqref="A46 A49 A52">
    <cfRule type="expression" dxfId="7" priority="70">
      <formula>AND($A47="BRCO11", VALUE(SUBSTITUTE($C117,"%","")) &lt; VALUE(SUBSTITUTE($E117,"%","")))</formula>
    </cfRule>
  </conditionalFormatting>
  <conditionalFormatting sqref="A46 A49 A52">
    <cfRule type="expression" dxfId="7" priority="71">
      <formula>AND($A47="BTLG11", VALUE(SUBSTITUTE($C117,"%","")) &lt; VALUE(SUBSTITUTE($E117,"%","")))</formula>
    </cfRule>
  </conditionalFormatting>
  <conditionalFormatting sqref="A46 A49 A52">
    <cfRule type="expression" dxfId="7" priority="72">
      <formula>AND($A47="XPLG11", VALUE(SUBSTITUTE($C117,"%","")) &lt; VALUE(SUBSTITUTE($E117,"%","")))</formula>
    </cfRule>
  </conditionalFormatting>
  <conditionalFormatting sqref="A46 A49 A52">
    <cfRule type="expression" dxfId="7" priority="73">
      <formula>AND($A47="GGRC11", VALUE(SUBSTITUTE($C117,"%","")) &lt; VALUE(SUBSTITUTE($E117,"%","")))</formula>
    </cfRule>
  </conditionalFormatting>
  <conditionalFormatting sqref="A46 A49 A52">
    <cfRule type="expression" dxfId="7" priority="74">
      <formula>AND($A47="GARE11", VALUE(SUBSTITUTE($C117,"%","")) &lt; VALUE(SUBSTITUTE($E117,"%","")))</formula>
    </cfRule>
  </conditionalFormatting>
  <conditionalFormatting sqref="A46 A49 A52">
    <cfRule type="expression" dxfId="7" priority="75">
      <formula>AND($A47="HGLG11", VALUE(SUBSTITUTE($C117,"%","")) &lt; VALUE(SUBSTITUTE($E117,"%","")))</formula>
    </cfRule>
  </conditionalFormatting>
  <conditionalFormatting sqref="A46 A49 A52">
    <cfRule type="expression" dxfId="7" priority="76">
      <formula>AND($A47="HGBS11", VALUE(SUBSTITUTE($C117,"%","")) &lt; VALUE(SUBSTITUTE($E117,"%","")))</formula>
    </cfRule>
  </conditionalFormatting>
  <conditionalFormatting sqref="A46 A49 A52">
    <cfRule type="expression" dxfId="7" priority="77">
      <formula>AND($A47="MALL11", VALUE(SUBSTITUTE($C117,"%","")) &lt; VALUE(SUBSTITUTE($E117,"%","")))</formula>
    </cfRule>
  </conditionalFormatting>
  <conditionalFormatting sqref="A46 A49 A52">
    <cfRule type="expression" dxfId="7" priority="78">
      <formula>AND($A47="LVBI11", VALUE(SUBSTITUTE($C117,"%","")) &lt; VALUE(SUBSTITUTE($E117,"%","")))</formula>
    </cfRule>
  </conditionalFormatting>
  <conditionalFormatting sqref="A46 A49 A52">
    <cfRule type="expression" dxfId="7" priority="79">
      <formula>AND($A47="RBRF11", VALUE(SUBSTITUTE($C117,"%","")) &lt; VALUE(SUBSTITUTE($E117,"%","")))</formula>
    </cfRule>
  </conditionalFormatting>
  <conditionalFormatting sqref="A46 A49 A52">
    <cfRule type="expression" dxfId="7" priority="80">
      <formula>AND($A47="BTCI11", VALUE(SUBSTITUTE($C117,"%","")) &lt; VALUE(SUBSTITUTE($E117,"%","")))</formula>
    </cfRule>
  </conditionalFormatting>
  <conditionalFormatting sqref="A46 A49 A52">
    <cfRule type="expression" dxfId="7" priority="81">
      <formula>AND($A47="RBRX11", VALUE(SUBSTITUTE($C117,"%","")) &lt; VALUE(SUBSTITUTE($E117,"%","")))</formula>
    </cfRule>
  </conditionalFormatting>
  <conditionalFormatting sqref="A46 A49 A52">
    <cfRule type="expression" dxfId="7" priority="82">
      <formula>AND($A47="MXRF11", VALUE(SUBSTITUTE($C117,"%","")) &lt; VALUE(SUBSTITUTE($E117,"%","")))</formula>
    </cfRule>
  </conditionalFormatting>
  <conditionalFormatting sqref="A21 A24 A27">
    <cfRule type="expression" dxfId="5" priority="83">
      <formula>AND($A22="RZTR11", VALUE(SUBSTITUTE($C91,"%","")) &gt; VALUE(SUBSTITUTE($E91,"%",""))*2)</formula>
    </cfRule>
  </conditionalFormatting>
  <conditionalFormatting sqref="A21 A24 A27">
    <cfRule type="expression" dxfId="5" priority="84">
      <formula>AND($A22="BRCO11", VALUE(SUBSTITUTE($C91,"%","")) &gt; VALUE(SUBSTITUTE($E91,"%",""))*2)</formula>
    </cfRule>
  </conditionalFormatting>
  <conditionalFormatting sqref="A21 A24 A27">
    <cfRule type="expression" dxfId="5" priority="85">
      <formula>AND($A22="BTLG11", VALUE(SUBSTITUTE($C91,"%","")) &gt; VALUE(SUBSTITUTE($E91,"%",""))*2)</formula>
    </cfRule>
  </conditionalFormatting>
  <conditionalFormatting sqref="A21 A24 A27">
    <cfRule type="expression" dxfId="5" priority="86">
      <formula>AND($A22="XPLG11", VALUE(SUBSTITUTE($C91,"%","")) &gt; VALUE(SUBSTITUTE($E91,"%",""))*2)</formula>
    </cfRule>
  </conditionalFormatting>
  <conditionalFormatting sqref="A21 A24 A27">
    <cfRule type="expression" dxfId="5" priority="87">
      <formula>AND($A22="GGRC11", VALUE(SUBSTITUTE($C91,"%","")) &gt; VALUE(SUBSTITUTE($E91,"%",""))*2)</formula>
    </cfRule>
  </conditionalFormatting>
  <conditionalFormatting sqref="A21 A24 A27">
    <cfRule type="expression" dxfId="5" priority="88">
      <formula>AND($A22="GARE11", VALUE(SUBSTITUTE($C91,"%","")) &gt; VALUE(SUBSTITUTE($E91,"%",""))*2)</formula>
    </cfRule>
  </conditionalFormatting>
  <conditionalFormatting sqref="A21 A24 A27">
    <cfRule type="expression" dxfId="5" priority="89">
      <formula>AND($A22="HGLG11", VALUE(SUBSTITUTE($C91,"%","")) &gt; VALUE(SUBSTITUTE($E91,"%",""))*2)</formula>
    </cfRule>
  </conditionalFormatting>
  <conditionalFormatting sqref="A21 A24 A27">
    <cfRule type="expression" dxfId="5" priority="90">
      <formula>AND($A22="HGBS11", VALUE(SUBSTITUTE($C91,"%","")) &gt; VALUE(SUBSTITUTE($E91,"%",""))*2)</formula>
    </cfRule>
  </conditionalFormatting>
  <conditionalFormatting sqref="A21 A24 A27">
    <cfRule type="expression" dxfId="5" priority="91">
      <formula>AND($A22="MALL11", VALUE(SUBSTITUTE($C91,"%","")) &gt; VALUE(SUBSTITUTE($E91,"%",""))*2)</formula>
    </cfRule>
  </conditionalFormatting>
  <conditionalFormatting sqref="A21 A24 A27">
    <cfRule type="expression" dxfId="5" priority="92">
      <formula>AND($A22="LVBI11", VALUE(SUBSTITUTE($C91,"%","")) &gt; VALUE(SUBSTITUTE($E91,"%",""))*2)</formula>
    </cfRule>
  </conditionalFormatting>
  <conditionalFormatting sqref="A21 A24 A27">
    <cfRule type="expression" dxfId="5" priority="93">
      <formula>AND($A22="RBRF11", VALUE(SUBSTITUTE($C91,"%","")) &gt; VALUE(SUBSTITUTE($E91,"%",""))*2)</formula>
    </cfRule>
  </conditionalFormatting>
  <conditionalFormatting sqref="A21 A24 A27">
    <cfRule type="expression" dxfId="5" priority="94">
      <formula>AND($A22="BTCI11", VALUE(SUBSTITUTE($C91,"%","")) &gt; VALUE(SUBSTITUTE($E91,"%",""))*2)</formula>
    </cfRule>
  </conditionalFormatting>
  <conditionalFormatting sqref="A21 A24 A27">
    <cfRule type="expression" dxfId="5" priority="95">
      <formula>AND($A22="RBRX11", VALUE(SUBSTITUTE($C91,"%","")) &gt; VALUE(SUBSTITUTE($E91,"%",""))*2)</formula>
    </cfRule>
  </conditionalFormatting>
  <conditionalFormatting sqref="A21 A24 A27">
    <cfRule type="expression" dxfId="5" priority="96">
      <formula>AND($A22="MXRF11", VALUE(SUBSTITUTE($C91,"%","")) &gt; VALUE(SUBSTITUTE($E91,"%",""))*2)</formula>
    </cfRule>
  </conditionalFormatting>
  <conditionalFormatting sqref="A21 A24 A27">
    <cfRule type="expression" dxfId="6" priority="97">
      <formula>AND($A22="RZTR11", VALUE(SUBSTITUTE($C91,"%","")) &gt; VALUE(SUBSTITUTE($E91,"%","")))</formula>
    </cfRule>
  </conditionalFormatting>
  <conditionalFormatting sqref="A21 A24 A27">
    <cfRule type="expression" dxfId="6" priority="98">
      <formula>AND($A22="BRCO11", VALUE(SUBSTITUTE($C91,"%","")) &gt; VALUE(SUBSTITUTE($E91,"%","")))</formula>
    </cfRule>
  </conditionalFormatting>
  <conditionalFormatting sqref="A21 A24 A27">
    <cfRule type="expression" dxfId="6" priority="99">
      <formula>AND($A22="BTLG11", VALUE(SUBSTITUTE($C91,"%","")) &gt; VALUE(SUBSTITUTE($E91,"%","")))</formula>
    </cfRule>
  </conditionalFormatting>
  <conditionalFormatting sqref="A21 A24 A27">
    <cfRule type="expression" dxfId="6" priority="100">
      <formula>AND($A22="XPLG11", VALUE(SUBSTITUTE($C91,"%","")) &gt; VALUE(SUBSTITUTE($E91,"%","")))</formula>
    </cfRule>
  </conditionalFormatting>
  <conditionalFormatting sqref="A21 A24 A27">
    <cfRule type="expression" dxfId="6" priority="101">
      <formula>AND($A22="GGRC11", VALUE(SUBSTITUTE($C91,"%","")) &gt; VALUE(SUBSTITUTE($E91,"%","")))</formula>
    </cfRule>
  </conditionalFormatting>
  <conditionalFormatting sqref="A21 A24 A27">
    <cfRule type="expression" dxfId="6" priority="102">
      <formula>AND($A22="GARE11", VALUE(SUBSTITUTE($C91,"%","")) &gt; VALUE(SUBSTITUTE($E91,"%","")))</formula>
    </cfRule>
  </conditionalFormatting>
  <conditionalFormatting sqref="A21 A24 A27">
    <cfRule type="expression" dxfId="6" priority="103">
      <formula>AND($A22="HGBS11", VALUE(SUBSTITUTE($C91,"%","")) &gt; VALUE(SUBSTITUTE($E91,"%","")))</formula>
    </cfRule>
  </conditionalFormatting>
  <conditionalFormatting sqref="A21 A24 A27">
    <cfRule type="expression" dxfId="6" priority="104">
      <formula>AND($A22="MALL11", VALUE(SUBSTITUTE($C91,"%","")) &gt; VALUE(SUBSTITUTE($E91,"%","")))</formula>
    </cfRule>
  </conditionalFormatting>
  <conditionalFormatting sqref="A21 A24 A27">
    <cfRule type="expression" dxfId="6" priority="105">
      <formula>AND($A22="LVBI11", VALUE(SUBSTITUTE($C91,"%","")) &gt; VALUE(SUBSTITUTE($E91,"%","")))</formula>
    </cfRule>
  </conditionalFormatting>
  <conditionalFormatting sqref="A21 A24 A27">
    <cfRule type="expression" dxfId="6" priority="106">
      <formula>AND($A22="RBRF11", VALUE(SUBSTITUTE($C91,"%","")) &gt; VALUE(SUBSTITUTE($E91,"%","")))</formula>
    </cfRule>
  </conditionalFormatting>
  <conditionalFormatting sqref="A21 A24 A27">
    <cfRule type="expression" dxfId="6" priority="107">
      <formula>AND($A22="BTCI11", VALUE(SUBSTITUTE($C91,"%","")) &gt; VALUE(SUBSTITUTE($E91,"%","")))</formula>
    </cfRule>
  </conditionalFormatting>
  <conditionalFormatting sqref="A21 A24 A27">
    <cfRule type="expression" dxfId="6" priority="108">
      <formula>AND($A22="RBRX11", VALUE(SUBSTITUTE($C91,"%","")) &gt; VALUE(SUBSTITUTE($E91,"%","")))</formula>
    </cfRule>
  </conditionalFormatting>
  <conditionalFormatting sqref="A21 A24 A27">
    <cfRule type="expression" dxfId="6" priority="109">
      <formula>AND($A22="MXRF11", VALUE(SUBSTITUTE($C91,"%","")) &gt; VALUE(SUBSTITUTE($E91,"%","")))</formula>
    </cfRule>
  </conditionalFormatting>
  <conditionalFormatting sqref="A21 A24 A27">
    <cfRule type="expression" dxfId="7" priority="110">
      <formula>AND($A22="RZTR11", VALUE(SUBSTITUTE($C91,"%","")) &lt; VALUE(SUBSTITUTE($E91,"%","")))</formula>
    </cfRule>
  </conditionalFormatting>
  <conditionalFormatting sqref="A21 A24 A27">
    <cfRule type="expression" dxfId="7" priority="111">
      <formula>AND($A22="BRCO11", VALUE(SUBSTITUTE($C91,"%","")) &lt; VALUE(SUBSTITUTE($E91,"%","")))</formula>
    </cfRule>
  </conditionalFormatting>
  <conditionalFormatting sqref="A21 A24 A27">
    <cfRule type="expression" dxfId="7" priority="112">
      <formula>AND($A22="BTLG11", VALUE(SUBSTITUTE($C91,"%","")) &lt; VALUE(SUBSTITUTE($E91,"%","")))</formula>
    </cfRule>
  </conditionalFormatting>
  <conditionalFormatting sqref="A21 A24 A27">
    <cfRule type="expression" dxfId="7" priority="113">
      <formula>AND($A22="XPLG11", VALUE(SUBSTITUTE($C91,"%","")) &lt; VALUE(SUBSTITUTE($E91,"%","")))</formula>
    </cfRule>
  </conditionalFormatting>
  <conditionalFormatting sqref="A21 A24 A27">
    <cfRule type="expression" dxfId="7" priority="114">
      <formula>AND($A22="GGRC11", VALUE(SUBSTITUTE($C91,"%","")) &lt; VALUE(SUBSTITUTE($E91,"%","")))</formula>
    </cfRule>
  </conditionalFormatting>
  <conditionalFormatting sqref="A21 A24 A27">
    <cfRule type="expression" dxfId="7" priority="115">
      <formula>AND($A22="GARE11", VALUE(SUBSTITUTE($C91,"%","")) &lt; VALUE(SUBSTITUTE($E91,"%","")))</formula>
    </cfRule>
  </conditionalFormatting>
  <conditionalFormatting sqref="A21 A24 A27">
    <cfRule type="expression" dxfId="7" priority="116">
      <formula>AND($A22="HGLG11", VALUE(SUBSTITUTE($C91,"%","")) &lt; VALUE(SUBSTITUTE($E91,"%","")))</formula>
    </cfRule>
  </conditionalFormatting>
  <conditionalFormatting sqref="A21 A24 A27">
    <cfRule type="expression" dxfId="7" priority="117">
      <formula>AND($A22="HGBS11", VALUE(SUBSTITUTE($C91,"%","")) &lt; VALUE(SUBSTITUTE($E91,"%","")))</formula>
    </cfRule>
  </conditionalFormatting>
  <conditionalFormatting sqref="A21 A24 A27">
    <cfRule type="expression" dxfId="7" priority="118">
      <formula>AND($A22="MALL11", VALUE(SUBSTITUTE($C91,"%","")) &lt; VALUE(SUBSTITUTE($E91,"%","")))</formula>
    </cfRule>
  </conditionalFormatting>
  <conditionalFormatting sqref="A21 A24 A27">
    <cfRule type="expression" dxfId="7" priority="119">
      <formula>AND($A22="LVBI11", VALUE(SUBSTITUTE($C91,"%","")) &lt; VALUE(SUBSTITUTE($E91,"%","")))</formula>
    </cfRule>
  </conditionalFormatting>
  <conditionalFormatting sqref="A21 A24 A27">
    <cfRule type="expression" dxfId="7" priority="120">
      <formula>AND($A22="RBRF11", VALUE(SUBSTITUTE($C91,"%","")) &lt; VALUE(SUBSTITUTE($E91,"%","")))</formula>
    </cfRule>
  </conditionalFormatting>
  <conditionalFormatting sqref="A21 A24 A27">
    <cfRule type="expression" dxfId="7" priority="121">
      <formula>AND($A22="BTCI11", VALUE(SUBSTITUTE($C91,"%","")) &lt; VALUE(SUBSTITUTE($E91,"%","")))</formula>
    </cfRule>
  </conditionalFormatting>
  <conditionalFormatting sqref="A21 A24 A27">
    <cfRule type="expression" dxfId="7" priority="122">
      <formula>AND($A22="RBRX11", VALUE(SUBSTITUTE($C91,"%","")) &lt; VALUE(SUBSTITUTE($E91,"%","")))</formula>
    </cfRule>
  </conditionalFormatting>
  <conditionalFormatting sqref="A21 A24 A27">
    <cfRule type="expression" dxfId="7" priority="123">
      <formula>AND($A22="MXRF11", VALUE(SUBSTITUTE($C91,"%","")) &lt; VALUE(SUBSTITUTE($E91,"%","")))</formula>
    </cfRule>
  </conditionalFormatting>
  <conditionalFormatting sqref="A19:A32 A44:A56">
    <cfRule type="expression" dxfId="5" priority="124">
      <formula>AND($B19="RZTR11", VALUE(SUBSTITUTE($C19,"%","")) &gt; VALUE(SUBSTITUTE($E19,"%",""))*2)</formula>
    </cfRule>
  </conditionalFormatting>
  <conditionalFormatting sqref="A19:A32 A44:A56">
    <cfRule type="expression" dxfId="5" priority="125">
      <formula>AND($B19="BRCO11", VALUE(SUBSTITUTE($C19,"%","")) &gt; VALUE(SUBSTITUTE($E19,"%",""))*2)</formula>
    </cfRule>
  </conditionalFormatting>
  <conditionalFormatting sqref="A19:A32 A44:A56">
    <cfRule type="expression" dxfId="5" priority="126">
      <formula>AND($B19="BTLG11", VALUE(SUBSTITUTE($C19,"%","")) &gt; VALUE(SUBSTITUTE($E19,"%",""))*2)</formula>
    </cfRule>
  </conditionalFormatting>
  <conditionalFormatting sqref="A19:A32 A44:A56">
    <cfRule type="expression" dxfId="5" priority="127">
      <formula>AND($B19="XPLG11", VALUE(SUBSTITUTE($C19,"%","")) &gt; VALUE(SUBSTITUTE($E19,"%",""))*2)</formula>
    </cfRule>
  </conditionalFormatting>
  <conditionalFormatting sqref="A19:A32 A44:A56">
    <cfRule type="expression" dxfId="5" priority="128">
      <formula>AND($B19="GGRC11", VALUE(SUBSTITUTE($C19,"%","")) &gt; VALUE(SUBSTITUTE($E19,"%",""))*2)</formula>
    </cfRule>
  </conditionalFormatting>
  <conditionalFormatting sqref="A19:A32 A44:A56">
    <cfRule type="expression" dxfId="5" priority="129">
      <formula>AND($B19="GARE11", VALUE(SUBSTITUTE($C19,"%","")) &gt; VALUE(SUBSTITUTE($E19,"%",""))*2)</formula>
    </cfRule>
  </conditionalFormatting>
  <conditionalFormatting sqref="A19:A32 A44:A56">
    <cfRule type="expression" dxfId="5" priority="130">
      <formula>AND($B19="HGLG11", VALUE(SUBSTITUTE($C19,"%","")) &gt; VALUE(SUBSTITUTE($E19,"%",""))*2)</formula>
    </cfRule>
  </conditionalFormatting>
  <conditionalFormatting sqref="A19:A32 A44:A56">
    <cfRule type="expression" dxfId="5" priority="131">
      <formula>AND($B19="HGBS11", VALUE(SUBSTITUTE($C19,"%","")) &gt; VALUE(SUBSTITUTE($E19,"%",""))*2)</formula>
    </cfRule>
  </conditionalFormatting>
  <conditionalFormatting sqref="A19:A32 A44:A56">
    <cfRule type="expression" dxfId="5" priority="132">
      <formula>AND($B19="MALL11", VALUE(SUBSTITUTE($C19,"%","")) &gt; VALUE(SUBSTITUTE($E19,"%",""))*2)</formula>
    </cfRule>
  </conditionalFormatting>
  <conditionalFormatting sqref="A19:A32 A44:A56">
    <cfRule type="expression" dxfId="5" priority="133">
      <formula>AND($B19="LVBI11", VALUE(SUBSTITUTE($C19,"%","")) &gt; VALUE(SUBSTITUTE($E19,"%",""))*2)</formula>
    </cfRule>
  </conditionalFormatting>
  <conditionalFormatting sqref="A19:A32 A44:A56">
    <cfRule type="expression" dxfId="5" priority="134">
      <formula>AND($B19="RBRF11", VALUE(SUBSTITUTE($C19,"%","")) &gt; VALUE(SUBSTITUTE($E19,"%",""))*2)</formula>
    </cfRule>
  </conditionalFormatting>
  <conditionalFormatting sqref="A19:A32 A44:A56">
    <cfRule type="expression" dxfId="5" priority="135">
      <formula>AND($B19="BTCI11", VALUE(SUBSTITUTE($C19,"%","")) &gt; VALUE(SUBSTITUTE($E19,"%",""))*2)</formula>
    </cfRule>
  </conditionalFormatting>
  <conditionalFormatting sqref="A19:A32 A44:A56">
    <cfRule type="expression" dxfId="5" priority="136">
      <formula>AND($B19="RBRX11", VALUE(SUBSTITUTE($C19,"%","")) &gt; VALUE(SUBSTITUTE($E19,"%",""))*2)</formula>
    </cfRule>
  </conditionalFormatting>
  <conditionalFormatting sqref="A19:A32 A44:A56">
    <cfRule type="expression" dxfId="5" priority="137">
      <formula>AND($B19="MXRF11", VALUE(SUBSTITUTE($C19,"%","")) &gt; VALUE(SUBSTITUTE($E19,"%",""))*2)</formula>
    </cfRule>
  </conditionalFormatting>
  <conditionalFormatting sqref="A19:A32 A44:A56">
    <cfRule type="expression" dxfId="6" priority="138">
      <formula>AND($B19="RZTR11", VALUE(SUBSTITUTE($C19,"%","")) &gt; VALUE(SUBSTITUTE($E19,"%","")))</formula>
    </cfRule>
  </conditionalFormatting>
  <conditionalFormatting sqref="A19:A32 A44:A56">
    <cfRule type="expression" dxfId="6" priority="139">
      <formula>AND($B19="BRCO11", VALUE(SUBSTITUTE($C19,"%","")) &gt; VALUE(SUBSTITUTE($E19,"%","")))</formula>
    </cfRule>
  </conditionalFormatting>
  <conditionalFormatting sqref="A19:A32 A44:A56">
    <cfRule type="expression" dxfId="6" priority="140">
      <formula>AND($B19="BTLG11", VALUE(SUBSTITUTE($C19,"%","")) &gt; VALUE(SUBSTITUTE($E19,"%","")))</formula>
    </cfRule>
  </conditionalFormatting>
  <conditionalFormatting sqref="A19:A32 A44:A56">
    <cfRule type="expression" dxfId="6" priority="141">
      <formula>AND($B19="XPLG11", VALUE(SUBSTITUTE($C19,"%","")) &gt; VALUE(SUBSTITUTE($E19,"%","")))</formula>
    </cfRule>
  </conditionalFormatting>
  <conditionalFormatting sqref="A19:A32 A44:A56">
    <cfRule type="expression" dxfId="6" priority="142">
      <formula>AND($B19="GGRC11", VALUE(SUBSTITUTE($C19,"%","")) &gt; VALUE(SUBSTITUTE($E19,"%","")))</formula>
    </cfRule>
  </conditionalFormatting>
  <conditionalFormatting sqref="A19:A32 A44:A56">
    <cfRule type="expression" dxfId="6" priority="143">
      <formula>AND($B19="GARE11", VALUE(SUBSTITUTE($C19,"%","")) &gt; VALUE(SUBSTITUTE($E19,"%","")))</formula>
    </cfRule>
  </conditionalFormatting>
  <conditionalFormatting sqref="A19:A32 A44:A56">
    <cfRule type="expression" dxfId="6" priority="144">
      <formula>AND($B19="HGBS11", VALUE(SUBSTITUTE($C19,"%","")) &gt; VALUE(SUBSTITUTE($E19,"%","")))</formula>
    </cfRule>
  </conditionalFormatting>
  <conditionalFormatting sqref="A19:A32 A44:A56">
    <cfRule type="expression" dxfId="6" priority="145">
      <formula>AND($B19="MALL11", VALUE(SUBSTITUTE($C19,"%","")) &gt; VALUE(SUBSTITUTE($E19,"%","")))</formula>
    </cfRule>
  </conditionalFormatting>
  <conditionalFormatting sqref="A19:A32 A44:A56">
    <cfRule type="expression" dxfId="6" priority="146">
      <formula>AND($B19="LVBI11", VALUE(SUBSTITUTE($C19,"%","")) &gt; VALUE(SUBSTITUTE($E19,"%","")))</formula>
    </cfRule>
  </conditionalFormatting>
  <conditionalFormatting sqref="A19:A32 A44:A56">
    <cfRule type="expression" dxfId="6" priority="147">
      <formula>AND($B19="RBRF11", VALUE(SUBSTITUTE($C19,"%","")) &gt; VALUE(SUBSTITUTE($E19,"%","")))</formula>
    </cfRule>
  </conditionalFormatting>
  <conditionalFormatting sqref="A19:A32 A44:A56">
    <cfRule type="expression" dxfId="6" priority="148">
      <formula>AND($B19="BTCI11", VALUE(SUBSTITUTE($C19,"%","")) &gt; VALUE(SUBSTITUTE($E19,"%","")))</formula>
    </cfRule>
  </conditionalFormatting>
  <conditionalFormatting sqref="A19:A32 A44:A56">
    <cfRule type="expression" dxfId="6" priority="149">
      <formula>AND($B19="RBRX11", VALUE(SUBSTITUTE($C19,"%","")) &gt; VALUE(SUBSTITUTE($E19,"%","")))</formula>
    </cfRule>
  </conditionalFormatting>
  <conditionalFormatting sqref="A19:A32 A44:A56">
    <cfRule type="expression" dxfId="6" priority="150">
      <formula>AND($B19="MXRF11", VALUE(SUBSTITUTE($C19,"%","")) &gt; VALUE(SUBSTITUTE($E19,"%","")))</formula>
    </cfRule>
  </conditionalFormatting>
  <conditionalFormatting sqref="A19:A32 A44:A56">
    <cfRule type="expression" dxfId="7" priority="151">
      <formula>AND($B19="RZTR11", VALUE(SUBSTITUTE($C19,"%","")) &lt; VALUE(SUBSTITUTE($E19,"%","")))</formula>
    </cfRule>
  </conditionalFormatting>
  <conditionalFormatting sqref="A19:A32 A44:A56">
    <cfRule type="expression" dxfId="7" priority="152">
      <formula>AND($B19="BRCO11", VALUE(SUBSTITUTE($C19,"%","")) &lt; VALUE(SUBSTITUTE($E19,"%","")))</formula>
    </cfRule>
  </conditionalFormatting>
  <conditionalFormatting sqref="A19:A32 A44:A56">
    <cfRule type="expression" dxfId="7" priority="153">
      <formula>AND($B19="BTLG11", VALUE(SUBSTITUTE($C19,"%","")) &lt; VALUE(SUBSTITUTE($E19,"%","")))</formula>
    </cfRule>
  </conditionalFormatting>
  <conditionalFormatting sqref="A19:A32 A44:A56">
    <cfRule type="expression" dxfId="7" priority="154">
      <formula>AND($B19="XPLG11", VALUE(SUBSTITUTE($C19,"%","")) &lt; VALUE(SUBSTITUTE($E19,"%","")))</formula>
    </cfRule>
  </conditionalFormatting>
  <conditionalFormatting sqref="A19:A32 A44:A56">
    <cfRule type="expression" dxfId="7" priority="155">
      <formula>AND($B19="GGRC11", VALUE(SUBSTITUTE($C19,"%","")) &lt; VALUE(SUBSTITUTE($E19,"%","")))</formula>
    </cfRule>
  </conditionalFormatting>
  <conditionalFormatting sqref="A19:A32 A44:A56">
    <cfRule type="expression" dxfId="7" priority="156">
      <formula>AND($B19="GARE11", VALUE(SUBSTITUTE($C19,"%","")) &lt; VALUE(SUBSTITUTE($E19,"%","")))</formula>
    </cfRule>
  </conditionalFormatting>
  <conditionalFormatting sqref="A19:A32 A44:A56">
    <cfRule type="expression" dxfId="7" priority="157">
      <formula>AND($B19="HGLG11", VALUE(SUBSTITUTE($C19,"%","")) &lt; VALUE(SUBSTITUTE($E19,"%","")))</formula>
    </cfRule>
  </conditionalFormatting>
  <conditionalFormatting sqref="A19:A32 A44:A56">
    <cfRule type="expression" dxfId="7" priority="158">
      <formula>AND($B19="HGBS11", VALUE(SUBSTITUTE($C19,"%","")) &lt; VALUE(SUBSTITUTE($E19,"%","")))</formula>
    </cfRule>
  </conditionalFormatting>
  <conditionalFormatting sqref="A19:A32 A44:A56">
    <cfRule type="expression" dxfId="7" priority="159">
      <formula>AND($B19="MALL11", VALUE(SUBSTITUTE($C19,"%","")) &lt; VALUE(SUBSTITUTE($E19,"%","")))</formula>
    </cfRule>
  </conditionalFormatting>
  <conditionalFormatting sqref="A19:A32 A44:A56">
    <cfRule type="expression" dxfId="7" priority="160">
      <formula>AND($B19="LVBI11", VALUE(SUBSTITUTE($C19,"%","")) &lt; VALUE(SUBSTITUTE($E19,"%","")))</formula>
    </cfRule>
  </conditionalFormatting>
  <conditionalFormatting sqref="A19:A32 A44:A56">
    <cfRule type="expression" dxfId="7" priority="161">
      <formula>AND($B19="RBRF11", VALUE(SUBSTITUTE($C19,"%","")) &lt; VALUE(SUBSTITUTE($E19,"%","")))</formula>
    </cfRule>
  </conditionalFormatting>
  <conditionalFormatting sqref="A19:A32 A44:A56">
    <cfRule type="expression" dxfId="7" priority="162">
      <formula>AND($B19="BTCI11", VALUE(SUBSTITUTE($C19,"%","")) &lt; VALUE(SUBSTITUTE($E19,"%","")))</formula>
    </cfRule>
  </conditionalFormatting>
  <conditionalFormatting sqref="A19:A32 A44:A56">
    <cfRule type="expression" dxfId="7" priority="163">
      <formula>AND($B19="RBRX11", VALUE(SUBSTITUTE($C19,"%","")) &lt; VALUE(SUBSTITUTE($E19,"%","")))</formula>
    </cfRule>
  </conditionalFormatting>
  <conditionalFormatting sqref="A19:A32 A44:A56">
    <cfRule type="expression" dxfId="7" priority="164">
      <formula>AND($B19="MXRF11", VALUE(SUBSTITUTE($C19,"%","")) &lt; VALUE(SUBSTITUTE($E19,"%","")))</formula>
    </cfRule>
  </conditionalFormatting>
  <conditionalFormatting sqref="A19">
    <cfRule type="expression" dxfId="5" priority="165">
      <formula>AND($A20="RZTR11", VALUE(SUBSTITUTE($C88,"%","")) &gt; VALUE(SUBSTITUTE($E88,"%",""))*2)</formula>
    </cfRule>
  </conditionalFormatting>
  <conditionalFormatting sqref="A19">
    <cfRule type="expression" dxfId="5" priority="166">
      <formula>AND($A20="BRCO11", VALUE(SUBSTITUTE($C88,"%","")) &gt; VALUE(SUBSTITUTE($E88,"%",""))*2)</formula>
    </cfRule>
  </conditionalFormatting>
  <conditionalFormatting sqref="A19">
    <cfRule type="expression" dxfId="5" priority="167">
      <formula>AND($A20="BTLG11", VALUE(SUBSTITUTE($C88,"%","")) &gt; VALUE(SUBSTITUTE($E88,"%",""))*2)</formula>
    </cfRule>
  </conditionalFormatting>
  <conditionalFormatting sqref="A19">
    <cfRule type="expression" dxfId="5" priority="168">
      <formula>AND($A20="XPLG11", VALUE(SUBSTITUTE($C88,"%","")) &gt; VALUE(SUBSTITUTE($E88,"%",""))*2)</formula>
    </cfRule>
  </conditionalFormatting>
  <conditionalFormatting sqref="A19">
    <cfRule type="expression" dxfId="5" priority="169">
      <formula>AND($A20="GGRC11", VALUE(SUBSTITUTE($C88,"%","")) &gt; VALUE(SUBSTITUTE($E88,"%",""))*2)</formula>
    </cfRule>
  </conditionalFormatting>
  <conditionalFormatting sqref="A19">
    <cfRule type="expression" dxfId="5" priority="170">
      <formula>AND($A20="GARE11", VALUE(SUBSTITUTE($C88,"%","")) &gt; VALUE(SUBSTITUTE($E88,"%",""))*2)</formula>
    </cfRule>
  </conditionalFormatting>
  <conditionalFormatting sqref="A19">
    <cfRule type="expression" dxfId="5" priority="171">
      <formula>AND($A20="HGLG11", VALUE(SUBSTITUTE($C88,"%","")) &gt; VALUE(SUBSTITUTE($E88,"%",""))*2)</formula>
    </cfRule>
  </conditionalFormatting>
  <conditionalFormatting sqref="A19">
    <cfRule type="expression" dxfId="5" priority="172">
      <formula>AND($A20="HGBS11", VALUE(SUBSTITUTE($C88,"%","")) &gt; VALUE(SUBSTITUTE($E88,"%",""))*2)</formula>
    </cfRule>
  </conditionalFormatting>
  <conditionalFormatting sqref="A19">
    <cfRule type="expression" dxfId="5" priority="173">
      <formula>AND($A20="MALL11", VALUE(SUBSTITUTE($C88,"%","")) &gt; VALUE(SUBSTITUTE($E88,"%",""))*2)</formula>
    </cfRule>
  </conditionalFormatting>
  <conditionalFormatting sqref="A19">
    <cfRule type="expression" dxfId="5" priority="174">
      <formula>AND($A20="LVBI11", VALUE(SUBSTITUTE($C88,"%","")) &gt; VALUE(SUBSTITUTE($E88,"%",""))*2)</formula>
    </cfRule>
  </conditionalFormatting>
  <conditionalFormatting sqref="A19">
    <cfRule type="expression" dxfId="5" priority="175">
      <formula>AND($A20="RBRF11", VALUE(SUBSTITUTE($C88,"%","")) &gt; VALUE(SUBSTITUTE($E88,"%",""))*2)</formula>
    </cfRule>
  </conditionalFormatting>
  <conditionalFormatting sqref="A19">
    <cfRule type="expression" dxfId="5" priority="176">
      <formula>AND($A20="BTCI11", VALUE(SUBSTITUTE($C88,"%","")) &gt; VALUE(SUBSTITUTE($E88,"%",""))*2)</formula>
    </cfRule>
  </conditionalFormatting>
  <conditionalFormatting sqref="A19">
    <cfRule type="expression" dxfId="5" priority="177">
      <formula>AND($A20="RBRX11", VALUE(SUBSTITUTE($C88,"%","")) &gt; VALUE(SUBSTITUTE($E88,"%",""))*2)</formula>
    </cfRule>
  </conditionalFormatting>
  <conditionalFormatting sqref="A19">
    <cfRule type="expression" dxfId="5" priority="178">
      <formula>AND($A20="MXRF11", VALUE(SUBSTITUTE($C88,"%","")) &gt; VALUE(SUBSTITUTE($E88,"%",""))*2)</formula>
    </cfRule>
  </conditionalFormatting>
  <conditionalFormatting sqref="A19">
    <cfRule type="expression" dxfId="6" priority="179">
      <formula>AND($A20="RZTR11", VALUE(SUBSTITUTE($C88,"%","")) &gt; VALUE(SUBSTITUTE($E88,"%","")))</formula>
    </cfRule>
  </conditionalFormatting>
  <conditionalFormatting sqref="A19">
    <cfRule type="expression" dxfId="6" priority="180">
      <formula>AND($A20="BRCO11", VALUE(SUBSTITUTE($C88,"%","")) &gt; VALUE(SUBSTITUTE($E88,"%","")))</formula>
    </cfRule>
  </conditionalFormatting>
  <conditionalFormatting sqref="A19">
    <cfRule type="expression" dxfId="6" priority="181">
      <formula>AND($A20="BTLG11", VALUE(SUBSTITUTE($C88,"%","")) &gt; VALUE(SUBSTITUTE($E88,"%","")))</formula>
    </cfRule>
  </conditionalFormatting>
  <conditionalFormatting sqref="A19">
    <cfRule type="expression" dxfId="6" priority="182">
      <formula>AND($A20="XPLG11", VALUE(SUBSTITUTE($C88,"%","")) &gt; VALUE(SUBSTITUTE($E88,"%","")))</formula>
    </cfRule>
  </conditionalFormatting>
  <conditionalFormatting sqref="A19">
    <cfRule type="expression" dxfId="6" priority="183">
      <formula>AND($A20="GGRC11", VALUE(SUBSTITUTE($C88,"%","")) &gt; VALUE(SUBSTITUTE($E88,"%","")))</formula>
    </cfRule>
  </conditionalFormatting>
  <conditionalFormatting sqref="A19">
    <cfRule type="expression" dxfId="6" priority="184">
      <formula>AND($A20="GARE11", VALUE(SUBSTITUTE($C88,"%","")) &gt; VALUE(SUBSTITUTE($E88,"%","")))</formula>
    </cfRule>
  </conditionalFormatting>
  <conditionalFormatting sqref="A19">
    <cfRule type="expression" dxfId="6" priority="185">
      <formula>AND($A20="HGBS11", VALUE(SUBSTITUTE($C88,"%","")) &gt; VALUE(SUBSTITUTE($E88,"%","")))</formula>
    </cfRule>
  </conditionalFormatting>
  <conditionalFormatting sqref="A19">
    <cfRule type="expression" dxfId="6" priority="186">
      <formula>AND($A20="MALL11", VALUE(SUBSTITUTE($C88,"%","")) &gt; VALUE(SUBSTITUTE($E88,"%","")))</formula>
    </cfRule>
  </conditionalFormatting>
  <conditionalFormatting sqref="A19">
    <cfRule type="expression" dxfId="6" priority="187">
      <formula>AND($A20="LVBI11", VALUE(SUBSTITUTE($C88,"%","")) &gt; VALUE(SUBSTITUTE($E88,"%","")))</formula>
    </cfRule>
  </conditionalFormatting>
  <conditionalFormatting sqref="A19">
    <cfRule type="expression" dxfId="6" priority="188">
      <formula>AND($A20="RBRF11", VALUE(SUBSTITUTE($C88,"%","")) &gt; VALUE(SUBSTITUTE($E88,"%","")))</formula>
    </cfRule>
  </conditionalFormatting>
  <conditionalFormatting sqref="A19">
    <cfRule type="expression" dxfId="6" priority="189">
      <formula>AND($A20="BTCI11", VALUE(SUBSTITUTE($C88,"%","")) &gt; VALUE(SUBSTITUTE($E88,"%","")))</formula>
    </cfRule>
  </conditionalFormatting>
  <conditionalFormatting sqref="A19">
    <cfRule type="expression" dxfId="6" priority="190">
      <formula>AND($A20="RBRX11", VALUE(SUBSTITUTE($C88,"%","")) &gt; VALUE(SUBSTITUTE($E88,"%","")))</formula>
    </cfRule>
  </conditionalFormatting>
  <conditionalFormatting sqref="A19">
    <cfRule type="expression" dxfId="6" priority="191">
      <formula>AND($A20="MXRF11", VALUE(SUBSTITUTE($C88,"%","")) &gt; VALUE(SUBSTITUTE($E88,"%","")))</formula>
    </cfRule>
  </conditionalFormatting>
  <conditionalFormatting sqref="A19">
    <cfRule type="expression" dxfId="7" priority="192">
      <formula>AND($A20="RZTR11", VALUE(SUBSTITUTE($C88,"%","")) &lt; VALUE(SUBSTITUTE($E88,"%","")))</formula>
    </cfRule>
  </conditionalFormatting>
  <conditionalFormatting sqref="A19">
    <cfRule type="expression" dxfId="7" priority="193">
      <formula>AND($A20="BRCO11", VALUE(SUBSTITUTE($C88,"%","")) &lt; VALUE(SUBSTITUTE($E88,"%","")))</formula>
    </cfRule>
  </conditionalFormatting>
  <conditionalFormatting sqref="A19">
    <cfRule type="expression" dxfId="7" priority="194">
      <formula>AND($A20="BTLG11", VALUE(SUBSTITUTE($C88,"%","")) &lt; VALUE(SUBSTITUTE($E88,"%","")))</formula>
    </cfRule>
  </conditionalFormatting>
  <conditionalFormatting sqref="A19">
    <cfRule type="expression" dxfId="7" priority="195">
      <formula>AND($A20="XPLG11", VALUE(SUBSTITUTE($C88,"%","")) &lt; VALUE(SUBSTITUTE($E88,"%","")))</formula>
    </cfRule>
  </conditionalFormatting>
  <conditionalFormatting sqref="A19">
    <cfRule type="expression" dxfId="7" priority="196">
      <formula>AND($A20="GGRC11", VALUE(SUBSTITUTE($C88,"%","")) &lt; VALUE(SUBSTITUTE($E88,"%","")))</formula>
    </cfRule>
  </conditionalFormatting>
  <conditionalFormatting sqref="A19">
    <cfRule type="expression" dxfId="7" priority="197">
      <formula>AND($A20="GARE11", VALUE(SUBSTITUTE($C88,"%","")) &lt; VALUE(SUBSTITUTE($E88,"%","")))</formula>
    </cfRule>
  </conditionalFormatting>
  <conditionalFormatting sqref="A19">
    <cfRule type="expression" dxfId="7" priority="198">
      <formula>AND($A20="HGLG11", VALUE(SUBSTITUTE($C88,"%","")) &lt; VALUE(SUBSTITUTE($E88,"%","")))</formula>
    </cfRule>
  </conditionalFormatting>
  <conditionalFormatting sqref="A19">
    <cfRule type="expression" dxfId="7" priority="199">
      <formula>AND($A20="HGBS11", VALUE(SUBSTITUTE($C88,"%","")) &lt; VALUE(SUBSTITUTE($E88,"%","")))</formula>
    </cfRule>
  </conditionalFormatting>
  <conditionalFormatting sqref="A19">
    <cfRule type="expression" dxfId="7" priority="200">
      <formula>AND($A20="MALL11", VALUE(SUBSTITUTE($C88,"%","")) &lt; VALUE(SUBSTITUTE($E88,"%","")))</formula>
    </cfRule>
  </conditionalFormatting>
  <conditionalFormatting sqref="A19">
    <cfRule type="expression" dxfId="7" priority="201">
      <formula>AND($A20="LVBI11", VALUE(SUBSTITUTE($C88,"%","")) &lt; VALUE(SUBSTITUTE($E88,"%","")))</formula>
    </cfRule>
  </conditionalFormatting>
  <conditionalFormatting sqref="A19">
    <cfRule type="expression" dxfId="7" priority="202">
      <formula>AND($A20="RBRF11", VALUE(SUBSTITUTE($C88,"%","")) &lt; VALUE(SUBSTITUTE($E88,"%","")))</formula>
    </cfRule>
  </conditionalFormatting>
  <conditionalFormatting sqref="A19">
    <cfRule type="expression" dxfId="7" priority="203">
      <formula>AND($A20="BTCI11", VALUE(SUBSTITUTE($C88,"%","")) &lt; VALUE(SUBSTITUTE($E88,"%","")))</formula>
    </cfRule>
  </conditionalFormatting>
  <conditionalFormatting sqref="A19">
    <cfRule type="expression" dxfId="7" priority="204">
      <formula>AND($A20="RBRX11", VALUE(SUBSTITUTE($C88,"%","")) &lt; VALUE(SUBSTITUTE($E88,"%","")))</formula>
    </cfRule>
  </conditionalFormatting>
  <conditionalFormatting sqref="A19">
    <cfRule type="expression" dxfId="7" priority="205">
      <formula>AND($A20="MXRF11", VALUE(SUBSTITUTE($C88,"%","")) &lt; VALUE(SUBSTITUTE($E88,"%","")))</formula>
    </cfRule>
  </conditionalFormatting>
  <conditionalFormatting sqref="A4:A15 A33:A45">
    <cfRule type="expression" dxfId="5" priority="206">
      <formula>AND($B4="BBAS3", VALUE(SUBSTITUTE($C4,"%","")) &gt; VALUE(SUBSTITUTE($E4,"%",""))*2)</formula>
    </cfRule>
  </conditionalFormatting>
  <conditionalFormatting sqref="A4:A15 A33:A45">
    <cfRule type="expression" dxfId="5" priority="207">
      <formula>AND($B4="CMIG3", VALUE(SUBSTITUTE($C4,"%","")) &gt; VALUE(SUBSTITUTE($E4,"%",""))*2)</formula>
    </cfRule>
  </conditionalFormatting>
  <conditionalFormatting sqref="A4:A15 A33:A45">
    <cfRule type="expression" dxfId="5" priority="208">
      <formula>AND($B4="BBSE3", VALUE(SUBSTITUTE($C4,"%","")) &gt; VALUE(SUBSTITUTE($E4,"%",""))*2)</formula>
    </cfRule>
  </conditionalFormatting>
  <conditionalFormatting sqref="A4:A15 A33:A45">
    <cfRule type="expression" dxfId="5" priority="209">
      <formula>AND($B4="BRBI11", VALUE(SUBSTITUTE($C4,"%","")) &gt; VALUE(SUBSTITUTE($E4,"%",""))*2)</formula>
    </cfRule>
  </conditionalFormatting>
  <conditionalFormatting sqref="A4:A15 A33:A45">
    <cfRule type="expression" dxfId="5" priority="210">
      <formula>AND($B4="PETR4", VALUE(SUBSTITUTE($C4,"%","")) &gt; VALUE(SUBSTITUTE($E4,"%",""))*2)</formula>
    </cfRule>
  </conditionalFormatting>
  <conditionalFormatting sqref="A4:A15 A33:A45">
    <cfRule type="expression" dxfId="5" priority="211">
      <formula>AND($B4="CMIG4", VALUE(SUBSTITUTE($C4,"%","")) &gt; VALUE(SUBSTITUTE($E4,"%",""))*2)</formula>
    </cfRule>
  </conditionalFormatting>
  <conditionalFormatting sqref="A4:A15 A33:A45">
    <cfRule type="expression" dxfId="5" priority="212">
      <formula>AND($B4="BBDC3", VALUE(SUBSTITUTE($C4,"%","")) &gt; VALUE(SUBSTITUTE($E4,"%",""))*2)</formula>
    </cfRule>
  </conditionalFormatting>
  <conditionalFormatting sqref="A4:A15 A33:A45">
    <cfRule type="expression" dxfId="5" priority="213">
      <formula>AND($B4="TAEE11", VALUE(SUBSTITUTE($C4,"%","")) &gt; VALUE(SUBSTITUTE($E4,"%",""))*2)</formula>
    </cfRule>
  </conditionalFormatting>
  <conditionalFormatting sqref="A4:A15 A33:A45">
    <cfRule type="expression" dxfId="5" priority="214">
      <formula>AND($B4="VALE3", VALUE(SUBSTITUTE($C4,"%","")) &gt; VALUE(SUBSTITUTE($E4,"%",""))*2)</formula>
    </cfRule>
  </conditionalFormatting>
  <conditionalFormatting sqref="A4:A15 A33:A45">
    <cfRule type="expression" dxfId="5" priority="215">
      <formula>AND($B4="ITUB3", VALUE(SUBSTITUTE($C4,"%","")) &gt; VALUE(SUBSTITUTE($E4,"%",""))*2)</formula>
    </cfRule>
  </conditionalFormatting>
  <conditionalFormatting sqref="A4:A15 A33:A45">
    <cfRule type="expression" dxfId="6" priority="216">
      <formula>AND($B4="BBAS3", VALUE(SUBSTITUTE($C4,"%","")) &gt; VALUE(SUBSTITUTE($E4,"%","")))</formula>
    </cfRule>
  </conditionalFormatting>
  <conditionalFormatting sqref="A4:A15 A33:A45">
    <cfRule type="expression" dxfId="6" priority="217">
      <formula>AND($B4="BBSE3", VALUE(SUBSTITUTE($C4,"%","")) &gt; VALUE(SUBSTITUTE($E4,"%","")))</formula>
    </cfRule>
  </conditionalFormatting>
  <conditionalFormatting sqref="A4:A15 A33:A45">
    <cfRule type="expression" dxfId="6" priority="218">
      <formula>AND($B4="PETR4", VALUE(SUBSTITUTE($C4,"%","")) &gt; VALUE(SUBSTITUTE($E4,"%","")))</formula>
    </cfRule>
  </conditionalFormatting>
  <conditionalFormatting sqref="A4:A15 A33:A45">
    <cfRule type="expression" dxfId="6" priority="219">
      <formula>AND($B4="ITUB3", VALUE(SUBSTITUTE($C4,"%","")) &gt; VALUE(SUBSTITUTE($E4,"%","")))</formula>
    </cfRule>
  </conditionalFormatting>
  <conditionalFormatting sqref="A4:A15 A33:A45">
    <cfRule type="expression" dxfId="6" priority="220">
      <formula>AND($B4="VALE3", VALUE(SUBSTITUTE($C4,"%","")) &gt; VALUE(SUBSTITUTE($E4,"%","")))</formula>
    </cfRule>
  </conditionalFormatting>
  <conditionalFormatting sqref="A4:A15 A33:A45">
    <cfRule type="expression" dxfId="6" priority="221">
      <formula>AND($B4="CMIG3", VALUE(SUBSTITUTE($C4,"%","")) &gt; VALUE(SUBSTITUTE($E4,"%","")))</formula>
    </cfRule>
  </conditionalFormatting>
  <conditionalFormatting sqref="A4:A15 A33:A45">
    <cfRule type="expression" dxfId="6" priority="222">
      <formula>AND($B4="BRBI11", VALUE(SUBSTITUTE($C4,"%","")) &gt; VALUE(SUBSTITUTE($E4,"%","")))</formula>
    </cfRule>
  </conditionalFormatting>
  <conditionalFormatting sqref="A4:A15 A33:A45">
    <cfRule type="expression" dxfId="6" priority="223">
      <formula>AND($B4="TAEE11", VALUE(SUBSTITUTE($C4,"%","")) &gt; VALUE(SUBSTITUTE($E4,"%","")))</formula>
    </cfRule>
  </conditionalFormatting>
  <conditionalFormatting sqref="A4:A15 A33:A45">
    <cfRule type="expression" dxfId="6" priority="224">
      <formula>AND($B4="BBDC3", VALUE(SUBSTITUTE($C4,"%","")) &gt; VALUE(SUBSTITUTE($E4,"%","")))</formula>
    </cfRule>
  </conditionalFormatting>
  <conditionalFormatting sqref="A4:A15 A33:A45">
    <cfRule type="expression" dxfId="6" priority="225">
      <formula>AND($B4="CMIG4", VALUE(SUBSTITUTE($C4,"%","")) &gt; VALUE(SUBSTITUTE($E4,"%","")))</formula>
    </cfRule>
  </conditionalFormatting>
  <conditionalFormatting sqref="A4:A15 A33:A45">
    <cfRule type="expression" dxfId="7" priority="226">
      <formula>AND($B4="BBAS3", VALUE(SUBSTITUTE($C4,"%","")) &lt; VALUE(SUBSTITUTE($E4,"%","")))</formula>
    </cfRule>
  </conditionalFormatting>
  <conditionalFormatting sqref="A4:A15 A33:A45">
    <cfRule type="expression" dxfId="7" priority="227">
      <formula>AND($B4="BBSE3", VALUE(SUBSTITUTE($C4,"%","")) &lt; VALUE(SUBSTITUTE($E4,"%","")))</formula>
    </cfRule>
  </conditionalFormatting>
  <conditionalFormatting sqref="A4:A15 A33:A45">
    <cfRule type="expression" dxfId="7" priority="228">
      <formula>AND($B4="VALE3", VALUE(SUBSTITUTE($C4,"%","")) &lt; VALUE(SUBSTITUTE($E4,"%","")))</formula>
    </cfRule>
  </conditionalFormatting>
  <conditionalFormatting sqref="A4:A15 A33:A45">
    <cfRule type="expression" dxfId="7" priority="229">
      <formula>AND($B4="TAEE11", VALUE(SUBSTITUTE($C4,"%","")) &lt; VALUE(SUBSTITUTE($E4,"%","")))</formula>
    </cfRule>
  </conditionalFormatting>
  <conditionalFormatting sqref="A4:A15 A33:A45">
    <cfRule type="expression" dxfId="7" priority="230">
      <formula>AND($B4="PETR4", VALUE(SUBSTITUTE($C4,"%","")) &lt; VALUE(SUBSTITUTE($E4,"%","")))</formula>
    </cfRule>
  </conditionalFormatting>
  <conditionalFormatting sqref="A4:A15 A33:A45">
    <cfRule type="expression" dxfId="7" priority="231">
      <formula>AND($B4="BBDC3", VALUE(SUBSTITUTE($C4,"%","")) &lt; VALUE(SUBSTITUTE($E4,"%","")))</formula>
    </cfRule>
  </conditionalFormatting>
  <conditionalFormatting sqref="A4:A15 A33:A45">
    <cfRule type="expression" dxfId="7" priority="232">
      <formula>AND($B4="CMIG3", VALUE(SUBSTITUTE($C4,"%","")) &lt; VALUE(SUBSTITUTE($E4,"%","")))</formula>
    </cfRule>
  </conditionalFormatting>
  <conditionalFormatting sqref="A4:A15 A33:A45">
    <cfRule type="expression" dxfId="7" priority="233">
      <formula>AND($B4="BRBI11", VALUE(SUBSTITUTE($C4,"%","")) &lt; VALUE(SUBSTITUTE($E4,"%","")))</formula>
    </cfRule>
  </conditionalFormatting>
  <conditionalFormatting sqref="A4:A15 A33:A45">
    <cfRule type="expression" dxfId="7" priority="234">
      <formula>AND($B4="ITUB3", VALUE(SUBSTITUTE($C4,"%","")) &lt; VALUE(SUBSTITUTE($E4,"%","")))</formula>
    </cfRule>
  </conditionalFormatting>
  <conditionalFormatting sqref="A4:A15 A33:A45">
    <cfRule type="expression" dxfId="7" priority="235">
      <formula>AND($B4="CMIG4", VALUE(SUBSTITUTE($C4,"%","")) &lt; VALUE(SUBSTITUTE($E4,"%","")))</formula>
    </cfRule>
  </conditionalFormatting>
  <dataValidations>
    <dataValidation type="custom" allowBlank="1" showDropDown="1" sqref="C4:H14 K4:K14 C19:G28 C33:C56">
      <formula1>AND(ISNUMBER(C4),(NOT(OR(NOT(ISERROR(DATEVALUE(C4))), AND(ISNUMBER(C4), LEFT(CELL("format", C4))="D")))))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38"/>
    <col customWidth="1" min="4" max="4" width="16.13"/>
    <col customWidth="1" min="5" max="5" width="16.5"/>
    <col customWidth="1" min="7" max="8" width="19.63"/>
    <col customWidth="1" min="9" max="9" width="20.75"/>
    <col customWidth="1" min="11" max="11" width="13.0"/>
    <col customWidth="1" min="12" max="12" width="16.38"/>
    <col customWidth="1" min="13" max="13" width="19.63"/>
  </cols>
  <sheetData>
    <row r="2">
      <c r="O2" s="24"/>
      <c r="P2" s="24"/>
      <c r="Q2" s="24"/>
      <c r="Y2" s="24"/>
      <c r="Z2" s="24"/>
      <c r="AA2" s="24"/>
    </row>
    <row r="3" ht="22.5" customHeight="1">
      <c r="A3" s="1" t="s">
        <v>133</v>
      </c>
      <c r="B3" s="1" t="s">
        <v>134</v>
      </c>
      <c r="C3" s="1" t="s">
        <v>135</v>
      </c>
      <c r="D3" s="1" t="s">
        <v>136</v>
      </c>
      <c r="F3" s="1" t="s">
        <v>137</v>
      </c>
      <c r="G3" s="1" t="s">
        <v>138</v>
      </c>
      <c r="H3" s="50" t="s">
        <v>139</v>
      </c>
      <c r="J3" s="1" t="s">
        <v>133</v>
      </c>
      <c r="K3" s="1" t="s">
        <v>134</v>
      </c>
      <c r="L3" s="1" t="s">
        <v>135</v>
      </c>
      <c r="M3" s="1" t="s">
        <v>136</v>
      </c>
      <c r="N3" s="24"/>
      <c r="O3" s="50" t="s">
        <v>137</v>
      </c>
      <c r="P3" s="50" t="s">
        <v>138</v>
      </c>
      <c r="Q3" s="50" t="s">
        <v>139</v>
      </c>
      <c r="T3" s="1" t="s">
        <v>133</v>
      </c>
      <c r="U3" s="1" t="s">
        <v>134</v>
      </c>
      <c r="V3" s="1" t="s">
        <v>135</v>
      </c>
      <c r="W3" s="1" t="s">
        <v>136</v>
      </c>
      <c r="Y3" s="50" t="s">
        <v>137</v>
      </c>
      <c r="Z3" s="50" t="s">
        <v>138</v>
      </c>
      <c r="AA3" s="50" t="s">
        <v>139</v>
      </c>
    </row>
    <row r="4" ht="22.5" customHeight="1">
      <c r="A4" s="44" t="s">
        <v>30</v>
      </c>
      <c r="B4" s="44" t="s">
        <v>140</v>
      </c>
      <c r="C4" s="134">
        <f t="shared" ref="C4:C15" si="1">IFERROR((D4/$B$24), 0)</f>
        <v>0.04506883819</v>
      </c>
      <c r="D4" s="47">
        <f t="array" ref="D4">IFERROR(INDEX(Ações_Nacionais[], MATCH(A4, Ações_Nacionais[Ação], 0), MATCH(Ações_Nacionais[[#HEADERS],[Financeiro]], Ações_Nacionais[#HEADERS], 0)), "")
</f>
        <v>1843</v>
      </c>
      <c r="F4" s="44" t="s">
        <v>140</v>
      </c>
      <c r="G4" s="134">
        <f>SUMIF(Setores_Ações[setor], "Banco", Setores_Ações[peso])</f>
        <v>0.2712444673</v>
      </c>
      <c r="H4" s="47">
        <f>SUMIF(Setores_Ações[setor], "Banco", Setores_Ações[financeiro])</f>
        <v>11092</v>
      </c>
      <c r="J4" s="44" t="s">
        <v>30</v>
      </c>
      <c r="K4" s="44" t="s">
        <v>140</v>
      </c>
      <c r="L4" s="134">
        <f t="shared" ref="L4:L15" si="2">IFERROR((M4/$B$24), 0)</f>
        <v>0.122358718</v>
      </c>
      <c r="M4" s="47">
        <f t="array" ref="M4">IFERROR(
  INDEX(Ações_Nacionais[], MATCH(J4, Ações_Nacionais[Ação], 0), MATCH(Ações_Nacionais[[#HEADERS],[Peso Ideal]], Ações_Nacionais[#HEADERS], 0)) 
  * $B$26,
"")</f>
        <v>5003.615053</v>
      </c>
      <c r="N4" s="24"/>
      <c r="O4" s="83" t="s">
        <v>140</v>
      </c>
      <c r="P4" s="86">
        <f>SUMIF(Peso_Ideal_Ações[setor], "Banco", Peso_Ideal_Ações[peso])</f>
        <v>0.3670761539</v>
      </c>
      <c r="Q4" s="135">
        <f>SUMIF(Peso_Ideal_Ações[setor], "Banco", Peso_Ideal_Ações[financeiro])</f>
        <v>15010.84516</v>
      </c>
      <c r="T4" s="44" t="s">
        <v>30</v>
      </c>
      <c r="U4" s="44" t="s">
        <v>141</v>
      </c>
      <c r="V4" s="134">
        <f t="shared" ref="V4:V15" si="3">IFERROR((W4/$B$24), 0)</f>
        <v>0.122358718</v>
      </c>
      <c r="W4" s="47">
        <f t="array" ref="W4">IFERROR(
  INDEX(Ações_Nacionais[], MATCH(T4, Ações_Nacionais[Ação], 0), MATCH(Ações_Nacionais[[#HEADERS],[Peso Ideal]], Ações_Nacionais[#HEADERS], 0)) 
  * $B$26,
"")</f>
        <v>5003.615053</v>
      </c>
      <c r="Y4" s="136" t="s">
        <v>141</v>
      </c>
      <c r="Z4" s="86">
        <f>SUMIF(Peso_Setores_Ideal[setor], "Financeiro", Peso_Setores_Ideal[peso])</f>
        <v>0.4894348718</v>
      </c>
      <c r="AA4" s="135">
        <f>SUMIF(Peso_Setores_Ideal[setor], "Financeiro", Peso_Setores_Ideal[financeiro])</f>
        <v>20014.46021</v>
      </c>
    </row>
    <row r="5" ht="22.5" customHeight="1">
      <c r="A5" s="137" t="s">
        <v>23</v>
      </c>
      <c r="B5" s="44" t="s">
        <v>142</v>
      </c>
      <c r="C5" s="134">
        <f t="shared" si="1"/>
        <v>0.09094466046</v>
      </c>
      <c r="D5" s="47">
        <f t="array" ref="D5">IFERROR(INDEX(Ações_Nacionais[], MATCH(A5, Ações_Nacionais[Ação], 0), MATCH(Ações_Nacionais[[#HEADERS],[Financeiro]], Ações_Nacionais[#HEADERS], 0)), "")
</f>
        <v>3719</v>
      </c>
      <c r="F5" s="44" t="s">
        <v>143</v>
      </c>
      <c r="G5" s="134">
        <f>SUMIF(Setores_Ações[setor], "Energia", Setores_Ações[peso])</f>
        <v>0.1800552662</v>
      </c>
      <c r="H5" s="47">
        <f>SUMIF(Setores_Ações[setor], "Energia", Setores_Ações[financeiro])</f>
        <v>7363</v>
      </c>
      <c r="J5" s="137" t="s">
        <v>23</v>
      </c>
      <c r="K5" s="44" t="s">
        <v>142</v>
      </c>
      <c r="L5" s="134">
        <f t="shared" si="2"/>
        <v>0.122358718</v>
      </c>
      <c r="M5" s="47">
        <f t="array" ref="M5">IFERROR(
  INDEX(Ações_Nacionais[], MATCH(J5, Ações_Nacionais[Ação], 0), MATCH(Ações_Nacionais[[#HEADERS],[Peso Ideal]], Ações_Nacionais[#HEADERS], 0)) 
  * $B$26,
"")</f>
        <v>5003.615053</v>
      </c>
      <c r="N5" s="24"/>
      <c r="O5" s="83" t="s">
        <v>143</v>
      </c>
      <c r="P5" s="86">
        <f>SUMIF(Peso_Ideal_Ações[setor], "Energia", Peso_Ideal_Ações[peso])</f>
        <v>0.3670761539</v>
      </c>
      <c r="Q5" s="135">
        <f>SUMIF(Peso_Ideal_Ações[setor], "Energia", Peso_Ideal_Ações[financeiro])</f>
        <v>15010.84516</v>
      </c>
      <c r="T5" s="137" t="s">
        <v>23</v>
      </c>
      <c r="U5" s="44" t="s">
        <v>141</v>
      </c>
      <c r="V5" s="134">
        <f t="shared" si="3"/>
        <v>0.122358718</v>
      </c>
      <c r="W5" s="47">
        <f t="array" ref="W5">IFERROR(
  INDEX(Ações_Nacionais[], MATCH(T5, Ações_Nacionais[Ação], 0), MATCH(Ações_Nacionais[[#HEADERS],[Peso Ideal]], Ações_Nacionais[#HEADERS], 0)) 
  * $B$26,
"")</f>
        <v>5003.615053</v>
      </c>
      <c r="Y5" s="83" t="s">
        <v>143</v>
      </c>
      <c r="Z5" s="86">
        <f>SUMIF(Peso_Setores_Ideal[setor], "Energia", Peso_Setores_Ideal[peso])</f>
        <v>0.3670761539</v>
      </c>
      <c r="AA5" s="135">
        <f>SUMIF(Peso_Setores_Ideal[setor], "Energia", Peso_Setores_Ideal[financeiro])</f>
        <v>15010.84516</v>
      </c>
    </row>
    <row r="6" ht="22.5" customHeight="1">
      <c r="A6" s="137" t="s">
        <v>54</v>
      </c>
      <c r="B6" s="44" t="s">
        <v>144</v>
      </c>
      <c r="C6" s="134">
        <f t="shared" si="1"/>
        <v>0.183478835</v>
      </c>
      <c r="D6" s="47">
        <f t="array" ref="D6">IFERROR(INDEX(Ações_Nacionais[], MATCH(A6, Ações_Nacionais[Ação], 0), MATCH(Ações_Nacionais[[#HEADERS],[Financeiro]], Ações_Nacionais[#HEADERS], 0)), "")
</f>
        <v>7503</v>
      </c>
      <c r="F6" s="44" t="s">
        <v>145</v>
      </c>
      <c r="G6" s="134">
        <f>SUMIF(Setores_Ações[setor], "Cresc.", Setores_Ações[peso])</f>
        <v>0.1501968552</v>
      </c>
      <c r="H6" s="47">
        <f>SUMIF(Setores_Ações[setor], "Cresc.", Setores_Ações[financeiro])</f>
        <v>6142</v>
      </c>
      <c r="J6" s="137" t="s">
        <v>54</v>
      </c>
      <c r="K6" s="44" t="s">
        <v>144</v>
      </c>
      <c r="L6" s="134">
        <f t="shared" si="2"/>
        <v>0.122358718</v>
      </c>
      <c r="M6" s="47">
        <f t="array" ref="M6">IFERROR(
  INDEX(Ações_Nacionais[], MATCH(J6, Ações_Nacionais[Ação], 0), MATCH(Ações_Nacionais[[#HEADERS],[Peso Ideal]], Ações_Nacionais[#HEADERS], 0)) 
  * $B$26,
"")</f>
        <v>5003.615053</v>
      </c>
      <c r="N6" s="24"/>
      <c r="O6" s="83" t="s">
        <v>145</v>
      </c>
      <c r="P6" s="86">
        <f>SUMIF(Peso_Ideal_Ações[setor], "Cresc.", Peso_Ideal_Ações[peso])</f>
        <v>0.122358718</v>
      </c>
      <c r="Q6" s="135">
        <f>SUMIF(Peso_Ideal_Ações[setor], "Cresc.", Peso_Ideal_Ações[financeiro])</f>
        <v>5003.615053</v>
      </c>
      <c r="T6" s="137" t="s">
        <v>54</v>
      </c>
      <c r="U6" s="44" t="s">
        <v>144</v>
      </c>
      <c r="V6" s="134">
        <f t="shared" si="3"/>
        <v>0.122358718</v>
      </c>
      <c r="W6" s="47">
        <f t="array" ref="W6">IFERROR(
  INDEX(Ações_Nacionais[], MATCH(T6, Ações_Nacionais[Ação], 0), MATCH(Ações_Nacionais[[#HEADERS],[Peso Ideal]], Ações_Nacionais[#HEADERS], 0)) 
  * $B$26,
"")</f>
        <v>5003.615053</v>
      </c>
      <c r="Y6" s="136" t="s">
        <v>144</v>
      </c>
      <c r="Z6" s="86">
        <f>SUMIF(Peso_Setores_Ideal[setor], "Commodities", Peso_Setores_Ideal[peso])</f>
        <v>0.2447174359</v>
      </c>
      <c r="AA6" s="135">
        <f>SUMIF(Peso_Setores_Ideal[setor], "Commodities", Peso_Setores_Ideal[financeiro])</f>
        <v>10007.23011</v>
      </c>
    </row>
    <row r="7" ht="22.5" customHeight="1">
      <c r="A7" s="138" t="s">
        <v>47</v>
      </c>
      <c r="B7" s="44" t="s">
        <v>143</v>
      </c>
      <c r="C7" s="134">
        <f t="shared" si="1"/>
        <v>0.09187391485</v>
      </c>
      <c r="D7" s="47">
        <f t="array" ref="D7">IFERROR(INDEX(Ações_Nacionais[], MATCH(A7, Ações_Nacionais[Ação], 0), MATCH(Ações_Nacionais[[#HEADERS],[Financeiro]], Ações_Nacionais[#HEADERS], 0)), "")
</f>
        <v>3757</v>
      </c>
      <c r="F7" s="44" t="s">
        <v>142</v>
      </c>
      <c r="G7" s="134">
        <f>SUMIF(Setores_Ações[setor], "Seguradora", Setores_Ações[peso])</f>
        <v>0.09094466046</v>
      </c>
      <c r="H7" s="47">
        <f>SUMIF(Setores_Ações[setor], "Seguradora", Setores_Ações[financeiro])</f>
        <v>3719</v>
      </c>
      <c r="J7" s="138" t="s">
        <v>47</v>
      </c>
      <c r="K7" s="44" t="s">
        <v>143</v>
      </c>
      <c r="L7" s="134">
        <f t="shared" si="2"/>
        <v>0.122358718</v>
      </c>
      <c r="M7" s="47">
        <f t="array" ref="M7">IFERROR(
  INDEX(Ações_Nacionais[], MATCH(J7, Ações_Nacionais[Ação], 0), MATCH(Ações_Nacionais[[#HEADERS],[Peso Ideal]], Ações_Nacionais[#HEADERS], 0)) 
  * $B$26,
"")</f>
        <v>5003.615053</v>
      </c>
      <c r="N7" s="24"/>
      <c r="O7" s="83" t="s">
        <v>142</v>
      </c>
      <c r="P7" s="86">
        <f>SUMIF(Peso_Ideal_Ações[setor], "Seguradora", Peso_Ideal_Ações[peso])</f>
        <v>0.122358718</v>
      </c>
      <c r="Q7" s="135">
        <f>SUMIF(Peso_Ideal_Ações[setor], "Seguradora", Peso_Ideal_Ações[financeiro])</f>
        <v>5003.615053</v>
      </c>
      <c r="T7" s="138" t="s">
        <v>47</v>
      </c>
      <c r="U7" s="44" t="s">
        <v>143</v>
      </c>
      <c r="V7" s="134">
        <f t="shared" si="3"/>
        <v>0.122358718</v>
      </c>
      <c r="W7" s="47">
        <f t="array" ref="W7">IFERROR(
  INDEX(Ações_Nacionais[], MATCH(T7, Ações_Nacionais[Ação], 0), MATCH(Ações_Nacionais[[#HEADERS],[Peso Ideal]], Ações_Nacionais[#HEADERS], 0)) 
  * $B$26,
"")</f>
        <v>5003.615053</v>
      </c>
      <c r="Y7" s="83" t="s">
        <v>146</v>
      </c>
      <c r="Z7" s="86">
        <f>SUMIF(Peso_Setores_Ideal[setor], "Saneamento", Peso_Setores_Ideal[peso])</f>
        <v>0.122358718</v>
      </c>
      <c r="AA7" s="135">
        <f>SUMIF(Peso_Setores_Ideal[setor], "Saneamento", Peso_Setores_Ideal[financeiro])</f>
        <v>5003.615053</v>
      </c>
    </row>
    <row r="8" ht="22.5" customHeight="1">
      <c r="A8" s="138" t="s">
        <v>34</v>
      </c>
      <c r="B8" s="44" t="s">
        <v>140</v>
      </c>
      <c r="C8" s="134">
        <f t="shared" si="1"/>
        <v>0.1956080503</v>
      </c>
      <c r="D8" s="47">
        <f t="array" ref="D8">IFERROR(INDEX(Ações_Nacionais[], MATCH(A8, Ações_Nacionais[Ação], 0), MATCH(Ações_Nacionais[[#HEADERS],[Financeiro]], Ações_Nacionais[#HEADERS], 0)) + INDEX(Ações_Nacionais[], MATCH("ITUB4", Ações_Nacionais[Ação], 0), MATCH(Ações_Nacionais[[#HEADERS],[Financeiro]], Ações_Nacionais[#HEADERS], 0)), "")
</f>
        <v>7999</v>
      </c>
      <c r="F8" s="44" t="s">
        <v>146</v>
      </c>
      <c r="G8" s="134">
        <f>SUMIF(Setores_Ações[setor], "Saneamento", Setores_Ações[peso])</f>
        <v>0.0157484166</v>
      </c>
      <c r="H8" s="47">
        <f>SUMIF(Setores_Ações[setor], "Saneamento", Setores_Ações[financeiro])</f>
        <v>644</v>
      </c>
      <c r="J8" s="138" t="s">
        <v>34</v>
      </c>
      <c r="K8" s="44" t="s">
        <v>140</v>
      </c>
      <c r="L8" s="134">
        <f t="shared" si="2"/>
        <v>0.122358718</v>
      </c>
      <c r="M8" s="47">
        <f t="array" ref="M8">IFERROR(
  INDEX(Ações_Nacionais[], MATCH(J8, Ações_Nacionais[Ação], 0), MATCH(Ações_Nacionais[[#HEADERS],[Peso Ideal]], Ações_Nacionais[#HEADERS], 0)) 
  * $B$26,
"")</f>
        <v>5003.615053</v>
      </c>
      <c r="N8" s="24"/>
      <c r="O8" s="83" t="s">
        <v>146</v>
      </c>
      <c r="P8" s="86">
        <f>SUMIF(Peso_Ideal_Ações[setor], "Saneamento", Peso_Ideal_Ações[peso])</f>
        <v>0.122358718</v>
      </c>
      <c r="Q8" s="135">
        <f>SUMIF(Peso_Ideal_Ações[setor], "Saneamento", Peso_Ideal_Ações[financeiro])</f>
        <v>5003.615053</v>
      </c>
      <c r="T8" s="138" t="s">
        <v>34</v>
      </c>
      <c r="U8" s="44" t="s">
        <v>141</v>
      </c>
      <c r="V8" s="134">
        <f t="shared" si="3"/>
        <v>0.122358718</v>
      </c>
      <c r="W8" s="47">
        <f t="array" ref="W8">IFERROR(
  INDEX(Ações_Nacionais[], MATCH(T8, Ações_Nacionais[Ação], 0), MATCH(Ações_Nacionais[[#HEADERS],[Peso Ideal]], Ações_Nacionais[#HEADERS], 0)) 
  * $B$26,
"")</f>
        <v>5003.615053</v>
      </c>
      <c r="Y8" s="136" t="s">
        <v>147</v>
      </c>
      <c r="Z8" s="86">
        <f>SUMIF(Peso_Setores_Ideal[setor], "Industria", Peso_Setores_Ideal[peso])</f>
        <v>0.122358718</v>
      </c>
      <c r="AA8" s="135">
        <f>SUMIF(Peso_Setores_Ideal[setor], "Industria", Peso_Setores_Ideal[financeiro])</f>
        <v>5003.615053</v>
      </c>
    </row>
    <row r="9" ht="22.5" customHeight="1">
      <c r="A9" s="138" t="s">
        <v>56</v>
      </c>
      <c r="B9" s="44" t="s">
        <v>144</v>
      </c>
      <c r="C9" s="134">
        <f t="shared" si="1"/>
        <v>0.1083314993</v>
      </c>
      <c r="D9" s="47">
        <f t="array" ref="D9">IFERROR(INDEX(Ações_Nacionais[], MATCH(A9, Ações_Nacionais[Ação], 0), MATCH(Ações_Nacionais[[#HEADERS],[Financeiro]], Ações_Nacionais[#HEADERS], 0)), "")
</f>
        <v>4430</v>
      </c>
      <c r="F9" s="44" t="s">
        <v>144</v>
      </c>
      <c r="G9" s="134">
        <f>SUMIF(Setores_Ações[setor], "Commodities", Setores_Ações[peso])</f>
        <v>0.2918103343</v>
      </c>
      <c r="H9" s="47">
        <f>SUMIF(Setores_Ações[setor], "Commodities", Setores_Ações[financeiro])</f>
        <v>11933</v>
      </c>
      <c r="J9" s="138" t="s">
        <v>56</v>
      </c>
      <c r="K9" s="44" t="s">
        <v>144</v>
      </c>
      <c r="L9" s="134">
        <f t="shared" si="2"/>
        <v>0.122358718</v>
      </c>
      <c r="M9" s="47">
        <f t="array" ref="M9">IFERROR(
  INDEX(Ações_Nacionais[], MATCH(J9, Ações_Nacionais[Ação], 0), MATCH(Ações_Nacionais[[#HEADERS],[Peso Ideal]], Ações_Nacionais[#HEADERS], 0)) 
  * $B$26,
"")</f>
        <v>5003.615053</v>
      </c>
      <c r="N9" s="24"/>
      <c r="O9" s="136" t="s">
        <v>144</v>
      </c>
      <c r="P9" s="86">
        <f>SUMIF(Peso_Ideal_Ações[setor], "Commodities", Peso_Ideal_Ações[peso])</f>
        <v>0.2447174359</v>
      </c>
      <c r="Q9" s="135">
        <f>SUMIF(Peso_Ideal_Ações[setor], "Commodities", Peso_Ideal_Ações[financeiro])</f>
        <v>10007.23011</v>
      </c>
      <c r="T9" s="138" t="s">
        <v>56</v>
      </c>
      <c r="U9" s="44" t="s">
        <v>144</v>
      </c>
      <c r="V9" s="134">
        <f t="shared" si="3"/>
        <v>0.122358718</v>
      </c>
      <c r="W9" s="47">
        <f t="array" ref="W9">IFERROR(
  INDEX(Ações_Nacionais[], MATCH(T9, Ações_Nacionais[Ação], 0), MATCH(Ações_Nacionais[[#HEADERS],[Peso Ideal]], Ações_Nacionais[#HEADERS], 0)) 
  * $B$26,
"")</f>
        <v>5003.615053</v>
      </c>
    </row>
    <row r="10" ht="22.5" customHeight="1">
      <c r="A10" s="138" t="s">
        <v>60</v>
      </c>
      <c r="B10" s="44" t="s">
        <v>145</v>
      </c>
      <c r="C10" s="134">
        <f t="shared" si="1"/>
        <v>0.1204851686</v>
      </c>
      <c r="D10" s="47">
        <f t="array" ref="D10">IFERROR(INDEX(Ações_Nacionais[], MATCH(A10, Ações_Nacionais[Ação], 0), MATCH(Ações_Nacionais[[#HEADERS],[Financeiro]], Ações_Nacionais[#HEADERS], 0)), "")
</f>
        <v>4927</v>
      </c>
      <c r="J10" s="138" t="s">
        <v>60</v>
      </c>
      <c r="K10" s="44" t="s">
        <v>145</v>
      </c>
      <c r="L10" s="134">
        <f t="shared" si="2"/>
        <v>0.122358718</v>
      </c>
      <c r="M10" s="47">
        <f t="array" ref="M10">IFERROR(
  INDEX(Ações_Nacionais[], MATCH(J10, Ações_Nacionais[Ação], 0), MATCH(Ações_Nacionais[[#HEADERS],[Peso Ideal]], Ações_Nacionais[#HEADERS], 0)) 
  * $B$26,
"")</f>
        <v>5003.615053</v>
      </c>
      <c r="T10" s="138" t="s">
        <v>60</v>
      </c>
      <c r="U10" s="44" t="s">
        <v>147</v>
      </c>
      <c r="V10" s="134">
        <f t="shared" si="3"/>
        <v>0.122358718</v>
      </c>
      <c r="W10" s="47">
        <f t="array" ref="W10">IFERROR(
  INDEX(Ações_Nacionais[], MATCH(T10, Ações_Nacionais[Ação], 0), MATCH(Ações_Nacionais[[#HEADERS],[Peso Ideal]], Ações_Nacionais[#HEADERS], 0)) 
  * $B$26,
"")</f>
        <v>5003.615053</v>
      </c>
    </row>
    <row r="11" ht="22.5" customHeight="1">
      <c r="A11" s="138" t="s">
        <v>39</v>
      </c>
      <c r="B11" s="44" t="s">
        <v>145</v>
      </c>
      <c r="C11" s="134">
        <f t="shared" si="1"/>
        <v>0.0297116866</v>
      </c>
      <c r="D11" s="47">
        <f t="array" ref="D11">IFERROR(INDEX(Ações_Nacionais[], MATCH(A11, Ações_Nacionais[Ação], 0), MATCH(Ações_Nacionais[[#HEADERS],[Financeiro]], Ações_Nacionais[#HEADERS], 0)), "")
</f>
        <v>1215</v>
      </c>
      <c r="J11" s="138" t="s">
        <v>39</v>
      </c>
      <c r="K11" s="44" t="s">
        <v>145</v>
      </c>
      <c r="L11" s="134">
        <f t="shared" si="2"/>
        <v>0</v>
      </c>
      <c r="M11" s="47">
        <f t="array" ref="M11">IFERROR(
  INDEX(Ações_Nacionais[], MATCH(J11, Ações_Nacionais[Ação], 0), MATCH(Ações_Nacionais[[#HEADERS],[Peso Ideal]], Ações_Nacionais[#HEADERS], 0)) 
  * $B$26,
"")</f>
        <v>0</v>
      </c>
      <c r="T11" s="138" t="s">
        <v>39</v>
      </c>
      <c r="U11" s="44" t="s">
        <v>141</v>
      </c>
      <c r="V11" s="134">
        <f t="shared" si="3"/>
        <v>0</v>
      </c>
      <c r="W11" s="47">
        <f t="array" ref="W11">IFERROR(
  INDEX(Ações_Nacionais[], MATCH(T11, Ações_Nacionais[Ação], 0), MATCH(Ações_Nacionais[[#HEADERS],[Peso Ideal]], Ações_Nacionais[#HEADERS], 0)) 
  * $B$26,
"")</f>
        <v>0</v>
      </c>
    </row>
    <row r="12" ht="22.5" customHeight="1">
      <c r="A12" s="138" t="s">
        <v>49</v>
      </c>
      <c r="B12" s="44" t="s">
        <v>143</v>
      </c>
      <c r="C12" s="134">
        <f t="shared" si="1"/>
        <v>0.02455187929</v>
      </c>
      <c r="D12" s="47">
        <f t="array" ref="D12">IFERROR(INDEX(Ações_Nacionais[], MATCH(A12, Ações_Nacionais[Ação], 0), MATCH(Ações_Nacionais[[#HEADERS],[Financeiro]], Ações_Nacionais[#HEADERS], 0)), "")
</f>
        <v>1004</v>
      </c>
      <c r="J12" s="138" t="s">
        <v>49</v>
      </c>
      <c r="K12" s="44" t="s">
        <v>143</v>
      </c>
      <c r="L12" s="134">
        <f t="shared" si="2"/>
        <v>0.122358718</v>
      </c>
      <c r="M12" s="47">
        <f t="array" ref="M12">IFERROR(
  INDEX(Ações_Nacionais[], MATCH(J12, Ações_Nacionais[Ação], 0), MATCH(Ações_Nacionais[[#HEADERS],[Peso Ideal]], Ações_Nacionais[#HEADERS], 0)) 
  * $B$26,
"")</f>
        <v>5003.615053</v>
      </c>
      <c r="T12" s="138" t="s">
        <v>49</v>
      </c>
      <c r="U12" s="44" t="s">
        <v>143</v>
      </c>
      <c r="V12" s="134">
        <f t="shared" si="3"/>
        <v>0.122358718</v>
      </c>
      <c r="W12" s="47">
        <f t="array" ref="W12">IFERROR(
  INDEX(Ações_Nacionais[], MATCH(T12, Ações_Nacionais[Ação], 0), MATCH(Ações_Nacionais[[#HEADERS],[Peso Ideal]], Ações_Nacionais[#HEADERS], 0)) 
  * $B$26,
"")</f>
        <v>5003.615053</v>
      </c>
    </row>
    <row r="13" ht="22.5" customHeight="1">
      <c r="A13" s="138" t="s">
        <v>52</v>
      </c>
      <c r="B13" s="44" t="s">
        <v>143</v>
      </c>
      <c r="C13" s="134">
        <f t="shared" si="1"/>
        <v>0.06362947204</v>
      </c>
      <c r="D13" s="47">
        <f t="array" ref="D13">IFERROR(INDEX(Ações_Nacionais[], MATCH(A13, Ações_Nacionais[Ação], 0), MATCH(Ações_Nacionais[[#HEADERS],[Financeiro]], Ações_Nacionais[#HEADERS], 0)), "")
</f>
        <v>2602</v>
      </c>
      <c r="J13" s="138" t="s">
        <v>52</v>
      </c>
      <c r="K13" s="44" t="s">
        <v>143</v>
      </c>
      <c r="L13" s="134">
        <f t="shared" si="2"/>
        <v>0.122358718</v>
      </c>
      <c r="M13" s="47">
        <f t="array" ref="M13">IFERROR(
  INDEX(Ações_Nacionais[], MATCH(J13, Ações_Nacionais[Ação], 0), MATCH(Ações_Nacionais[[#HEADERS],[Peso Ideal]], Ações_Nacionais[#HEADERS], 0)) 
  * $B$26,
"")</f>
        <v>5003.615053</v>
      </c>
      <c r="T13" s="138" t="s">
        <v>52</v>
      </c>
      <c r="U13" s="44" t="s">
        <v>143</v>
      </c>
      <c r="V13" s="134">
        <f t="shared" si="3"/>
        <v>0.122358718</v>
      </c>
      <c r="W13" s="47">
        <f t="array" ref="W13">IFERROR(
  INDEX(Ações_Nacionais[], MATCH(T13, Ações_Nacionais[Ação], 0), MATCH(Ações_Nacionais[[#HEADERS],[Peso Ideal]], Ações_Nacionais[#HEADERS], 0)) 
  * $B$26,
"")</f>
        <v>5003.615053</v>
      </c>
    </row>
    <row r="14" ht="22.5" customHeight="1">
      <c r="A14" s="138" t="s">
        <v>58</v>
      </c>
      <c r="B14" s="44" t="s">
        <v>146</v>
      </c>
      <c r="C14" s="134">
        <f t="shared" si="1"/>
        <v>0.0157484166</v>
      </c>
      <c r="D14" s="47">
        <f t="array" ref="D14">IFERROR(INDEX(Ações_Nacionais[], MATCH(A14, Ações_Nacionais[Ação], 0), MATCH(Ações_Nacionais[[#HEADERS],[Financeiro]], Ações_Nacionais[#HEADERS], 0)), "")
</f>
        <v>644</v>
      </c>
      <c r="J14" s="138" t="s">
        <v>58</v>
      </c>
      <c r="K14" s="44" t="s">
        <v>146</v>
      </c>
      <c r="L14" s="134">
        <f t="shared" si="2"/>
        <v>0.122358718</v>
      </c>
      <c r="M14" s="47">
        <f t="array" ref="M14">IFERROR(
  INDEX(Ações_Nacionais[], MATCH(J14, Ações_Nacionais[Ação], 0), MATCH(Ações_Nacionais[[#HEADERS],[Peso Ideal]], Ações_Nacionais[#HEADERS], 0)) 
  * $B$26,
"")</f>
        <v>5003.615053</v>
      </c>
      <c r="T14" s="138" t="s">
        <v>58</v>
      </c>
      <c r="U14" s="44" t="s">
        <v>146</v>
      </c>
      <c r="V14" s="134">
        <f t="shared" si="3"/>
        <v>0.122358718</v>
      </c>
      <c r="W14" s="47">
        <f t="array" ref="W14">IFERROR(
  INDEX(Ações_Nacionais[], MATCH(T14, Ações_Nacionais[Ação], 0), MATCH(Ações_Nacionais[[#HEADERS],[Peso Ideal]], Ações_Nacionais[#HEADERS], 0)) 
  * $B$26,
"")</f>
        <v>5003.615053</v>
      </c>
    </row>
    <row r="15" ht="22.5" customHeight="1">
      <c r="A15" s="138" t="s">
        <v>62</v>
      </c>
      <c r="B15" s="44" t="s">
        <v>140</v>
      </c>
      <c r="C15" s="134">
        <f t="shared" si="1"/>
        <v>0.0305675788</v>
      </c>
      <c r="D15" s="47">
        <f t="array" ref="D15">IFERROR(INDEX(Ações_Nacionais[], MATCH(A15, Ações_Nacionais[Ação], 0), MATCH(Ações_Nacionais[[#HEADERS],[Financeiro]], Ações_Nacionais[#HEADERS], 0)), "")
</f>
        <v>1250</v>
      </c>
      <c r="J15" s="138" t="s">
        <v>62</v>
      </c>
      <c r="K15" s="44" t="s">
        <v>140</v>
      </c>
      <c r="L15" s="134">
        <f t="shared" si="2"/>
        <v>0.122358718</v>
      </c>
      <c r="M15" s="47">
        <f t="array" ref="M15">IFERROR(
  INDEX(Ações_Nacionais[], MATCH(J15, Ações_Nacionais[Ação], 0), MATCH(Ações_Nacionais[[#HEADERS],[Peso Ideal]], Ações_Nacionais[#HEADERS], 0)) 
  * $B$26,
"")</f>
        <v>5003.615053</v>
      </c>
      <c r="T15" s="138" t="s">
        <v>62</v>
      </c>
      <c r="U15" s="44" t="s">
        <v>141</v>
      </c>
      <c r="V15" s="134">
        <f t="shared" si="3"/>
        <v>0.122358718</v>
      </c>
      <c r="W15" s="47">
        <f t="array" ref="W15">IFERROR(
  INDEX(Ações_Nacionais[], MATCH(T15, Ações_Nacionais[Ação], 0), MATCH(Ações_Nacionais[[#HEADERS],[Peso Ideal]], Ações_Nacionais[#HEADERS], 0)) 
  * $B$26,
"")</f>
        <v>5003.615053</v>
      </c>
    </row>
    <row r="24">
      <c r="A24" s="140" t="s">
        <v>148</v>
      </c>
      <c r="B24" s="141">
        <f>SUM(HOME!B3)</f>
        <v>40893</v>
      </c>
      <c r="K24" s="5"/>
      <c r="L24" s="5"/>
      <c r="M24" s="5"/>
    </row>
    <row r="25">
      <c r="A25" s="140" t="s">
        <v>149</v>
      </c>
      <c r="B25" s="141">
        <f>HOME!B4</f>
        <v>51728</v>
      </c>
    </row>
    <row r="26">
      <c r="A26" s="6" t="s">
        <v>150</v>
      </c>
      <c r="B26" s="142">
        <f>HOME!B9</f>
        <v>133429.7348</v>
      </c>
    </row>
    <row r="29" ht="22.5" customHeight="1">
      <c r="F29" s="1" t="s">
        <v>151</v>
      </c>
      <c r="G29" s="1" t="s">
        <v>152</v>
      </c>
      <c r="H29" s="1" t="s">
        <v>139</v>
      </c>
    </row>
    <row r="30" ht="22.5" customHeight="1">
      <c r="A30" s="1" t="s">
        <v>133</v>
      </c>
      <c r="B30" s="1" t="s">
        <v>134</v>
      </c>
      <c r="C30" s="1" t="s">
        <v>135</v>
      </c>
      <c r="D30" s="1" t="s">
        <v>136</v>
      </c>
      <c r="F30" s="44" t="s">
        <v>153</v>
      </c>
      <c r="G30" s="134">
        <f>SUMIF(Grafico_Total[setor], F30, Grafico_Total[peso])</f>
        <v>0.2045683449</v>
      </c>
      <c r="H30" s="47">
        <f>SUMIF(Grafico_Total[setor], F30, Grafico_Total[financeiro])</f>
        <v>27295.5</v>
      </c>
    </row>
    <row r="31" ht="22.5" customHeight="1">
      <c r="A31" s="44" t="s">
        <v>30</v>
      </c>
      <c r="B31" s="44" t="s">
        <v>141</v>
      </c>
      <c r="C31" s="134">
        <f t="shared" ref="C31:C56" si="4">IFERROR((D31/$B$26), 0)</f>
        <v>0.01381251341</v>
      </c>
      <c r="D31" s="47">
        <f t="array" ref="D31">IFERROR(INDEX(Ações_Nacionais[], MATCH(A31, Ações_Nacionais[Ação], 0), MATCH(Ações_Nacionais[[#HEADERS],[Financeiro]], Ações_Nacionais[#HEADERS], 0)), "")
</f>
        <v>1843</v>
      </c>
      <c r="F31" s="44" t="s">
        <v>154</v>
      </c>
      <c r="G31" s="134">
        <f>SUMIF(Grafico_Total[setor], F31, Grafico_Total[peso])</f>
        <v>0.04475389246</v>
      </c>
      <c r="H31" s="47">
        <f>SUMIF(Grafico_Total[setor], F31, Grafico_Total[financeiro])</f>
        <v>5971.5</v>
      </c>
    </row>
    <row r="32" ht="22.5" customHeight="1">
      <c r="A32" s="137" t="s">
        <v>23</v>
      </c>
      <c r="B32" s="44" t="s">
        <v>141</v>
      </c>
      <c r="C32" s="134">
        <f t="shared" si="4"/>
        <v>0.02787234799</v>
      </c>
      <c r="D32" s="47">
        <f t="array" ref="D32">IFERROR(INDEX(Ações_Nacionais[], MATCH(A32, Ações_Nacionais[Ação], 0), MATCH(Ações_Nacionais[[#HEADERS],[Financeiro]], Ações_Nacionais[#HEADERS], 0)), "")
</f>
        <v>3719</v>
      </c>
      <c r="F32" s="44" t="s">
        <v>155</v>
      </c>
      <c r="G32" s="134">
        <f>SUMIF(Grafico_Total[setor], F32, Grafico_Total[peso])</f>
        <v>0.01430286363</v>
      </c>
      <c r="H32" s="47">
        <f>SUMIF(Grafico_Total[setor], F32, Grafico_Total[financeiro])</f>
        <v>1908.4273</v>
      </c>
    </row>
    <row r="33" ht="22.5" customHeight="1">
      <c r="A33" s="137" t="s">
        <v>54</v>
      </c>
      <c r="B33" s="44" t="s">
        <v>144</v>
      </c>
      <c r="C33" s="134">
        <f t="shared" si="4"/>
        <v>0.05623184378</v>
      </c>
      <c r="D33" s="47">
        <f t="array" ref="D33">IFERROR(INDEX(Ações_Nacionais[], MATCH(A33, Ações_Nacionais[Ação], 0), MATCH(Ações_Nacionais[[#HEADERS],[Financeiro]], Ações_Nacionais[#HEADERS], 0)), "")
</f>
        <v>7503</v>
      </c>
      <c r="F33" s="44" t="s">
        <v>156</v>
      </c>
      <c r="G33" s="134">
        <f>SUMIF(Grafico_Total[setor], F33, Grafico_Total[peso])</f>
        <v>0.006479065566</v>
      </c>
      <c r="H33" s="47">
        <f>SUMIF(Grafico_Total[setor], F33, Grafico_Total[financeiro])</f>
        <v>864.5</v>
      </c>
    </row>
    <row r="34" ht="22.5" customHeight="1">
      <c r="A34" s="138" t="s">
        <v>47</v>
      </c>
      <c r="B34" s="44" t="s">
        <v>143</v>
      </c>
      <c r="C34" s="134">
        <f t="shared" si="4"/>
        <v>0.02815714209</v>
      </c>
      <c r="D34" s="47">
        <f t="array" ref="D34">IFERROR(INDEX(Ações_Nacionais[], MATCH(A34, Ações_Nacionais[Ação], 0), MATCH(Ações_Nacionais[[#HEADERS],[Financeiro]], Ações_Nacionais[#HEADERS], 0)), "")
</f>
        <v>3757</v>
      </c>
      <c r="F34" s="44" t="s">
        <v>157</v>
      </c>
      <c r="G34" s="134">
        <f>SUMIF(Grafico_Total[setor], F34, Grafico_Total[peso])</f>
        <v>0.003469991159</v>
      </c>
      <c r="H34" s="47">
        <f>SUMIF(Grafico_Total[setor], F34, Grafico_Total[financeiro])</f>
        <v>463</v>
      </c>
    </row>
    <row r="35" ht="22.5" customHeight="1">
      <c r="A35" s="138" t="s">
        <v>34</v>
      </c>
      <c r="B35" s="44" t="s">
        <v>141</v>
      </c>
      <c r="C35" s="134">
        <f t="shared" si="4"/>
        <v>0.03102007216</v>
      </c>
      <c r="D35" s="47">
        <f t="array" ref="D35">IFERROR(INDEX(Ações_Nacionais[], MATCH(A35, Ações_Nacionais[Ação], 0), MATCH(Ações_Nacionais[[#HEADERS],[Financeiro]], Ações_Nacionais[#HEADERS], 0)), "")
</f>
        <v>4139</v>
      </c>
      <c r="F35" s="44" t="s">
        <v>141</v>
      </c>
      <c r="G35" s="134">
        <f>SUMIF(Grafico_Total[setor], F35, Grafico_Total[peso])</f>
        <v>0.08181084988</v>
      </c>
      <c r="H35" s="47">
        <f>SUMIF(Grafico_Total[setor], F35, Grafico_Total[financeiro])</f>
        <v>10916</v>
      </c>
    </row>
    <row r="36" ht="22.5" customHeight="1">
      <c r="A36" s="138" t="s">
        <v>56</v>
      </c>
      <c r="B36" s="44" t="s">
        <v>144</v>
      </c>
      <c r="C36" s="134">
        <f t="shared" si="4"/>
        <v>0.03320099533</v>
      </c>
      <c r="D36" s="47">
        <f t="array" ref="D36">IFERROR(INDEX(Ações_Nacionais[], MATCH(A36, Ações_Nacionais[Ação], 0), MATCH(Ações_Nacionais[[#HEADERS],[Financeiro]], Ações_Nacionais[#HEADERS], 0)), "")
</f>
        <v>4430</v>
      </c>
      <c r="F36" s="143" t="s">
        <v>143</v>
      </c>
      <c r="G36" s="134">
        <f>SUMIF(Grafico_Total[setor], F36, Grafico_Total[peso])</f>
        <v>0.05518260239</v>
      </c>
      <c r="H36" s="47">
        <f>SUMIF(Grafico_Total[setor], F36, Grafico_Total[financeiro])</f>
        <v>7363</v>
      </c>
    </row>
    <row r="37" ht="22.5" customHeight="1">
      <c r="A37" s="138" t="s">
        <v>60</v>
      </c>
      <c r="B37" s="44" t="s">
        <v>147</v>
      </c>
      <c r="C37" s="134">
        <f t="shared" si="4"/>
        <v>0.03692580225</v>
      </c>
      <c r="D37" s="47">
        <f t="array" ref="D37">IFERROR(INDEX(Ações_Nacionais[], MATCH(A37, Ações_Nacionais[Ação], 0), MATCH(Ações_Nacionais[[#HEADERS],[Financeiro]], Ações_Nacionais[#HEADERS], 0)), "")
</f>
        <v>4927</v>
      </c>
      <c r="F37" s="44" t="s">
        <v>144</v>
      </c>
      <c r="G37" s="134">
        <f>SUMIF(Grafico_Total[setor], F37, Grafico_Total[peso])</f>
        <v>0.0894328391</v>
      </c>
      <c r="H37" s="47">
        <f>SUMIF(Grafico_Total[setor], F37, Grafico_Total[financeiro])</f>
        <v>11933</v>
      </c>
    </row>
    <row r="38" ht="22.5" customHeight="1">
      <c r="A38" s="138" t="s">
        <v>39</v>
      </c>
      <c r="B38" s="44" t="s">
        <v>141</v>
      </c>
      <c r="C38" s="134">
        <f t="shared" si="4"/>
        <v>0.009105916325</v>
      </c>
      <c r="D38" s="47">
        <f t="array" ref="D38">IFERROR(INDEX(Ações_Nacionais[], MATCH(A38, Ações_Nacionais[Ação], 0), MATCH(Ações_Nacionais[[#HEADERS],[Financeiro]], Ações_Nacionais[#HEADERS], 0)), "")
</f>
        <v>1215</v>
      </c>
      <c r="F38" s="143" t="s">
        <v>146</v>
      </c>
      <c r="G38" s="134">
        <f>SUMIF(Grafico_Total[setor], F38, Grafico_Total[peso])</f>
        <v>0.004826510381</v>
      </c>
      <c r="H38" s="47">
        <f>SUMIF(Grafico_Total[setor], F38, Grafico_Total[financeiro])</f>
        <v>644</v>
      </c>
    </row>
    <row r="39" ht="22.5" customHeight="1">
      <c r="A39" s="138" t="s">
        <v>49</v>
      </c>
      <c r="B39" s="44" t="s">
        <v>143</v>
      </c>
      <c r="C39" s="134">
        <f t="shared" si="4"/>
        <v>0.007524559663</v>
      </c>
      <c r="D39" s="47">
        <f t="array" ref="D39">IFERROR(INDEX(Ações_Nacionais[], MATCH(A39, Ações_Nacionais[Ação], 0), MATCH(Ações_Nacionais[[#HEADERS],[Financeiro]], Ações_Nacionais[#HEADERS], 0)), "")
</f>
        <v>1004</v>
      </c>
      <c r="F39" s="44" t="s">
        <v>147</v>
      </c>
      <c r="G39" s="134">
        <f>SUMIF(Grafico_Total[setor], F39, Grafico_Total[peso])</f>
        <v>0.03692580225</v>
      </c>
      <c r="H39" s="47">
        <f>SUMIF(Grafico_Total[setor], F39, Grafico_Total[financeiro])</f>
        <v>4927</v>
      </c>
    </row>
    <row r="40" ht="22.5" customHeight="1">
      <c r="A40" s="138" t="s">
        <v>52</v>
      </c>
      <c r="B40" s="44" t="s">
        <v>143</v>
      </c>
      <c r="C40" s="134">
        <f t="shared" si="4"/>
        <v>0.01950090064</v>
      </c>
      <c r="D40" s="47">
        <f t="array" ref="D40">IFERROR(INDEX(Ações_Nacionais[], MATCH(A40, Ações_Nacionais[Ação], 0), MATCH(Ações_Nacionais[[#HEADERS],[Financeiro]], Ações_Nacionais[#HEADERS], 0)), "")
</f>
        <v>2602</v>
      </c>
      <c r="F40" s="44" t="s">
        <v>158</v>
      </c>
      <c r="G40" s="134">
        <f>SUMIF(Grafico_Total[setor], F40, Grafico_Total[peso])</f>
        <v>0.22424435</v>
      </c>
      <c r="H40" s="47">
        <f>SUMIF(Grafico_Total[setor], F40, Grafico_Total[financeiro])</f>
        <v>29920.86414</v>
      </c>
    </row>
    <row r="41" ht="22.5" customHeight="1">
      <c r="A41" s="138" t="s">
        <v>58</v>
      </c>
      <c r="B41" s="44" t="s">
        <v>146</v>
      </c>
      <c r="C41" s="134">
        <f t="shared" si="4"/>
        <v>0.004826510381</v>
      </c>
      <c r="D41" s="47">
        <f t="array" ref="D41">IFERROR(INDEX(Ações_Nacionais[], MATCH(A41, Ações_Nacionais[Ação], 0), MATCH(Ações_Nacionais[[#HEADERS],[Financeiro]], Ações_Nacionais[#HEADERS], 0)), "")
</f>
        <v>644</v>
      </c>
      <c r="F41" s="44" t="s">
        <v>159</v>
      </c>
      <c r="G41" s="134">
        <f>SUMIF(Grafico_Total[setor], F41, Grafico_Total[peso])</f>
        <v>0.04307364382</v>
      </c>
      <c r="H41" s="47">
        <f>SUMIF(Grafico_Total[setor], F41, Grafico_Total[financeiro])</f>
        <v>5747.30487</v>
      </c>
    </row>
    <row r="42" ht="22.5" customHeight="1">
      <c r="A42" s="144" t="s">
        <v>36</v>
      </c>
      <c r="B42" s="44" t="s">
        <v>153</v>
      </c>
      <c r="C42" s="134">
        <f t="shared" si="4"/>
        <v>0.03372561602</v>
      </c>
      <c r="D42" s="47">
        <f t="array" ref="D42">IFERROR(INDEX(Fiis[], MATCH(A42, Fiis[Fii], 0), MATCH(Fiis[[#HEADERS],[Financeiro]], Fiis[#HEADERS], 0)), "")
</f>
        <v>4500</v>
      </c>
      <c r="F42" s="145" t="s">
        <v>160</v>
      </c>
      <c r="G42" s="134">
        <f>SUMIF(Grafico_Total[setor], F42, Grafico_Total[peso])</f>
        <v>0.02422352446</v>
      </c>
      <c r="H42" s="47">
        <f>SUMIF(Grafico_Total[setor], F42, Grafico_Total[financeiro])</f>
        <v>3232.138443</v>
      </c>
    </row>
    <row r="43" ht="22.5" customHeight="1">
      <c r="A43" s="144" t="s">
        <v>48</v>
      </c>
      <c r="B43" s="44" t="s">
        <v>154</v>
      </c>
      <c r="C43" s="134">
        <f t="shared" si="4"/>
        <v>0.006969960644</v>
      </c>
      <c r="D43" s="47">
        <f t="array" ref="D43">IFERROR(INDEX(Fiis[], MATCH(A43, Fiis[Fii], 0), MATCH(Fiis[[#HEADERS],[Financeiro]], Fiis[#HEADERS], 0)), "")
</f>
        <v>930</v>
      </c>
    </row>
    <row r="44" ht="22.5" customHeight="1">
      <c r="A44" s="44" t="s">
        <v>161</v>
      </c>
      <c r="B44" s="44" t="s">
        <v>155</v>
      </c>
      <c r="C44" s="134">
        <f t="shared" si="4"/>
        <v>0.01430286363</v>
      </c>
      <c r="D44" s="47">
        <f t="array" ref="D44">IFERROR(INDEX(Carteira[], MATCH(A44, Carteira[Tipo], 0), MATCH(Carteira[[#HEADERS],[Capital]], Carteira[#HEADERS], 0)), "")
</f>
        <v>1908.4273</v>
      </c>
    </row>
    <row r="45" ht="22.5" customHeight="1">
      <c r="A45" s="144" t="s">
        <v>55</v>
      </c>
      <c r="B45" s="44" t="s">
        <v>153</v>
      </c>
      <c r="C45" s="134">
        <f t="shared" si="4"/>
        <v>0.04190969884</v>
      </c>
      <c r="D45" s="47">
        <f t="array" ref="D45">IFERROR(INDEX(Fiis[], MATCH(A45, Fiis[Fii], 0), MATCH(Fiis[[#HEADERS],[Financeiro]], Fiis[#HEADERS], 0)), "")
</f>
        <v>5592</v>
      </c>
    </row>
    <row r="46" ht="22.5" customHeight="1">
      <c r="A46" s="144" t="s">
        <v>61</v>
      </c>
      <c r="B46" s="44" t="s">
        <v>153</v>
      </c>
      <c r="C46" s="134">
        <f t="shared" si="4"/>
        <v>0.05516386594</v>
      </c>
      <c r="D46" s="47">
        <f t="array" ref="D46">IFERROR(INDEX(Fiis[], MATCH(A46, Fiis[Fii], 0), MATCH(Fiis[[#HEADERS],[Financeiro]], Fiis[#HEADERS], 0)), "")
</f>
        <v>7360.5</v>
      </c>
    </row>
    <row r="47" ht="22.5" customHeight="1">
      <c r="A47" s="144" t="s">
        <v>118</v>
      </c>
      <c r="B47" s="44" t="s">
        <v>153</v>
      </c>
      <c r="C47" s="134">
        <f t="shared" si="4"/>
        <v>0.0369070658</v>
      </c>
      <c r="D47" s="47">
        <f t="array" ref="D47">IFERROR(INDEX(Fiis[], MATCH(A47, Fiis[Fii], 0), MATCH(Fiis[[#HEADERS],[Financeiro]], Fiis[#HEADERS], 0)), "")
</f>
        <v>4924.5</v>
      </c>
    </row>
    <row r="48" ht="22.5" customHeight="1">
      <c r="A48" s="144" t="s">
        <v>40</v>
      </c>
      <c r="B48" s="44" t="s">
        <v>153</v>
      </c>
      <c r="C48" s="134">
        <f t="shared" si="4"/>
        <v>0.03686209831</v>
      </c>
      <c r="D48" s="47">
        <f t="array" ref="D48">IFERROR(INDEX(Fiis[], MATCH(A48, Fiis[Fii], 0), MATCH(Fiis[[#HEADERS],[Financeiro]], Fiis[#HEADERS], 0)), "")
</f>
        <v>4918.5</v>
      </c>
    </row>
    <row r="49" ht="22.5" customHeight="1">
      <c r="A49" s="144" t="s">
        <v>50</v>
      </c>
      <c r="B49" s="44" t="s">
        <v>156</v>
      </c>
      <c r="C49" s="134">
        <f t="shared" si="4"/>
        <v>0.003395045346</v>
      </c>
      <c r="D49" s="47">
        <f t="array" ref="D49">IFERROR(INDEX(Fiis[], MATCH(A49, Fiis[Fii], 0), MATCH(Fiis[[#HEADERS],[Financeiro]], Fiis[#HEADERS], 0)), "")
</f>
        <v>453</v>
      </c>
    </row>
    <row r="50" ht="22.5" customHeight="1">
      <c r="A50" s="144" t="s">
        <v>57</v>
      </c>
      <c r="B50" s="44" t="s">
        <v>156</v>
      </c>
      <c r="C50" s="134">
        <f t="shared" si="4"/>
        <v>0.00308402022</v>
      </c>
      <c r="D50" s="47">
        <f t="array" ref="D50">IFERROR(INDEX(Fiis[], MATCH(A50, Fiis[Fii], 0), MATCH(Fiis[[#HEADERS],[Financeiro]], Fiis[#HEADERS], 0)), "")
</f>
        <v>411.5</v>
      </c>
    </row>
    <row r="51" ht="22.5" customHeight="1">
      <c r="A51" s="144" t="s">
        <v>31</v>
      </c>
      <c r="B51" s="44" t="s">
        <v>154</v>
      </c>
      <c r="C51" s="134">
        <f t="shared" si="4"/>
        <v>0.03778393181</v>
      </c>
      <c r="D51" s="47">
        <f t="array" ref="D51">IFERROR(INDEX(Fiis[], MATCH(A51, Fiis[Fii], 0), MATCH(Fiis[[#HEADERS],[Financeiro]], Fiis[#HEADERS], 0)), "")
</f>
        <v>5041.5</v>
      </c>
    </row>
    <row r="52" ht="22.5" customHeight="1">
      <c r="A52" s="144"/>
      <c r="B52" s="44"/>
      <c r="C52" s="134">
        <f t="shared" si="4"/>
        <v>0</v>
      </c>
      <c r="D52" s="47"/>
    </row>
    <row r="53" ht="22.5" customHeight="1">
      <c r="A53" s="144" t="s">
        <v>59</v>
      </c>
      <c r="B53" s="44" t="s">
        <v>157</v>
      </c>
      <c r="C53" s="134">
        <f t="shared" si="4"/>
        <v>0.003469991159</v>
      </c>
      <c r="D53" s="47">
        <f t="array" ref="D53">IFERROR(INDEX(Fiis[], MATCH(A53, Fiis[Fii], 0), MATCH(Fiis[[#HEADERS],[Financeiro]], Fiis[#HEADERS], 0)), "")
</f>
        <v>463</v>
      </c>
    </row>
    <row r="54" ht="22.5" customHeight="1">
      <c r="A54" s="44" t="s">
        <v>158</v>
      </c>
      <c r="B54" s="44" t="s">
        <v>158</v>
      </c>
      <c r="C54" s="134">
        <f t="shared" si="4"/>
        <v>0.22424435</v>
      </c>
      <c r="D54" s="47">
        <f t="array" ref="D54">IFERROR(INDEX(Carteira[], MATCH(A54, Carteira[Tipo], 0), MATCH(Carteira[[#HEADERS],[Capital]], Carteira[#HEADERS], 0)), "")
</f>
        <v>29920.86414</v>
      </c>
    </row>
    <row r="55" ht="22.5" customHeight="1">
      <c r="A55" s="44" t="s">
        <v>183</v>
      </c>
      <c r="B55" s="44" t="s">
        <v>159</v>
      </c>
      <c r="C55" s="134">
        <f t="shared" si="4"/>
        <v>0.04307364382</v>
      </c>
      <c r="D55" s="47">
        <f t="array" ref="D55">IFERROR(INDEX(Carteira[], MATCH(A55, Carteira[Tipo], 0), MATCH(Carteira[[#HEADERS],[Capital]], Carteira[#HEADERS], 0)), "")
</f>
        <v>5747.30487</v>
      </c>
    </row>
    <row r="56" ht="22.5" customHeight="1">
      <c r="A56" s="145" t="s">
        <v>160</v>
      </c>
      <c r="B56" s="145" t="s">
        <v>160</v>
      </c>
      <c r="C56" s="134">
        <f t="shared" si="4"/>
        <v>0.02422352446</v>
      </c>
      <c r="D56" s="47">
        <f t="array" ref="D56">IFERROR(INDEX(Carteira[], MATCH(A56, Carteira[Tipo], 0), MATCH(Carteira[[#HEADERS],[Capital]], Carteira[#HEADERS], 0)), "")
</f>
        <v>3232.138443</v>
      </c>
    </row>
    <row r="60" ht="22.5" customHeight="1">
      <c r="A60" s="171" t="s">
        <v>102</v>
      </c>
      <c r="B60" s="171" t="s">
        <v>103</v>
      </c>
      <c r="C60" s="171" t="s">
        <v>104</v>
      </c>
      <c r="D60" s="171" t="s">
        <v>105</v>
      </c>
      <c r="E60" s="171" t="s">
        <v>107</v>
      </c>
      <c r="F60" s="171" t="s">
        <v>202</v>
      </c>
      <c r="G60" s="171" t="s">
        <v>204</v>
      </c>
      <c r="N60" s="176"/>
      <c r="O60" s="177"/>
    </row>
    <row r="61" ht="22.5" customHeight="1">
      <c r="A61" s="178" t="s">
        <v>50</v>
      </c>
      <c r="B61" s="179" t="s">
        <v>114</v>
      </c>
      <c r="C61" s="181" t="s">
        <v>115</v>
      </c>
      <c r="D61" s="183">
        <f t="array" ref="D61">IFERROR(INDEX(Fiis[], MATCH(A61, Fiis[Fii], 0), MATCH(Fiis[[#HEADERS],[QTD]], Fiis[#HEADERS], 0)), "")
</f>
        <v>50</v>
      </c>
      <c r="E61" s="184">
        <f>IFERROR(__xludf.DUMMYFUNCTION("GOOGLEFINANCE(A61)"),9.06)</f>
        <v>9.06</v>
      </c>
      <c r="F61" s="185">
        <f t="shared" ref="F61:F73" si="5">D61*E61</f>
        <v>453</v>
      </c>
      <c r="G61" s="187">
        <f>IFERROR((F61/grafico!$B$25), 0)</f>
        <v>0.008757346118</v>
      </c>
      <c r="N61" s="176"/>
      <c r="O61" s="177"/>
    </row>
    <row r="62" ht="22.5" customHeight="1">
      <c r="A62" s="178" t="s">
        <v>118</v>
      </c>
      <c r="B62" s="179" t="s">
        <v>114</v>
      </c>
      <c r="C62" s="181" t="s">
        <v>119</v>
      </c>
      <c r="D62" s="183">
        <f t="array" ref="D62">IFERROR(INDEX(Fiis[], MATCH(A62, Fiis[Fii], 0), MATCH(Fiis[[#HEADERS],[QTD]], Fiis[#HEADERS], 0)), "")
</f>
        <v>50</v>
      </c>
      <c r="E62" s="196">
        <f>IFERROR(__xludf.DUMMYFUNCTION("GOOGLEFINANCE(A62)"),98.49)</f>
        <v>98.49</v>
      </c>
      <c r="F62" s="185">
        <f t="shared" si="5"/>
        <v>4924.5</v>
      </c>
      <c r="G62" s="187">
        <f>IFERROR((F62/grafico!$B$25), 0)</f>
        <v>0.09519989174</v>
      </c>
      <c r="N62" s="176"/>
      <c r="O62" s="177"/>
    </row>
    <row r="63" ht="22.5" customHeight="1">
      <c r="A63" s="178" t="s">
        <v>57</v>
      </c>
      <c r="B63" s="179" t="s">
        <v>209</v>
      </c>
      <c r="C63" s="181" t="s">
        <v>115</v>
      </c>
      <c r="D63" s="183">
        <f t="array" ref="D63">IFERROR(INDEX(Fiis[], MATCH(A63, Fiis[Fii], 0), MATCH(Fiis[[#HEADERS],[QTD]], Fiis[#HEADERS], 0)), "")
</f>
        <v>50</v>
      </c>
      <c r="E63" s="196">
        <f>IFERROR(__xludf.DUMMYFUNCTION("GOOGLEFINANCE(A63)"),8.23)</f>
        <v>8.23</v>
      </c>
      <c r="F63" s="185">
        <f t="shared" si="5"/>
        <v>411.5</v>
      </c>
      <c r="G63" s="187">
        <f>IFERROR((F63/grafico!$B$25), 0)</f>
        <v>0.007955072688</v>
      </c>
      <c r="N63" s="176"/>
      <c r="O63" s="177"/>
    </row>
    <row r="64" ht="22.5" customHeight="1">
      <c r="A64" s="178" t="s">
        <v>36</v>
      </c>
      <c r="B64" s="179" t="s">
        <v>114</v>
      </c>
      <c r="C64" s="181" t="s">
        <v>115</v>
      </c>
      <c r="D64" s="183">
        <f t="array" ref="D64">IFERROR(INDEX(Fiis[], MATCH(A64, Fiis[Fii], 0), MATCH(Fiis[[#HEADERS],[QTD]], Fiis[#HEADERS], 0)), "")
</f>
        <v>50</v>
      </c>
      <c r="E64" s="196">
        <f>IFERROR(__xludf.DUMMYFUNCTION("GOOGLEFINANCE(A64)"),90.0)</f>
        <v>90</v>
      </c>
      <c r="F64" s="185">
        <f t="shared" si="5"/>
        <v>4500</v>
      </c>
      <c r="G64" s="187">
        <f>IFERROR((F64/grafico!$B$25), 0)</f>
        <v>0.08699350448</v>
      </c>
      <c r="N64" s="176"/>
      <c r="O64" s="177"/>
    </row>
    <row r="65" ht="22.5" customHeight="1">
      <c r="A65" s="178" t="s">
        <v>31</v>
      </c>
      <c r="B65" s="179" t="s">
        <v>123</v>
      </c>
      <c r="C65" s="181" t="s">
        <v>115</v>
      </c>
      <c r="D65" s="183">
        <f t="array" ref="D65">IFERROR(INDEX(Fiis[], MATCH(A65, Fiis[Fii], 0), MATCH(Fiis[[#HEADERS],[QTD]], Fiis[#HEADERS], 0)), "")
</f>
        <v>50</v>
      </c>
      <c r="E65" s="196">
        <f>IFERROR(__xludf.DUMMYFUNCTION("GOOGLEFINANCE(A65)"),100.83)</f>
        <v>100.83</v>
      </c>
      <c r="F65" s="185">
        <f t="shared" si="5"/>
        <v>5041.5</v>
      </c>
      <c r="G65" s="187">
        <f>IFERROR((F65/grafico!$B$25), 0)</f>
        <v>0.09746172286</v>
      </c>
      <c r="N65" s="176"/>
      <c r="O65" s="177"/>
    </row>
    <row r="66" ht="22.5" customHeight="1">
      <c r="A66" s="178" t="s">
        <v>40</v>
      </c>
      <c r="B66" s="179" t="s">
        <v>114</v>
      </c>
      <c r="C66" s="181" t="s">
        <v>119</v>
      </c>
      <c r="D66" s="183">
        <f t="array" ref="D66">IFERROR(INDEX(Fiis[], MATCH(A66, Fiis[Fii], 0), MATCH(Fiis[[#HEADERS],[QTD]], Fiis[#HEADERS], 0)), "")
</f>
        <v>50</v>
      </c>
      <c r="E66" s="196">
        <f>IFERROR(__xludf.DUMMYFUNCTION("GOOGLEFINANCE(A66)"),98.37)</f>
        <v>98.37</v>
      </c>
      <c r="F66" s="185">
        <f t="shared" si="5"/>
        <v>4918.5</v>
      </c>
      <c r="G66" s="187">
        <f>IFERROR((F66/grafico!$B$25), 0)</f>
        <v>0.0950839004</v>
      </c>
      <c r="N66" s="176"/>
      <c r="O66" s="177"/>
    </row>
    <row r="67" ht="22.5" customHeight="1">
      <c r="A67" s="178" t="s">
        <v>48</v>
      </c>
      <c r="B67" s="179" t="s">
        <v>123</v>
      </c>
      <c r="C67" s="181" t="s">
        <v>115</v>
      </c>
      <c r="D67" s="183">
        <f t="array" ref="D67">IFERROR(INDEX(Fiis[], MATCH(A67, Fiis[Fii], 0), MATCH(Fiis[[#HEADERS],[QTD]], Fiis[#HEADERS], 0)), "")
</f>
        <v>50</v>
      </c>
      <c r="E67" s="196">
        <f>IFERROR(__xludf.DUMMYFUNCTION("GOOGLEFINANCE(A67)"),18.6)</f>
        <v>18.6</v>
      </c>
      <c r="F67" s="185">
        <f t="shared" si="5"/>
        <v>930</v>
      </c>
      <c r="G67" s="187">
        <f>IFERROR((F67/grafico!$B$25), 0)</f>
        <v>0.01797865759</v>
      </c>
      <c r="N67" s="176"/>
      <c r="O67" s="177"/>
    </row>
    <row r="68" ht="22.5" customHeight="1">
      <c r="A68" s="178" t="s">
        <v>55</v>
      </c>
      <c r="B68" s="179" t="s">
        <v>114</v>
      </c>
      <c r="C68" s="181" t="s">
        <v>115</v>
      </c>
      <c r="D68" s="183">
        <f t="array" ref="D68">IFERROR(INDEX(Fiis[], MATCH(A68, Fiis[Fii], 0), MATCH(Fiis[[#HEADERS],[QTD]], Fiis[#HEADERS], 0)), "")
</f>
        <v>50</v>
      </c>
      <c r="E68" s="196">
        <f>IFERROR(__xludf.DUMMYFUNCTION("GOOGLEFINANCE(A68)"),111.84)</f>
        <v>111.84</v>
      </c>
      <c r="F68" s="185">
        <f t="shared" si="5"/>
        <v>5592</v>
      </c>
      <c r="G68" s="187">
        <f>IFERROR((F68/grafico!$B$25), 0)</f>
        <v>0.1081039282</v>
      </c>
      <c r="N68" s="176"/>
      <c r="O68" s="177"/>
    </row>
    <row r="69" ht="22.5" customHeight="1">
      <c r="A69" s="178" t="s">
        <v>59</v>
      </c>
      <c r="B69" s="179" t="s">
        <v>126</v>
      </c>
      <c r="C69" s="181" t="s">
        <v>119</v>
      </c>
      <c r="D69" s="183">
        <f t="array" ref="D69">IFERROR(INDEX(Fiis[], MATCH(A69, Fiis[Fii], 0), MATCH(Fiis[[#HEADERS],[QTD]], Fiis[#HEADERS], 0)), "")
</f>
        <v>50</v>
      </c>
      <c r="E69" s="196">
        <f>IFERROR(__xludf.DUMMYFUNCTION("GOOGLEFINANCE(A69)"),9.26)</f>
        <v>9.26</v>
      </c>
      <c r="F69" s="185">
        <f t="shared" si="5"/>
        <v>463</v>
      </c>
      <c r="G69" s="187">
        <f>IFERROR((F69/grafico!$B$25), 0)</f>
        <v>0.008950665017</v>
      </c>
      <c r="N69" s="176"/>
      <c r="O69" s="177"/>
    </row>
    <row r="70" ht="22.5" customHeight="1">
      <c r="A70" s="178" t="s">
        <v>61</v>
      </c>
      <c r="B70" s="179" t="s">
        <v>114</v>
      </c>
      <c r="C70" s="181" t="s">
        <v>115</v>
      </c>
      <c r="D70" s="183">
        <f t="array" ref="D70">IFERROR(INDEX(Fiis[], MATCH(A70, Fiis[Fii], 0), MATCH(Fiis[[#HEADERS],[QTD]], Fiis[#HEADERS], 0)), "")
</f>
        <v>50</v>
      </c>
      <c r="E70" s="196">
        <f>IFERROR(__xludf.DUMMYFUNCTION("GOOGLEFINANCE(A70)"),147.21)</f>
        <v>147.21</v>
      </c>
      <c r="F70" s="185">
        <f t="shared" si="5"/>
        <v>7360.5</v>
      </c>
      <c r="G70" s="187">
        <f>IFERROR((F70/grafico!$B$25), 0)</f>
        <v>0.1422923755</v>
      </c>
    </row>
    <row r="71" ht="22.5" customHeight="1">
      <c r="A71" s="178" t="s">
        <v>26</v>
      </c>
      <c r="B71" s="179" t="s">
        <v>221</v>
      </c>
      <c r="C71" s="181" t="s">
        <v>119</v>
      </c>
      <c r="D71" s="183">
        <f t="array" ref="D71">IFERROR(INDEX(Fiis[], MATCH(A71, Fiis[Fii], 0), MATCH(Fiis[[#HEADERS],[QTD]], Fiis[#HEADERS], 0)), "")
</f>
        <v>50</v>
      </c>
      <c r="E71" s="196">
        <f>IFERROR(__xludf.DUMMYFUNCTION("GOOGLEFINANCE(A71)"),155.48)</f>
        <v>155.48</v>
      </c>
      <c r="F71" s="185">
        <f t="shared" si="5"/>
        <v>7774</v>
      </c>
      <c r="G71" s="187">
        <f>IFERROR((F71/grafico!$B$25), 0)</f>
        <v>0.150286112</v>
      </c>
    </row>
    <row r="72" ht="22.5" customHeight="1">
      <c r="A72" s="178" t="s">
        <v>63</v>
      </c>
      <c r="B72" s="179" t="s">
        <v>120</v>
      </c>
      <c r="C72" s="181" t="s">
        <v>119</v>
      </c>
      <c r="D72" s="183">
        <f t="array" ref="D72">IFERROR(INDEX(Fiis[], MATCH(A72, Fiis[Fii], 0), MATCH(Fiis[[#HEADERS],[QTD]], Fiis[#HEADERS], 0)), "")
</f>
        <v>50</v>
      </c>
      <c r="E72" s="196">
        <f>IFERROR(__xludf.DUMMYFUNCTION("GOOGLEFINANCE(A72)"),114.99)</f>
        <v>114.99</v>
      </c>
      <c r="F72" s="185">
        <f t="shared" si="5"/>
        <v>5749.5</v>
      </c>
      <c r="G72" s="187">
        <f>IFERROR((F72/grafico!$B$25), 0)</f>
        <v>0.1111487009</v>
      </c>
    </row>
    <row r="73" ht="22.5" customHeight="1">
      <c r="A73" s="178" t="s">
        <v>64</v>
      </c>
      <c r="B73" s="179" t="s">
        <v>126</v>
      </c>
      <c r="C73" s="181" t="s">
        <v>115</v>
      </c>
      <c r="D73" s="183">
        <f t="array" ref="D73">IFERROR(INDEX(Fiis[], MATCH(A73, Fiis[Fii], 0), MATCH(Fiis[[#HEADERS],[QTD]], Fiis[#HEADERS], 0)), "")
</f>
        <v>50</v>
      </c>
      <c r="E73" s="196">
        <f>IFERROR(__xludf.DUMMYFUNCTION("GOOGLEFINANCE(A73)"),72.2)</f>
        <v>72.2</v>
      </c>
      <c r="F73" s="185">
        <f t="shared" si="5"/>
        <v>3610</v>
      </c>
      <c r="G73" s="187">
        <f>IFERROR((F73/grafico!$B$25), 0)</f>
        <v>0.06978812249</v>
      </c>
    </row>
  </sheetData>
  <conditionalFormatting sqref="A71:A73">
    <cfRule type="expression" dxfId="5" priority="1">
      <formula>AND($B71="RZTR11", VALUE(SUBSTITUTE($C71,"%","")) &gt; VALUE(SUBSTITUTE($E71,"%",""))*2)</formula>
    </cfRule>
  </conditionalFormatting>
  <conditionalFormatting sqref="A71:A73">
    <cfRule type="expression" dxfId="5" priority="2">
      <formula>AND($B71="BRCO11", VALUE(SUBSTITUTE($C71,"%","")) &gt; VALUE(SUBSTITUTE($E71,"%",""))*2)</formula>
    </cfRule>
  </conditionalFormatting>
  <conditionalFormatting sqref="A71:A73">
    <cfRule type="expression" dxfId="5" priority="3">
      <formula>AND($B71="BTLG11", VALUE(SUBSTITUTE($C71,"%","")) &gt; VALUE(SUBSTITUTE($E71,"%",""))*2)</formula>
    </cfRule>
  </conditionalFormatting>
  <conditionalFormatting sqref="A71:A73">
    <cfRule type="expression" dxfId="5" priority="4">
      <formula>AND($B71="XPLG11", VALUE(SUBSTITUTE($C71,"%","")) &gt; VALUE(SUBSTITUTE($E71,"%",""))*2)</formula>
    </cfRule>
  </conditionalFormatting>
  <conditionalFormatting sqref="A71:A73">
    <cfRule type="expression" dxfId="5" priority="5">
      <formula>AND($B71="GGRC11", VALUE(SUBSTITUTE($C71,"%","")) &gt; VALUE(SUBSTITUTE($E71,"%",""))*2)</formula>
    </cfRule>
  </conditionalFormatting>
  <conditionalFormatting sqref="A71:A73">
    <cfRule type="expression" dxfId="5" priority="6">
      <formula>AND($B71="GARE11", VALUE(SUBSTITUTE($C71,"%","")) &gt; VALUE(SUBSTITUTE($E71,"%",""))*2)</formula>
    </cfRule>
  </conditionalFormatting>
  <conditionalFormatting sqref="A71:A73">
    <cfRule type="expression" dxfId="5" priority="7">
      <formula>AND($B71="HGLG11", VALUE(SUBSTITUTE($C71,"%","")) &gt; VALUE(SUBSTITUTE($E71,"%",""))*2)</formula>
    </cfRule>
  </conditionalFormatting>
  <conditionalFormatting sqref="A71:A73">
    <cfRule type="expression" dxfId="5" priority="8">
      <formula>AND($B71="HGBS11", VALUE(SUBSTITUTE($C71,"%","")) &gt; VALUE(SUBSTITUTE($E71,"%",""))*2)</formula>
    </cfRule>
  </conditionalFormatting>
  <conditionalFormatting sqref="A71:A73">
    <cfRule type="expression" dxfId="5" priority="9">
      <formula>AND($B71="PMLL11", VALUE(SUBSTITUTE($C71,"%","")) &gt; VALUE(SUBSTITUTE($E71,"%",""))*2)</formula>
    </cfRule>
  </conditionalFormatting>
  <conditionalFormatting sqref="A71:A73">
    <cfRule type="expression" dxfId="5" priority="10">
      <formula>AND($B71="LVBI11", VALUE(SUBSTITUTE($C71,"%","")) &gt; VALUE(SUBSTITUTE($E71,"%",""))*2)</formula>
    </cfRule>
  </conditionalFormatting>
  <conditionalFormatting sqref="A71:A73">
    <cfRule type="expression" dxfId="5" priority="11">
      <formula>AND($B71="RBRF11", VALUE(SUBSTITUTE($C71,"%","")) &gt; VALUE(SUBSTITUTE($E71,"%",""))*2)</formula>
    </cfRule>
  </conditionalFormatting>
  <conditionalFormatting sqref="A71:A73">
    <cfRule type="expression" dxfId="5" priority="12">
      <formula>AND($B71="BTCI11", VALUE(SUBSTITUTE($C71,"%","")) &gt; VALUE(SUBSTITUTE($E71,"%",""))*2)</formula>
    </cfRule>
  </conditionalFormatting>
  <conditionalFormatting sqref="A71:A73">
    <cfRule type="expression" dxfId="5" priority="13">
      <formula>AND($B71="RBRX11", VALUE(SUBSTITUTE($C71,"%","")) &gt; VALUE(SUBSTITUTE($E71,"%",""))*2)</formula>
    </cfRule>
  </conditionalFormatting>
  <conditionalFormatting sqref="A71:A73">
    <cfRule type="expression" dxfId="5" priority="14">
      <formula>AND($B71="MXRF11", VALUE(SUBSTITUTE($C71,"%","")) &gt; VALUE(SUBSTITUTE($E71,"%",""))*2)</formula>
    </cfRule>
  </conditionalFormatting>
  <conditionalFormatting sqref="A71:A73">
    <cfRule type="expression" dxfId="5" priority="15">
      <formula>AND($B71="RECR11", VALUE(SUBSTITUTE($C71,"%","")) &gt; VALUE(SUBSTITUTE($E71,"%",""))*2)</formula>
    </cfRule>
  </conditionalFormatting>
  <conditionalFormatting sqref="A71:A73">
    <cfRule type="expression" dxfId="6" priority="16">
      <formula>AND($B71="RZTR11", VALUE(SUBSTITUTE($C71,"%","")) &gt; VALUE(SUBSTITUTE($E71,"%","")))</formula>
    </cfRule>
  </conditionalFormatting>
  <conditionalFormatting sqref="A71:A73">
    <cfRule type="expression" dxfId="6" priority="17">
      <formula>AND($B71="BRCO11", VALUE(SUBSTITUTE($C71,"%","")) &gt; VALUE(SUBSTITUTE($E71,"%","")))</formula>
    </cfRule>
  </conditionalFormatting>
  <conditionalFormatting sqref="A71:A73">
    <cfRule type="expression" dxfId="6" priority="18">
      <formula>AND($B71="BTLG11", VALUE(SUBSTITUTE($C71,"%","")) &gt; VALUE(SUBSTITUTE($E71,"%","")))</formula>
    </cfRule>
  </conditionalFormatting>
  <conditionalFormatting sqref="A71:A73">
    <cfRule type="expression" dxfId="6" priority="19">
      <formula>AND($B71="XPLG11", VALUE(SUBSTITUTE($C71,"%","")) &gt; VALUE(SUBSTITUTE($E71,"%","")))</formula>
    </cfRule>
  </conditionalFormatting>
  <conditionalFormatting sqref="A71:A73">
    <cfRule type="expression" dxfId="6" priority="20">
      <formula>AND($B71="GGRC11", VALUE(SUBSTITUTE($C71,"%","")) &gt; VALUE(SUBSTITUTE($E71,"%","")))</formula>
    </cfRule>
  </conditionalFormatting>
  <conditionalFormatting sqref="A71:A73">
    <cfRule type="expression" dxfId="6" priority="21">
      <formula>AND($B71="GARE11", VALUE(SUBSTITUTE($C71,"%","")) &gt; VALUE(SUBSTITUTE($E71,"%","")))</formula>
    </cfRule>
  </conditionalFormatting>
  <conditionalFormatting sqref="A71:A73">
    <cfRule type="expression" dxfId="6" priority="22">
      <formula>AND($B71="HGBS11", VALUE(SUBSTITUTE($C71,"%","")) &gt; VALUE(SUBSTITUTE($E71,"%","")))</formula>
    </cfRule>
  </conditionalFormatting>
  <conditionalFormatting sqref="A71:A73">
    <cfRule type="expression" dxfId="6" priority="23">
      <formula>AND($B71="PMLL11", VALUE(SUBSTITUTE($C71,"%","")) &gt; VALUE(SUBSTITUTE($E71,"%","")))</formula>
    </cfRule>
  </conditionalFormatting>
  <conditionalFormatting sqref="A71:A73">
    <cfRule type="expression" dxfId="6" priority="24">
      <formula>AND($B71="LVBI11", VALUE(SUBSTITUTE($C71,"%","")) &gt; VALUE(SUBSTITUTE($E71,"%","")))</formula>
    </cfRule>
  </conditionalFormatting>
  <conditionalFormatting sqref="A71:A73">
    <cfRule type="expression" dxfId="6" priority="25">
      <formula>AND($B71="RBRF11", VALUE(SUBSTITUTE($C71,"%","")) &gt; VALUE(SUBSTITUTE($E71,"%","")))</formula>
    </cfRule>
  </conditionalFormatting>
  <conditionalFormatting sqref="A71:A73">
    <cfRule type="expression" dxfId="6" priority="26">
      <formula>AND($B71="BTCI11", VALUE(SUBSTITUTE($C71,"%","")) &gt; VALUE(SUBSTITUTE($E71,"%","")))</formula>
    </cfRule>
  </conditionalFormatting>
  <conditionalFormatting sqref="A71:A73">
    <cfRule type="expression" dxfId="6" priority="27">
      <formula>AND($B71="RBRX11", VALUE(SUBSTITUTE($C71,"%","")) &gt; VALUE(SUBSTITUTE($E71,"%","")))</formula>
    </cfRule>
  </conditionalFormatting>
  <conditionalFormatting sqref="A71:A73">
    <cfRule type="expression" dxfId="6" priority="28">
      <formula>AND($B71="RECR11", VALUE(SUBSTITUTE($C71,"%","")) &gt; VALUE(SUBSTITUTE($E71,"%","")))</formula>
    </cfRule>
  </conditionalFormatting>
  <conditionalFormatting sqref="A71:A73">
    <cfRule type="expression" dxfId="6" priority="29">
      <formula>AND($B71="MXRF11", VALUE(SUBSTITUTE($C71,"%","")) &gt; VALUE(SUBSTITUTE($E71,"%","")))</formula>
    </cfRule>
  </conditionalFormatting>
  <conditionalFormatting sqref="A71:A73">
    <cfRule type="expression" dxfId="6" priority="30">
      <formula>AND($B71="HGLG11", VALUE(SUBSTITUTE($C71,"%","")) &gt; VALUE(SUBSTITUTE($E71,"%","")))</formula>
    </cfRule>
  </conditionalFormatting>
  <conditionalFormatting sqref="A71:A73">
    <cfRule type="expression" dxfId="7" priority="31">
      <formula>AND($B71="RZTR11", VALUE(SUBSTITUTE($C71,"%","")) &lt; VALUE(SUBSTITUTE($E71,"%","")))</formula>
    </cfRule>
  </conditionalFormatting>
  <conditionalFormatting sqref="A71:A73">
    <cfRule type="expression" dxfId="7" priority="32">
      <formula>AND($B71="BRCO11", VALUE(SUBSTITUTE($C71,"%","")) &lt; VALUE(SUBSTITUTE($E71,"%","")))</formula>
    </cfRule>
  </conditionalFormatting>
  <conditionalFormatting sqref="A71:A73">
    <cfRule type="expression" dxfId="7" priority="33">
      <formula>AND($B71="BTLG11", VALUE(SUBSTITUTE($C71,"%","")) &lt; VALUE(SUBSTITUTE($E71,"%","")))</formula>
    </cfRule>
  </conditionalFormatting>
  <conditionalFormatting sqref="A71:A73">
    <cfRule type="expression" dxfId="7" priority="34">
      <formula>AND($B71="XPLG11", VALUE(SUBSTITUTE($C71,"%","")) &lt; VALUE(SUBSTITUTE($E71,"%","")))</formula>
    </cfRule>
  </conditionalFormatting>
  <conditionalFormatting sqref="A71:A73">
    <cfRule type="expression" dxfId="7" priority="35">
      <formula>AND($B71="GGRC11", VALUE(SUBSTITUTE($C71,"%","")) &lt; VALUE(SUBSTITUTE($E71,"%","")))</formula>
    </cfRule>
  </conditionalFormatting>
  <conditionalFormatting sqref="A71:A73">
    <cfRule type="expression" dxfId="7" priority="36">
      <formula>AND($B71="GARE11", VALUE(SUBSTITUTE($C71,"%","")) &lt; VALUE(SUBSTITUTE($E71,"%","")))</formula>
    </cfRule>
  </conditionalFormatting>
  <conditionalFormatting sqref="A71:A73">
    <cfRule type="expression" dxfId="7" priority="37">
      <formula>AND($B71="HGLG11", VALUE(SUBSTITUTE($C71,"%","")) &lt; VALUE(SUBSTITUTE($E71,"%","")))</formula>
    </cfRule>
  </conditionalFormatting>
  <conditionalFormatting sqref="A71:A73">
    <cfRule type="expression" dxfId="7" priority="38">
      <formula>AND($B71="HGBS11", VALUE(SUBSTITUTE($C71,"%","")) &lt; VALUE(SUBSTITUTE($E71,"%","")))</formula>
    </cfRule>
  </conditionalFormatting>
  <conditionalFormatting sqref="A71:A73">
    <cfRule type="expression" dxfId="7" priority="39">
      <formula>AND($B71="PMLL11", VALUE(SUBSTITUTE($C71,"%","")) &lt; VALUE(SUBSTITUTE($E71,"%","")))</formula>
    </cfRule>
  </conditionalFormatting>
  <conditionalFormatting sqref="A71:A73">
    <cfRule type="expression" dxfId="7" priority="40">
      <formula>AND($B71="LVBI11", VALUE(SUBSTITUTE($C71,"%","")) &lt; VALUE(SUBSTITUTE($E71,"%","")))</formula>
    </cfRule>
  </conditionalFormatting>
  <conditionalFormatting sqref="A71:A73">
    <cfRule type="expression" dxfId="7" priority="41">
      <formula>AND($B71="RBRF11", VALUE(SUBSTITUTE($C71,"%","")) &lt; VALUE(SUBSTITUTE($E71,"%","")))</formula>
    </cfRule>
  </conditionalFormatting>
  <conditionalFormatting sqref="A71:A73">
    <cfRule type="expression" dxfId="7" priority="42">
      <formula>AND($B71="BTCI11", VALUE(SUBSTITUTE($C71,"%","")) &lt; VALUE(SUBSTITUTE($E71,"%","")))</formula>
    </cfRule>
  </conditionalFormatting>
  <conditionalFormatting sqref="A71:A73">
    <cfRule type="expression" dxfId="7" priority="43">
      <formula>AND($B71="RBRX11", VALUE(SUBSTITUTE($C71,"%","")) &lt; VALUE(SUBSTITUTE($E71,"%","")))</formula>
    </cfRule>
  </conditionalFormatting>
  <conditionalFormatting sqref="A71:A73">
    <cfRule type="expression" dxfId="7" priority="44">
      <formula>AND($B71="MXRF11", VALUE(SUBSTITUTE($C71,"%","")) &lt; VALUE(SUBSTITUTE($E71,"%","")))</formula>
    </cfRule>
  </conditionalFormatting>
  <conditionalFormatting sqref="A71:A73">
    <cfRule type="expression" dxfId="7" priority="45">
      <formula>AND($B71="RECR11", VALUE(SUBSTITUTE($C71,"%","")) &lt; VALUE(SUBSTITUTE($E71,"%","")))</formula>
    </cfRule>
  </conditionalFormatting>
  <conditionalFormatting sqref="A61:A73">
    <cfRule type="expression" dxfId="5" priority="46">
      <formula>AND($D61="RZTR11", VALUE(SUBSTITUTE($E61,"%","")) &gt; VALUE(SUBSTITUTE($G61,"%",""))*2)</formula>
    </cfRule>
  </conditionalFormatting>
  <conditionalFormatting sqref="A61:A73">
    <cfRule type="expression" dxfId="5" priority="47">
      <formula>AND($D61="BRCO11", VALUE(SUBSTITUTE($E61,"%","")) &gt; VALUE(SUBSTITUTE($G61,"%",""))*2)</formula>
    </cfRule>
  </conditionalFormatting>
  <conditionalFormatting sqref="A61:A73">
    <cfRule type="expression" dxfId="5" priority="48">
      <formula>AND($D61="BTLG11", VALUE(SUBSTITUTE($E61,"%","")) &gt; VALUE(SUBSTITUTE($G61,"%",""))*2)</formula>
    </cfRule>
  </conditionalFormatting>
  <conditionalFormatting sqref="A61:A73">
    <cfRule type="expression" dxfId="5" priority="49">
      <formula>AND($D61="XPLG11", VALUE(SUBSTITUTE($E61,"%","")) &gt; VALUE(SUBSTITUTE($G61,"%",""))*2)</formula>
    </cfRule>
  </conditionalFormatting>
  <conditionalFormatting sqref="A61:A73">
    <cfRule type="expression" dxfId="5" priority="50">
      <formula>AND($D61="GGRC11", VALUE(SUBSTITUTE($E61,"%","")) &gt; VALUE(SUBSTITUTE($G61,"%",""))*2)</formula>
    </cfRule>
  </conditionalFormatting>
  <conditionalFormatting sqref="A61:A73">
    <cfRule type="expression" dxfId="5" priority="51">
      <formula>AND($D61="GARE11", VALUE(SUBSTITUTE($E61,"%","")) &gt; VALUE(SUBSTITUTE($G61,"%",""))*2)</formula>
    </cfRule>
  </conditionalFormatting>
  <conditionalFormatting sqref="A61:A73">
    <cfRule type="expression" dxfId="5" priority="52">
      <formula>AND($D61="HGLG11", VALUE(SUBSTITUTE($E61,"%","")) &gt; VALUE(SUBSTITUTE($G61,"%",""))*2)</formula>
    </cfRule>
  </conditionalFormatting>
  <conditionalFormatting sqref="A61:A73">
    <cfRule type="expression" dxfId="5" priority="53">
      <formula>AND($D61="HGBS11", VALUE(SUBSTITUTE($E61,"%","")) &gt; VALUE(SUBSTITUTE($G61,"%",""))*2)</formula>
    </cfRule>
  </conditionalFormatting>
  <conditionalFormatting sqref="A61:A73">
    <cfRule type="expression" dxfId="5" priority="54">
      <formula>AND($D61="PMLL11", VALUE(SUBSTITUTE($E61,"%","")) &gt; VALUE(SUBSTITUTE($G61,"%",""))*2)</formula>
    </cfRule>
  </conditionalFormatting>
  <conditionalFormatting sqref="A61:A73">
    <cfRule type="expression" dxfId="5" priority="55">
      <formula>AND($D61="LVBI11", VALUE(SUBSTITUTE($E61,"%","")) &gt; VALUE(SUBSTITUTE($G61,"%",""))*2)</formula>
    </cfRule>
  </conditionalFormatting>
  <conditionalFormatting sqref="A61:A73">
    <cfRule type="expression" dxfId="5" priority="56">
      <formula>AND($D61="RBRF11", VALUE(SUBSTITUTE($E61,"%","")) &gt; VALUE(SUBSTITUTE($G61,"%",""))*2)</formula>
    </cfRule>
  </conditionalFormatting>
  <conditionalFormatting sqref="A61:A73">
    <cfRule type="expression" dxfId="5" priority="57">
      <formula>AND($D61="BTCI11", VALUE(SUBSTITUTE($E61,"%","")) &gt; VALUE(SUBSTITUTE($G61,"%",""))*2)</formula>
    </cfRule>
  </conditionalFormatting>
  <conditionalFormatting sqref="A61:A73">
    <cfRule type="expression" dxfId="5" priority="58">
      <formula>AND($D61="RBRX11", VALUE(SUBSTITUTE($E61,"%","")) &gt; VALUE(SUBSTITUTE($G61,"%",""))*2)</formula>
    </cfRule>
  </conditionalFormatting>
  <conditionalFormatting sqref="A61:A73">
    <cfRule type="expression" dxfId="5" priority="59">
      <formula>AND($D61="MXRF11", VALUE(SUBSTITUTE($E61,"%","")) &gt; VALUE(SUBSTITUTE($G61,"%",""))*2)</formula>
    </cfRule>
  </conditionalFormatting>
  <conditionalFormatting sqref="A61:A73">
    <cfRule type="expression" dxfId="5" priority="60">
      <formula>AND($D61="RECR11", VALUE(SUBSTITUTE($E61,"%","")) &gt; VALUE(SUBSTITUTE($G61,"%",""))*2)</formula>
    </cfRule>
  </conditionalFormatting>
  <conditionalFormatting sqref="A61:A73">
    <cfRule type="expression" dxfId="6" priority="61">
      <formula>AND($D61="RZTR11", VALUE(SUBSTITUTE($E61,"%","")) &gt; VALUE(SUBSTITUTE($G61,"%","")))</formula>
    </cfRule>
  </conditionalFormatting>
  <conditionalFormatting sqref="A61:A73">
    <cfRule type="expression" dxfId="6" priority="62">
      <formula>AND($D61="BRCO11", VALUE(SUBSTITUTE($E61,"%","")) &gt; VALUE(SUBSTITUTE($G61,"%","")))</formula>
    </cfRule>
  </conditionalFormatting>
  <conditionalFormatting sqref="A61:A73">
    <cfRule type="expression" dxfId="6" priority="63">
      <formula>AND($D61="BTLG11", VALUE(SUBSTITUTE($E61,"%","")) &gt; VALUE(SUBSTITUTE($G61,"%","")))</formula>
    </cfRule>
  </conditionalFormatting>
  <conditionalFormatting sqref="A61:A73">
    <cfRule type="expression" dxfId="6" priority="64">
      <formula>AND($D61="XPLG11", VALUE(SUBSTITUTE($E61,"%","")) &gt; VALUE(SUBSTITUTE($G61,"%","")))</formula>
    </cfRule>
  </conditionalFormatting>
  <conditionalFormatting sqref="A61:A73">
    <cfRule type="expression" dxfId="6" priority="65">
      <formula>AND($D61="GGRC11", VALUE(SUBSTITUTE($E61,"%","")) &gt; VALUE(SUBSTITUTE($G61,"%","")))</formula>
    </cfRule>
  </conditionalFormatting>
  <conditionalFormatting sqref="A61:A73">
    <cfRule type="expression" dxfId="6" priority="66">
      <formula>AND($D61="GARE11", VALUE(SUBSTITUTE($E61,"%","")) &gt; VALUE(SUBSTITUTE($G61,"%","")))</formula>
    </cfRule>
  </conditionalFormatting>
  <conditionalFormatting sqref="A61:A73">
    <cfRule type="expression" dxfId="6" priority="67">
      <formula>AND($D61="HGBS11", VALUE(SUBSTITUTE($E61,"%","")) &gt; VALUE(SUBSTITUTE($G61,"%","")))</formula>
    </cfRule>
  </conditionalFormatting>
  <conditionalFormatting sqref="A61:A73">
    <cfRule type="expression" dxfId="6" priority="68">
      <formula>AND($D61="PMLL11", VALUE(SUBSTITUTE($E61,"%","")) &gt; VALUE(SUBSTITUTE($G61,"%","")))</formula>
    </cfRule>
  </conditionalFormatting>
  <conditionalFormatting sqref="A61:A73">
    <cfRule type="expression" dxfId="6" priority="69">
      <formula>AND($D61="LVBI11", VALUE(SUBSTITUTE($E61,"%","")) &gt; VALUE(SUBSTITUTE($G61,"%","")))</formula>
    </cfRule>
  </conditionalFormatting>
  <conditionalFormatting sqref="A61:A73">
    <cfRule type="expression" dxfId="6" priority="70">
      <formula>AND($D61="RBRF11", VALUE(SUBSTITUTE($E61,"%","")) &gt; VALUE(SUBSTITUTE($G61,"%","")))</formula>
    </cfRule>
  </conditionalFormatting>
  <conditionalFormatting sqref="A61:A73">
    <cfRule type="expression" dxfId="6" priority="71">
      <formula>AND($D61="BTCI11", VALUE(SUBSTITUTE($E61,"%","")) &gt; VALUE(SUBSTITUTE($G61,"%","")))</formula>
    </cfRule>
  </conditionalFormatting>
  <conditionalFormatting sqref="A61:A73">
    <cfRule type="expression" dxfId="6" priority="72">
      <formula>AND($D61="RBRX11", VALUE(SUBSTITUTE($E61,"%","")) &gt; VALUE(SUBSTITUTE($G61,"%","")))</formula>
    </cfRule>
  </conditionalFormatting>
  <conditionalFormatting sqref="A61:A73">
    <cfRule type="expression" dxfId="6" priority="73">
      <formula>AND($D61="RECR11", VALUE(SUBSTITUTE($E61,"%","")) &gt; VALUE(SUBSTITUTE($G61,"%","")))</formula>
    </cfRule>
  </conditionalFormatting>
  <conditionalFormatting sqref="A61:A73">
    <cfRule type="expression" dxfId="6" priority="74">
      <formula>AND($D61="MXRF11", VALUE(SUBSTITUTE($E61,"%","")) &gt; VALUE(SUBSTITUTE($G61,"%","")))</formula>
    </cfRule>
  </conditionalFormatting>
  <conditionalFormatting sqref="A61:A73">
    <cfRule type="expression" dxfId="6" priority="75">
      <formula>AND($D61="HGLG11", VALUE(SUBSTITUTE($E61,"%","")) &gt; VALUE(SUBSTITUTE($G61,"%","")))</formula>
    </cfRule>
  </conditionalFormatting>
  <conditionalFormatting sqref="A61:A73">
    <cfRule type="expression" dxfId="7" priority="76">
      <formula>AND($D61="RZTR11", VALUE(SUBSTITUTE($E61,"%","")) &lt; VALUE(SUBSTITUTE($G61,"%","")))</formula>
    </cfRule>
  </conditionalFormatting>
  <conditionalFormatting sqref="A61:A73">
    <cfRule type="expression" dxfId="7" priority="77">
      <formula>AND($D61="BRCO11", VALUE(SUBSTITUTE($E61,"%","")) &lt; VALUE(SUBSTITUTE($G61,"%","")))</formula>
    </cfRule>
  </conditionalFormatting>
  <conditionalFormatting sqref="A61:A73">
    <cfRule type="expression" dxfId="7" priority="78">
      <formula>AND($D61="BTLG11", VALUE(SUBSTITUTE($E61,"%","")) &lt; VALUE(SUBSTITUTE($G61,"%","")))</formula>
    </cfRule>
  </conditionalFormatting>
  <conditionalFormatting sqref="A61:A73">
    <cfRule type="expression" dxfId="7" priority="79">
      <formula>AND($D61="XPLG11", VALUE(SUBSTITUTE($E61,"%","")) &lt; VALUE(SUBSTITUTE($G61,"%","")))</formula>
    </cfRule>
  </conditionalFormatting>
  <conditionalFormatting sqref="A61:A73">
    <cfRule type="expression" dxfId="7" priority="80">
      <formula>AND($D61="GGRC11", VALUE(SUBSTITUTE($E61,"%","")) &lt; VALUE(SUBSTITUTE($G61,"%","")))</formula>
    </cfRule>
  </conditionalFormatting>
  <conditionalFormatting sqref="A61:A73">
    <cfRule type="expression" dxfId="7" priority="81">
      <formula>AND($D61="GARE11", VALUE(SUBSTITUTE($E61,"%","")) &lt; VALUE(SUBSTITUTE($G61,"%","")))</formula>
    </cfRule>
  </conditionalFormatting>
  <conditionalFormatting sqref="A61:A73">
    <cfRule type="expression" dxfId="7" priority="82">
      <formula>AND($D61="HGLG11", VALUE(SUBSTITUTE($E61,"%","")) &lt; VALUE(SUBSTITUTE($G61,"%","")))</formula>
    </cfRule>
  </conditionalFormatting>
  <conditionalFormatting sqref="A61:A73">
    <cfRule type="expression" dxfId="7" priority="83">
      <formula>AND($D61="HGBS11", VALUE(SUBSTITUTE($E61,"%","")) &lt; VALUE(SUBSTITUTE($G61,"%","")))</formula>
    </cfRule>
  </conditionalFormatting>
  <conditionalFormatting sqref="A61:A73">
    <cfRule type="expression" dxfId="7" priority="84">
      <formula>AND($D61="PMLL11", VALUE(SUBSTITUTE($E61,"%","")) &lt; VALUE(SUBSTITUTE($G61,"%","")))</formula>
    </cfRule>
  </conditionalFormatting>
  <conditionalFormatting sqref="A61:A73">
    <cfRule type="expression" dxfId="7" priority="85">
      <formula>AND($D61="LVBI11", VALUE(SUBSTITUTE($E61,"%","")) &lt; VALUE(SUBSTITUTE($G61,"%","")))</formula>
    </cfRule>
  </conditionalFormatting>
  <conditionalFormatting sqref="A61:A73">
    <cfRule type="expression" dxfId="7" priority="86">
      <formula>AND($D61="RBRF11", VALUE(SUBSTITUTE($E61,"%","")) &lt; VALUE(SUBSTITUTE($G61,"%","")))</formula>
    </cfRule>
  </conditionalFormatting>
  <conditionalFormatting sqref="A61:A73">
    <cfRule type="expression" dxfId="7" priority="87">
      <formula>AND($D61="BTCI11", VALUE(SUBSTITUTE($E61,"%","")) &lt; VALUE(SUBSTITUTE($G61,"%","")))</formula>
    </cfRule>
  </conditionalFormatting>
  <conditionalFormatting sqref="A61:A73">
    <cfRule type="expression" dxfId="7" priority="88">
      <formula>AND($D61="RBRX11", VALUE(SUBSTITUTE($E61,"%","")) &lt; VALUE(SUBSTITUTE($G61,"%","")))</formula>
    </cfRule>
  </conditionalFormatting>
  <conditionalFormatting sqref="A61:A73">
    <cfRule type="expression" dxfId="7" priority="89">
      <formula>AND($D61="MXRF11", VALUE(SUBSTITUTE($E61,"%","")) &lt; VALUE(SUBSTITUTE($G61,"%","")))</formula>
    </cfRule>
  </conditionalFormatting>
  <conditionalFormatting sqref="A61:A73">
    <cfRule type="expression" dxfId="7" priority="90">
      <formula>AND($D61="RECR11", VALUE(SUBSTITUTE($E61,"%","")) &lt; VALUE(SUBSTITUTE($G61,"%","")))</formula>
    </cfRule>
  </conditionalFormatting>
  <conditionalFormatting sqref="A72:A79">
    <cfRule type="expression" dxfId="5" priority="91">
      <formula>AND($B72="RZTR11", VALUE(SUBSTITUTE($C72,"%","")) &gt; VALUE(SUBSTITUTE($E72,"%",""))*2)</formula>
    </cfRule>
  </conditionalFormatting>
  <conditionalFormatting sqref="A72:A79">
    <cfRule type="expression" dxfId="5" priority="92">
      <formula>AND($B72="BRCO11", VALUE(SUBSTITUTE($C72,"%","")) &gt; VALUE(SUBSTITUTE($E72,"%",""))*2)</formula>
    </cfRule>
  </conditionalFormatting>
  <conditionalFormatting sqref="A72:A79">
    <cfRule type="expression" dxfId="5" priority="93">
      <formula>AND($B72="BTLG11", VALUE(SUBSTITUTE($C72,"%","")) &gt; VALUE(SUBSTITUTE($E72,"%",""))*2)</formula>
    </cfRule>
  </conditionalFormatting>
  <conditionalFormatting sqref="A72:A79">
    <cfRule type="expression" dxfId="5" priority="94">
      <formula>AND($B72="XPLG11", VALUE(SUBSTITUTE($C72,"%","")) &gt; VALUE(SUBSTITUTE($E72,"%",""))*2)</formula>
    </cfRule>
  </conditionalFormatting>
  <conditionalFormatting sqref="A72:A79">
    <cfRule type="expression" dxfId="5" priority="95">
      <formula>AND($B72="GGRC11", VALUE(SUBSTITUTE($C72,"%","")) &gt; VALUE(SUBSTITUTE($E72,"%",""))*2)</formula>
    </cfRule>
  </conditionalFormatting>
  <conditionalFormatting sqref="A72:A79">
    <cfRule type="expression" dxfId="5" priority="96">
      <formula>AND($B72="GARE11", VALUE(SUBSTITUTE($C72,"%","")) &gt; VALUE(SUBSTITUTE($E72,"%",""))*2)</formula>
    </cfRule>
  </conditionalFormatting>
  <conditionalFormatting sqref="A72:A79">
    <cfRule type="expression" dxfId="5" priority="97">
      <formula>AND($B72="HGLG11", VALUE(SUBSTITUTE($C72,"%","")) &gt; VALUE(SUBSTITUTE($E72,"%",""))*2)</formula>
    </cfRule>
  </conditionalFormatting>
  <conditionalFormatting sqref="A72:A79">
    <cfRule type="expression" dxfId="5" priority="98">
      <formula>AND($B72="HGBS11", VALUE(SUBSTITUTE($C72,"%","")) &gt; VALUE(SUBSTITUTE($E72,"%",""))*2)</formula>
    </cfRule>
  </conditionalFormatting>
  <conditionalFormatting sqref="A72:A79">
    <cfRule type="expression" dxfId="5" priority="99">
      <formula>AND($B72="PMLL11", VALUE(SUBSTITUTE($C72,"%","")) &gt; VALUE(SUBSTITUTE($E72,"%",""))*2)</formula>
    </cfRule>
  </conditionalFormatting>
  <conditionalFormatting sqref="A72:A79">
    <cfRule type="expression" dxfId="5" priority="100">
      <formula>AND($B72="LVBI11", VALUE(SUBSTITUTE($C72,"%","")) &gt; VALUE(SUBSTITUTE($E72,"%",""))*2)</formula>
    </cfRule>
  </conditionalFormatting>
  <conditionalFormatting sqref="A72:A79">
    <cfRule type="expression" dxfId="5" priority="101">
      <formula>AND($B72="RBRF11", VALUE(SUBSTITUTE($C72,"%","")) &gt; VALUE(SUBSTITUTE($E72,"%",""))*2)</formula>
    </cfRule>
  </conditionalFormatting>
  <conditionalFormatting sqref="A72:A79">
    <cfRule type="expression" dxfId="5" priority="102">
      <formula>AND($B72="BTCI11", VALUE(SUBSTITUTE($C72,"%","")) &gt; VALUE(SUBSTITUTE($E72,"%",""))*2)</formula>
    </cfRule>
  </conditionalFormatting>
  <conditionalFormatting sqref="A72:A79">
    <cfRule type="expression" dxfId="5" priority="103">
      <formula>AND($B72="RBRX11", VALUE(SUBSTITUTE($C72,"%","")) &gt; VALUE(SUBSTITUTE($E72,"%",""))*2)</formula>
    </cfRule>
  </conditionalFormatting>
  <conditionalFormatting sqref="A72:A79">
    <cfRule type="expression" dxfId="5" priority="104">
      <formula>AND($B72="MXRF11", VALUE(SUBSTITUTE($C72,"%","")) &gt; VALUE(SUBSTITUTE($E72,"%",""))*2)</formula>
    </cfRule>
  </conditionalFormatting>
  <conditionalFormatting sqref="A72:A79">
    <cfRule type="expression" dxfId="5" priority="105">
      <formula>AND($B72="RECR11", VALUE(SUBSTITUTE($C72,"%","")) &gt; VALUE(SUBSTITUTE($E72,"%",""))*2)</formula>
    </cfRule>
  </conditionalFormatting>
  <conditionalFormatting sqref="A72:A79">
    <cfRule type="expression" dxfId="6" priority="106">
      <formula>AND($B72="RZTR11", VALUE(SUBSTITUTE($C72,"%","")) &gt; VALUE(SUBSTITUTE($E72,"%","")))</formula>
    </cfRule>
  </conditionalFormatting>
  <conditionalFormatting sqref="A72:A79">
    <cfRule type="expression" dxfId="6" priority="107">
      <formula>AND($B72="BRCO11", VALUE(SUBSTITUTE($C72,"%","")) &gt; VALUE(SUBSTITUTE($E72,"%","")))</formula>
    </cfRule>
  </conditionalFormatting>
  <conditionalFormatting sqref="A72:A79">
    <cfRule type="expression" dxfId="6" priority="108">
      <formula>AND($B72="BTLG11", VALUE(SUBSTITUTE($C72,"%","")) &gt; VALUE(SUBSTITUTE($E72,"%","")))</formula>
    </cfRule>
  </conditionalFormatting>
  <conditionalFormatting sqref="A72:A79">
    <cfRule type="expression" dxfId="6" priority="109">
      <formula>AND($B72="XPLG11", VALUE(SUBSTITUTE($C72,"%","")) &gt; VALUE(SUBSTITUTE($E72,"%","")))</formula>
    </cfRule>
  </conditionalFormatting>
  <conditionalFormatting sqref="A72:A79">
    <cfRule type="expression" dxfId="6" priority="110">
      <formula>AND($B72="GGRC11", VALUE(SUBSTITUTE($C72,"%","")) &gt; VALUE(SUBSTITUTE($E72,"%","")))</formula>
    </cfRule>
  </conditionalFormatting>
  <conditionalFormatting sqref="A72:A79">
    <cfRule type="expression" dxfId="6" priority="111">
      <formula>AND($B72="GARE11", VALUE(SUBSTITUTE($C72,"%","")) &gt; VALUE(SUBSTITUTE($E72,"%","")))</formula>
    </cfRule>
  </conditionalFormatting>
  <conditionalFormatting sqref="A72:A79">
    <cfRule type="expression" dxfId="6" priority="112">
      <formula>AND($B72="HGBS11", VALUE(SUBSTITUTE($C72,"%","")) &gt; VALUE(SUBSTITUTE($E72,"%","")))</formula>
    </cfRule>
  </conditionalFormatting>
  <conditionalFormatting sqref="A72:A79">
    <cfRule type="expression" dxfId="6" priority="113">
      <formula>AND($B72="PMLL11", VALUE(SUBSTITUTE($C72,"%","")) &gt; VALUE(SUBSTITUTE($E72,"%","")))</formula>
    </cfRule>
  </conditionalFormatting>
  <conditionalFormatting sqref="A72:A79">
    <cfRule type="expression" dxfId="6" priority="114">
      <formula>AND($B72="LVBI11", VALUE(SUBSTITUTE($C72,"%","")) &gt; VALUE(SUBSTITUTE($E72,"%","")))</formula>
    </cfRule>
  </conditionalFormatting>
  <conditionalFormatting sqref="A72:A79">
    <cfRule type="expression" dxfId="6" priority="115">
      <formula>AND($B72="RBRF11", VALUE(SUBSTITUTE($C72,"%","")) &gt; VALUE(SUBSTITUTE($E72,"%","")))</formula>
    </cfRule>
  </conditionalFormatting>
  <conditionalFormatting sqref="A72:A79">
    <cfRule type="expression" dxfId="6" priority="116">
      <formula>AND($B72="BTCI11", VALUE(SUBSTITUTE($C72,"%","")) &gt; VALUE(SUBSTITUTE($E72,"%","")))</formula>
    </cfRule>
  </conditionalFormatting>
  <conditionalFormatting sqref="A72:A79">
    <cfRule type="expression" dxfId="6" priority="117">
      <formula>AND($B72="RBRX11", VALUE(SUBSTITUTE($C72,"%","")) &gt; VALUE(SUBSTITUTE($E72,"%","")))</formula>
    </cfRule>
  </conditionalFormatting>
  <conditionalFormatting sqref="A72:A79">
    <cfRule type="expression" dxfId="6" priority="118">
      <formula>AND($B72="RECR11", VALUE(SUBSTITUTE($C72,"%","")) &gt; VALUE(SUBSTITUTE($E72,"%","")))</formula>
    </cfRule>
  </conditionalFormatting>
  <conditionalFormatting sqref="A72:A79">
    <cfRule type="expression" dxfId="6" priority="119">
      <formula>AND($B72="MXRF11", VALUE(SUBSTITUTE($C72,"%","")) &gt; VALUE(SUBSTITUTE($E72,"%","")))</formula>
    </cfRule>
  </conditionalFormatting>
  <conditionalFormatting sqref="A72:A79">
    <cfRule type="expression" dxfId="6" priority="120">
      <formula>AND($B72="HGLG11", VALUE(SUBSTITUTE($C72,"%","")) &gt; VALUE(SUBSTITUTE($E72,"%","")))</formula>
    </cfRule>
  </conditionalFormatting>
  <conditionalFormatting sqref="A72:A79">
    <cfRule type="expression" dxfId="7" priority="121">
      <formula>AND($B72="RZTR11", VALUE(SUBSTITUTE($C72,"%","")) &lt; VALUE(SUBSTITUTE($E72,"%","")))</formula>
    </cfRule>
  </conditionalFormatting>
  <conditionalFormatting sqref="A72:A79">
    <cfRule type="expression" dxfId="7" priority="122">
      <formula>AND($B72="BRCO11", VALUE(SUBSTITUTE($C72,"%","")) &lt; VALUE(SUBSTITUTE($E72,"%","")))</formula>
    </cfRule>
  </conditionalFormatting>
  <conditionalFormatting sqref="A72:A79">
    <cfRule type="expression" dxfId="7" priority="123">
      <formula>AND($B72="BTLG11", VALUE(SUBSTITUTE($C72,"%","")) &lt; VALUE(SUBSTITUTE($E72,"%","")))</formula>
    </cfRule>
  </conditionalFormatting>
  <conditionalFormatting sqref="A72:A79">
    <cfRule type="expression" dxfId="7" priority="124">
      <formula>AND($B72="XPLG11", VALUE(SUBSTITUTE($C72,"%","")) &lt; VALUE(SUBSTITUTE($E72,"%","")))</formula>
    </cfRule>
  </conditionalFormatting>
  <conditionalFormatting sqref="A72:A79">
    <cfRule type="expression" dxfId="7" priority="125">
      <formula>AND($B72="GGRC11", VALUE(SUBSTITUTE($C72,"%","")) &lt; VALUE(SUBSTITUTE($E72,"%","")))</formula>
    </cfRule>
  </conditionalFormatting>
  <conditionalFormatting sqref="A72:A79">
    <cfRule type="expression" dxfId="7" priority="126">
      <formula>AND($B72="GARE11", VALUE(SUBSTITUTE($C72,"%","")) &lt; VALUE(SUBSTITUTE($E72,"%","")))</formula>
    </cfRule>
  </conditionalFormatting>
  <conditionalFormatting sqref="A72:A79">
    <cfRule type="expression" dxfId="7" priority="127">
      <formula>AND($B72="HGLG11", VALUE(SUBSTITUTE($C72,"%","")) &lt; VALUE(SUBSTITUTE($E72,"%","")))</formula>
    </cfRule>
  </conditionalFormatting>
  <conditionalFormatting sqref="A72:A79">
    <cfRule type="expression" dxfId="7" priority="128">
      <formula>AND($B72="HGBS11", VALUE(SUBSTITUTE($C72,"%","")) &lt; VALUE(SUBSTITUTE($E72,"%","")))</formula>
    </cfRule>
  </conditionalFormatting>
  <conditionalFormatting sqref="A72:A79">
    <cfRule type="expression" dxfId="7" priority="129">
      <formula>AND($B72="PMLL11", VALUE(SUBSTITUTE($C72,"%","")) &lt; VALUE(SUBSTITUTE($E72,"%","")))</formula>
    </cfRule>
  </conditionalFormatting>
  <conditionalFormatting sqref="A72:A79">
    <cfRule type="expression" dxfId="7" priority="130">
      <formula>AND($B72="LVBI11", VALUE(SUBSTITUTE($C72,"%","")) &lt; VALUE(SUBSTITUTE($E72,"%","")))</formula>
    </cfRule>
  </conditionalFormatting>
  <conditionalFormatting sqref="A72:A79">
    <cfRule type="expression" dxfId="7" priority="131">
      <formula>AND($B72="RBRF11", VALUE(SUBSTITUTE($C72,"%","")) &lt; VALUE(SUBSTITUTE($E72,"%","")))</formula>
    </cfRule>
  </conditionalFormatting>
  <conditionalFormatting sqref="A72:A79">
    <cfRule type="expression" dxfId="7" priority="132">
      <formula>AND($B72="BTCI11", VALUE(SUBSTITUTE($C72,"%","")) &lt; VALUE(SUBSTITUTE($E72,"%","")))</formula>
    </cfRule>
  </conditionalFormatting>
  <conditionalFormatting sqref="A72:A79">
    <cfRule type="expression" dxfId="7" priority="133">
      <formula>AND($B72="RBRX11", VALUE(SUBSTITUTE($C72,"%","")) &lt; VALUE(SUBSTITUTE($E72,"%","")))</formula>
    </cfRule>
  </conditionalFormatting>
  <conditionalFormatting sqref="A72:A79">
    <cfRule type="expression" dxfId="7" priority="134">
      <formula>AND($B72="MXRF11", VALUE(SUBSTITUTE($C72,"%","")) &lt; VALUE(SUBSTITUTE($E72,"%","")))</formula>
    </cfRule>
  </conditionalFormatting>
  <conditionalFormatting sqref="A72:A79">
    <cfRule type="expression" dxfId="7" priority="135">
      <formula>AND($B72="RECR11", VALUE(SUBSTITUTE($C72,"%","")) &lt; VALUE(SUBSTITUTE($E72,"%","")))</formula>
    </cfRule>
  </conditionalFormatting>
  <conditionalFormatting sqref="A42 A45 A48 A51">
    <cfRule type="expression" dxfId="5" priority="136">
      <formula>AND($A43="RZTR11", VALUE(SUBSTITUTE($C135,"%","")) &gt; VALUE(SUBSTITUTE($F138,"%",""))*2)</formula>
    </cfRule>
  </conditionalFormatting>
  <conditionalFormatting sqref="A42 A45 A48 A51">
    <cfRule type="expression" dxfId="5" priority="137">
      <formula>AND($A43="BRCO11", VALUE(SUBSTITUTE($C135,"%","")) &gt; VALUE(SUBSTITUTE($F138,"%",""))*2)</formula>
    </cfRule>
  </conditionalFormatting>
  <conditionalFormatting sqref="A42 A45 A48 A51">
    <cfRule type="expression" dxfId="5" priority="138">
      <formula>AND($A43="BTLG11", VALUE(SUBSTITUTE($C135,"%","")) &gt; VALUE(SUBSTITUTE($F138,"%",""))*2)</formula>
    </cfRule>
  </conditionalFormatting>
  <conditionalFormatting sqref="A42 A45 A48 A51">
    <cfRule type="expression" dxfId="5" priority="139">
      <formula>AND($A43="XPLG11", VALUE(SUBSTITUTE($C135,"%","")) &gt; VALUE(SUBSTITUTE($F138,"%",""))*2)</formula>
    </cfRule>
  </conditionalFormatting>
  <conditionalFormatting sqref="A42 A45 A48 A51">
    <cfRule type="expression" dxfId="5" priority="140">
      <formula>AND($A43="GGRC11", VALUE(SUBSTITUTE($C135,"%","")) &gt; VALUE(SUBSTITUTE($F138,"%",""))*2)</formula>
    </cfRule>
  </conditionalFormatting>
  <conditionalFormatting sqref="A42 A45 A48 A51">
    <cfRule type="expression" dxfId="5" priority="141">
      <formula>AND($A43="GARE11", VALUE(SUBSTITUTE($C135,"%","")) &gt; VALUE(SUBSTITUTE($F138,"%",""))*2)</formula>
    </cfRule>
  </conditionalFormatting>
  <conditionalFormatting sqref="A42 A45 A48 A51">
    <cfRule type="expression" dxfId="5" priority="142">
      <formula>AND($A43="HGLG11", VALUE(SUBSTITUTE($C135,"%","")) &gt; VALUE(SUBSTITUTE($F138,"%",""))*2)</formula>
    </cfRule>
  </conditionalFormatting>
  <conditionalFormatting sqref="A42 A45 A48 A51">
    <cfRule type="expression" dxfId="5" priority="143">
      <formula>AND($A43="HGBS11", VALUE(SUBSTITUTE($C135,"%","")) &gt; VALUE(SUBSTITUTE($F138,"%",""))*2)</formula>
    </cfRule>
  </conditionalFormatting>
  <conditionalFormatting sqref="A42 A45 A48 A51">
    <cfRule type="expression" dxfId="5" priority="144">
      <formula>AND($A43="MALL11", VALUE(SUBSTITUTE($C135,"%","")) &gt; VALUE(SUBSTITUTE($F138,"%",""))*2)</formula>
    </cfRule>
  </conditionalFormatting>
  <conditionalFormatting sqref="A42 A45 A48 A51">
    <cfRule type="expression" dxfId="5" priority="145">
      <formula>AND($A43="LVBI11", VALUE(SUBSTITUTE($C135,"%","")) &gt; VALUE(SUBSTITUTE($F138,"%",""))*2)</formula>
    </cfRule>
  </conditionalFormatting>
  <conditionalFormatting sqref="A42 A45 A48 A51">
    <cfRule type="expression" dxfId="5" priority="146">
      <formula>AND($A43="RBRF11", VALUE(SUBSTITUTE($C135,"%","")) &gt; VALUE(SUBSTITUTE($F138,"%",""))*2)</formula>
    </cfRule>
  </conditionalFormatting>
  <conditionalFormatting sqref="A42 A45 A48 A51">
    <cfRule type="expression" dxfId="5" priority="147">
      <formula>AND($A43="BTCI11", VALUE(SUBSTITUTE($C135,"%","")) &gt; VALUE(SUBSTITUTE($F138,"%",""))*2)</formula>
    </cfRule>
  </conditionalFormatting>
  <conditionalFormatting sqref="A42 A45 A48 A51">
    <cfRule type="expression" dxfId="5" priority="148">
      <formula>AND($A43="RBRX11", VALUE(SUBSTITUTE($C135,"%","")) &gt; VALUE(SUBSTITUTE($F138,"%",""))*2)</formula>
    </cfRule>
  </conditionalFormatting>
  <conditionalFormatting sqref="A42 A45 A48 A51">
    <cfRule type="expression" dxfId="5" priority="149">
      <formula>AND($A43="MXRF11", VALUE(SUBSTITUTE($C135,"%","")) &gt; VALUE(SUBSTITUTE($F138,"%",""))*2)</formula>
    </cfRule>
  </conditionalFormatting>
  <conditionalFormatting sqref="A42 A45 A48 A51">
    <cfRule type="expression" dxfId="6" priority="150">
      <formula>AND($A43="RZTR11", VALUE(SUBSTITUTE($C135,"%","")) &gt; VALUE(SUBSTITUTE($F138,"%","")))</formula>
    </cfRule>
  </conditionalFormatting>
  <conditionalFormatting sqref="A42 A45 A48 A51">
    <cfRule type="expression" dxfId="6" priority="151">
      <formula>AND($A43="BRCO11", VALUE(SUBSTITUTE($C135,"%","")) &gt; VALUE(SUBSTITUTE($F138,"%","")))</formula>
    </cfRule>
  </conditionalFormatting>
  <conditionalFormatting sqref="A42 A45 A48 A51">
    <cfRule type="expression" dxfId="6" priority="152">
      <formula>AND($A43="BTLG11", VALUE(SUBSTITUTE($C135,"%","")) &gt; VALUE(SUBSTITUTE($F138,"%","")))</formula>
    </cfRule>
  </conditionalFormatting>
  <conditionalFormatting sqref="A42 A45 A48 A51">
    <cfRule type="expression" dxfId="6" priority="153">
      <formula>AND($A43="XPLG11", VALUE(SUBSTITUTE($C135,"%","")) &gt; VALUE(SUBSTITUTE($F138,"%","")))</formula>
    </cfRule>
  </conditionalFormatting>
  <conditionalFormatting sqref="A42 A45 A48 A51">
    <cfRule type="expression" dxfId="6" priority="154">
      <formula>AND($A43="GGRC11", VALUE(SUBSTITUTE($C135,"%","")) &gt; VALUE(SUBSTITUTE($F138,"%","")))</formula>
    </cfRule>
  </conditionalFormatting>
  <conditionalFormatting sqref="A42 A45 A48 A51">
    <cfRule type="expression" dxfId="6" priority="155">
      <formula>AND($A43="GARE11", VALUE(SUBSTITUTE($C135,"%","")) &gt; VALUE(SUBSTITUTE($F138,"%","")))</formula>
    </cfRule>
  </conditionalFormatting>
  <conditionalFormatting sqref="A42 A45 A48 A51">
    <cfRule type="expression" dxfId="6" priority="156">
      <formula>AND($A43="HGBS11", VALUE(SUBSTITUTE($C135,"%","")) &gt; VALUE(SUBSTITUTE($F138,"%","")))</formula>
    </cfRule>
  </conditionalFormatting>
  <conditionalFormatting sqref="A42 A45 A48 A51">
    <cfRule type="expression" dxfId="6" priority="157">
      <formula>AND($A43="MALL11", VALUE(SUBSTITUTE($C135,"%","")) &gt; VALUE(SUBSTITUTE($F138,"%","")))</formula>
    </cfRule>
  </conditionalFormatting>
  <conditionalFormatting sqref="A42 A45 A48 A51">
    <cfRule type="expression" dxfId="6" priority="158">
      <formula>AND($A43="LVBI11", VALUE(SUBSTITUTE($C135,"%","")) &gt; VALUE(SUBSTITUTE($F138,"%","")))</formula>
    </cfRule>
  </conditionalFormatting>
  <conditionalFormatting sqref="A42 A45 A48 A51">
    <cfRule type="expression" dxfId="6" priority="159">
      <formula>AND($A43="RBRF11", VALUE(SUBSTITUTE($C135,"%","")) &gt; VALUE(SUBSTITUTE($F138,"%","")))</formula>
    </cfRule>
  </conditionalFormatting>
  <conditionalFormatting sqref="A42 A45 A48 A51">
    <cfRule type="expression" dxfId="6" priority="160">
      <formula>AND($A43="BTCI11", VALUE(SUBSTITUTE($C135,"%","")) &gt; VALUE(SUBSTITUTE($F138,"%","")))</formula>
    </cfRule>
  </conditionalFormatting>
  <conditionalFormatting sqref="A42 A45 A48 A51">
    <cfRule type="expression" dxfId="6" priority="161">
      <formula>AND($A43="RBRX11", VALUE(SUBSTITUTE($C135,"%","")) &gt; VALUE(SUBSTITUTE($F138,"%","")))</formula>
    </cfRule>
  </conditionalFormatting>
  <conditionalFormatting sqref="A42 A45 A48 A51">
    <cfRule type="expression" dxfId="6" priority="162">
      <formula>AND($A43="MXRF11", VALUE(SUBSTITUTE($C135,"%","")) &gt; VALUE(SUBSTITUTE($F138,"%","")))</formula>
    </cfRule>
  </conditionalFormatting>
  <conditionalFormatting sqref="A42 A45 A48 A51">
    <cfRule type="expression" dxfId="7" priority="163">
      <formula>AND($A43="RZTR11", VALUE(SUBSTITUTE($C135,"%","")) &lt; VALUE(SUBSTITUTE($F138,"%","")))</formula>
    </cfRule>
  </conditionalFormatting>
  <conditionalFormatting sqref="A42 A45 A48 A51">
    <cfRule type="expression" dxfId="7" priority="164">
      <formula>AND($A43="BRCO11", VALUE(SUBSTITUTE($C135,"%","")) &lt; VALUE(SUBSTITUTE($F138,"%","")))</formula>
    </cfRule>
  </conditionalFormatting>
  <conditionalFormatting sqref="A42 A45 A48 A51">
    <cfRule type="expression" dxfId="7" priority="165">
      <formula>AND($A43="BTLG11", VALUE(SUBSTITUTE($C135,"%","")) &lt; VALUE(SUBSTITUTE($F138,"%","")))</formula>
    </cfRule>
  </conditionalFormatting>
  <conditionalFormatting sqref="A42 A45 A48 A51">
    <cfRule type="expression" dxfId="7" priority="166">
      <formula>AND($A43="XPLG11", VALUE(SUBSTITUTE($C135,"%","")) &lt; VALUE(SUBSTITUTE($F138,"%","")))</formula>
    </cfRule>
  </conditionalFormatting>
  <conditionalFormatting sqref="A42 A45 A48 A51">
    <cfRule type="expression" dxfId="7" priority="167">
      <formula>AND($A43="GGRC11", VALUE(SUBSTITUTE($C135,"%","")) &lt; VALUE(SUBSTITUTE($F138,"%","")))</formula>
    </cfRule>
  </conditionalFormatting>
  <conditionalFormatting sqref="A42 A45 A48 A51">
    <cfRule type="expression" dxfId="7" priority="168">
      <formula>AND($A43="GARE11", VALUE(SUBSTITUTE($C135,"%","")) &lt; VALUE(SUBSTITUTE($F138,"%","")))</formula>
    </cfRule>
  </conditionalFormatting>
  <conditionalFormatting sqref="A42 A45 A48 A51">
    <cfRule type="expression" dxfId="7" priority="169">
      <formula>AND($A43="HGLG11", VALUE(SUBSTITUTE($C135,"%","")) &lt; VALUE(SUBSTITUTE($F138,"%","")))</formula>
    </cfRule>
  </conditionalFormatting>
  <conditionalFormatting sqref="A42 A45 A48 A51">
    <cfRule type="expression" dxfId="7" priority="170">
      <formula>AND($A43="HGBS11", VALUE(SUBSTITUTE($C135,"%","")) &lt; VALUE(SUBSTITUTE($F138,"%","")))</formula>
    </cfRule>
  </conditionalFormatting>
  <conditionalFormatting sqref="A42 A45 A48 A51">
    <cfRule type="expression" dxfId="7" priority="171">
      <formula>AND($A43="MALL11", VALUE(SUBSTITUTE($C135,"%","")) &lt; VALUE(SUBSTITUTE($F138,"%","")))</formula>
    </cfRule>
  </conditionalFormatting>
  <conditionalFormatting sqref="A42 A45 A48 A51">
    <cfRule type="expression" dxfId="7" priority="172">
      <formula>AND($A43="LVBI11", VALUE(SUBSTITUTE($C135,"%","")) &lt; VALUE(SUBSTITUTE($F138,"%","")))</formula>
    </cfRule>
  </conditionalFormatting>
  <conditionalFormatting sqref="A42 A45 A48 A51">
    <cfRule type="expression" dxfId="7" priority="173">
      <formula>AND($A43="RBRF11", VALUE(SUBSTITUTE($C135,"%","")) &lt; VALUE(SUBSTITUTE($F138,"%","")))</formula>
    </cfRule>
  </conditionalFormatting>
  <conditionalFormatting sqref="A42 A45 A48 A51">
    <cfRule type="expression" dxfId="7" priority="174">
      <formula>AND($A43="BTCI11", VALUE(SUBSTITUTE($C135,"%","")) &lt; VALUE(SUBSTITUTE($F138,"%","")))</formula>
    </cfRule>
  </conditionalFormatting>
  <conditionalFormatting sqref="A42 A45 A48 A51">
    <cfRule type="expression" dxfId="7" priority="175">
      <formula>AND($A43="RBRX11", VALUE(SUBSTITUTE($C135,"%","")) &lt; VALUE(SUBSTITUTE($F138,"%","")))</formula>
    </cfRule>
  </conditionalFormatting>
  <conditionalFormatting sqref="A42 A45 A48 A51">
    <cfRule type="expression" dxfId="7" priority="176">
      <formula>AND($A43="MXRF11", VALUE(SUBSTITUTE($C135,"%","")) &lt; VALUE(SUBSTITUTE($F138,"%","")))</formula>
    </cfRule>
  </conditionalFormatting>
  <conditionalFormatting sqref="A42:A43 A45:A55">
    <cfRule type="expression" dxfId="5" priority="177">
      <formula>AND($B42="RZTR11", VALUE(SUBSTITUTE($C42,"%","")) &gt; VALUE(SUBSTITUTE($E42,"%",""))*2)</formula>
    </cfRule>
  </conditionalFormatting>
  <conditionalFormatting sqref="A42:A43 A45:A55">
    <cfRule type="expression" dxfId="5" priority="178">
      <formula>AND($B42="BRCO11", VALUE(SUBSTITUTE($C42,"%","")) &gt; VALUE(SUBSTITUTE($E42,"%",""))*2)</formula>
    </cfRule>
  </conditionalFormatting>
  <conditionalFormatting sqref="A42:A43 A45:A55">
    <cfRule type="expression" dxfId="5" priority="179">
      <formula>AND($B42="BTLG11", VALUE(SUBSTITUTE($C42,"%","")) &gt; VALUE(SUBSTITUTE($E42,"%",""))*2)</formula>
    </cfRule>
  </conditionalFormatting>
  <conditionalFormatting sqref="A42:A43 A45:A55">
    <cfRule type="expression" dxfId="5" priority="180">
      <formula>AND($B42="XPLG11", VALUE(SUBSTITUTE($C42,"%","")) &gt; VALUE(SUBSTITUTE($E42,"%",""))*2)</formula>
    </cfRule>
  </conditionalFormatting>
  <conditionalFormatting sqref="A42:A43 A45:A55">
    <cfRule type="expression" dxfId="5" priority="181">
      <formula>AND($B42="GGRC11", VALUE(SUBSTITUTE($C42,"%","")) &gt; VALUE(SUBSTITUTE($E42,"%",""))*2)</formula>
    </cfRule>
  </conditionalFormatting>
  <conditionalFormatting sqref="A42:A43 A45:A55">
    <cfRule type="expression" dxfId="5" priority="182">
      <formula>AND($B42="GARE11", VALUE(SUBSTITUTE($C42,"%","")) &gt; VALUE(SUBSTITUTE($E42,"%",""))*2)</formula>
    </cfRule>
  </conditionalFormatting>
  <conditionalFormatting sqref="A42:A43 A45:A55">
    <cfRule type="expression" dxfId="5" priority="183">
      <formula>AND($B42="HGLG11", VALUE(SUBSTITUTE($C42,"%","")) &gt; VALUE(SUBSTITUTE($E42,"%",""))*2)</formula>
    </cfRule>
  </conditionalFormatting>
  <conditionalFormatting sqref="A42:A43 A45:A55">
    <cfRule type="expression" dxfId="5" priority="184">
      <formula>AND($B42="HGBS11", VALUE(SUBSTITUTE($C42,"%","")) &gt; VALUE(SUBSTITUTE($E42,"%",""))*2)</formula>
    </cfRule>
  </conditionalFormatting>
  <conditionalFormatting sqref="A42:A43 A45:A55">
    <cfRule type="expression" dxfId="5" priority="185">
      <formula>AND($B42="MALL11", VALUE(SUBSTITUTE($C42,"%","")) &gt; VALUE(SUBSTITUTE($E42,"%",""))*2)</formula>
    </cfRule>
  </conditionalFormatting>
  <conditionalFormatting sqref="A42:A43 A45:A55">
    <cfRule type="expression" dxfId="5" priority="186">
      <formula>AND($B42="LVBI11", VALUE(SUBSTITUTE($C42,"%","")) &gt; VALUE(SUBSTITUTE($E42,"%",""))*2)</formula>
    </cfRule>
  </conditionalFormatting>
  <conditionalFormatting sqref="A42:A43 A45:A55">
    <cfRule type="expression" dxfId="5" priority="187">
      <formula>AND($B42="RBRF11", VALUE(SUBSTITUTE($C42,"%","")) &gt; VALUE(SUBSTITUTE($E42,"%",""))*2)</formula>
    </cfRule>
  </conditionalFormatting>
  <conditionalFormatting sqref="A42:A43 A45:A55">
    <cfRule type="expression" dxfId="5" priority="188">
      <formula>AND($B42="BTCI11", VALUE(SUBSTITUTE($C42,"%","")) &gt; VALUE(SUBSTITUTE($E42,"%",""))*2)</formula>
    </cfRule>
  </conditionalFormatting>
  <conditionalFormatting sqref="A42:A43 A45:A55">
    <cfRule type="expression" dxfId="5" priority="189">
      <formula>AND($B42="RBRX11", VALUE(SUBSTITUTE($C42,"%","")) &gt; VALUE(SUBSTITUTE($E42,"%",""))*2)</formula>
    </cfRule>
  </conditionalFormatting>
  <conditionalFormatting sqref="A42:A43 A45:A55">
    <cfRule type="expression" dxfId="5" priority="190">
      <formula>AND($B42="MXRF11", VALUE(SUBSTITUTE($C42,"%","")) &gt; VALUE(SUBSTITUTE($E42,"%",""))*2)</formula>
    </cfRule>
  </conditionalFormatting>
  <conditionalFormatting sqref="A42:A43 A45:A55">
    <cfRule type="expression" dxfId="6" priority="191">
      <formula>AND($B42="RZTR11", VALUE(SUBSTITUTE($C42,"%","")) &gt; VALUE(SUBSTITUTE($E42,"%","")))</formula>
    </cfRule>
  </conditionalFormatting>
  <conditionalFormatting sqref="A42:A43 A45:A55">
    <cfRule type="expression" dxfId="6" priority="192">
      <formula>AND($B42="BRCO11", VALUE(SUBSTITUTE($C42,"%","")) &gt; VALUE(SUBSTITUTE($E42,"%","")))</formula>
    </cfRule>
  </conditionalFormatting>
  <conditionalFormatting sqref="A42:A43 A45:A55">
    <cfRule type="expression" dxfId="6" priority="193">
      <formula>AND($B42="BTLG11", VALUE(SUBSTITUTE($C42,"%","")) &gt; VALUE(SUBSTITUTE($E42,"%","")))</formula>
    </cfRule>
  </conditionalFormatting>
  <conditionalFormatting sqref="A42:A43 A45:A55">
    <cfRule type="expression" dxfId="6" priority="194">
      <formula>AND($B42="XPLG11", VALUE(SUBSTITUTE($C42,"%","")) &gt; VALUE(SUBSTITUTE($E42,"%","")))</formula>
    </cfRule>
  </conditionalFormatting>
  <conditionalFormatting sqref="A42:A43 A45:A55">
    <cfRule type="expression" dxfId="6" priority="195">
      <formula>AND($B42="GGRC11", VALUE(SUBSTITUTE($C42,"%","")) &gt; VALUE(SUBSTITUTE($E42,"%","")))</formula>
    </cfRule>
  </conditionalFormatting>
  <conditionalFormatting sqref="A42:A43 A45:A55">
    <cfRule type="expression" dxfId="6" priority="196">
      <formula>AND($B42="GARE11", VALUE(SUBSTITUTE($C42,"%","")) &gt; VALUE(SUBSTITUTE($E42,"%","")))</formula>
    </cfRule>
  </conditionalFormatting>
  <conditionalFormatting sqref="A42:A43 A45:A55">
    <cfRule type="expression" dxfId="6" priority="197">
      <formula>AND($B42="HGBS11", VALUE(SUBSTITUTE($C42,"%","")) &gt; VALUE(SUBSTITUTE($E42,"%","")))</formula>
    </cfRule>
  </conditionalFormatting>
  <conditionalFormatting sqref="A42:A43 A45:A55">
    <cfRule type="expression" dxfId="6" priority="198">
      <formula>AND($B42="MALL11", VALUE(SUBSTITUTE($C42,"%","")) &gt; VALUE(SUBSTITUTE($E42,"%","")))</formula>
    </cfRule>
  </conditionalFormatting>
  <conditionalFormatting sqref="A42:A43 A45:A55">
    <cfRule type="expression" dxfId="6" priority="199">
      <formula>AND($B42="LVBI11", VALUE(SUBSTITUTE($C42,"%","")) &gt; VALUE(SUBSTITUTE($E42,"%","")))</formula>
    </cfRule>
  </conditionalFormatting>
  <conditionalFormatting sqref="A42:A43 A45:A55">
    <cfRule type="expression" dxfId="6" priority="200">
      <formula>AND($B42="RBRF11", VALUE(SUBSTITUTE($C42,"%","")) &gt; VALUE(SUBSTITUTE($E42,"%","")))</formula>
    </cfRule>
  </conditionalFormatting>
  <conditionalFormatting sqref="A42:A43 A45:A55">
    <cfRule type="expression" dxfId="6" priority="201">
      <formula>AND($B42="BTCI11", VALUE(SUBSTITUTE($C42,"%","")) &gt; VALUE(SUBSTITUTE($E42,"%","")))</formula>
    </cfRule>
  </conditionalFormatting>
  <conditionalFormatting sqref="A42:A43 A45:A55">
    <cfRule type="expression" dxfId="6" priority="202">
      <formula>AND($B42="RBRX11", VALUE(SUBSTITUTE($C42,"%","")) &gt; VALUE(SUBSTITUTE($E42,"%","")))</formula>
    </cfRule>
  </conditionalFormatting>
  <conditionalFormatting sqref="A42:A43 A45:A55">
    <cfRule type="expression" dxfId="6" priority="203">
      <formula>AND($B42="MXRF11", VALUE(SUBSTITUTE($C42,"%","")) &gt; VALUE(SUBSTITUTE($E42,"%","")))</formula>
    </cfRule>
  </conditionalFormatting>
  <conditionalFormatting sqref="A42:A43 A45:A55">
    <cfRule type="expression" dxfId="7" priority="204">
      <formula>AND($B42="RZTR11", VALUE(SUBSTITUTE($C42,"%","")) &lt; VALUE(SUBSTITUTE($E42,"%","")))</formula>
    </cfRule>
  </conditionalFormatting>
  <conditionalFormatting sqref="A42:A43 A45:A55">
    <cfRule type="expression" dxfId="7" priority="205">
      <formula>AND($B42="BRCO11", VALUE(SUBSTITUTE($C42,"%","")) &lt; VALUE(SUBSTITUTE($E42,"%","")))</formula>
    </cfRule>
  </conditionalFormatting>
  <conditionalFormatting sqref="A42:A43 A45:A55">
    <cfRule type="expression" dxfId="7" priority="206">
      <formula>AND($B42="BTLG11", VALUE(SUBSTITUTE($C42,"%","")) &lt; VALUE(SUBSTITUTE($E42,"%","")))</formula>
    </cfRule>
  </conditionalFormatting>
  <conditionalFormatting sqref="A42:A43 A45:A55">
    <cfRule type="expression" dxfId="7" priority="207">
      <formula>AND($B42="XPLG11", VALUE(SUBSTITUTE($C42,"%","")) &lt; VALUE(SUBSTITUTE($E42,"%","")))</formula>
    </cfRule>
  </conditionalFormatting>
  <conditionalFormatting sqref="A42:A43 A45:A55">
    <cfRule type="expression" dxfId="7" priority="208">
      <formula>AND($B42="GGRC11", VALUE(SUBSTITUTE($C42,"%","")) &lt; VALUE(SUBSTITUTE($E42,"%","")))</formula>
    </cfRule>
  </conditionalFormatting>
  <conditionalFormatting sqref="A42:A43 A45:A55">
    <cfRule type="expression" dxfId="7" priority="209">
      <formula>AND($B42="GARE11", VALUE(SUBSTITUTE($C42,"%","")) &lt; VALUE(SUBSTITUTE($E42,"%","")))</formula>
    </cfRule>
  </conditionalFormatting>
  <conditionalFormatting sqref="A42:A43 A45:A55">
    <cfRule type="expression" dxfId="7" priority="210">
      <formula>AND($B42="HGLG11", VALUE(SUBSTITUTE($C42,"%","")) &lt; VALUE(SUBSTITUTE($E42,"%","")))</formula>
    </cfRule>
  </conditionalFormatting>
  <conditionalFormatting sqref="A42:A43 A45:A55">
    <cfRule type="expression" dxfId="7" priority="211">
      <formula>AND($B42="HGBS11", VALUE(SUBSTITUTE($C42,"%","")) &lt; VALUE(SUBSTITUTE($E42,"%","")))</formula>
    </cfRule>
  </conditionalFormatting>
  <conditionalFormatting sqref="A42:A43 A45:A55">
    <cfRule type="expression" dxfId="7" priority="212">
      <formula>AND($B42="MALL11", VALUE(SUBSTITUTE($C42,"%","")) &lt; VALUE(SUBSTITUTE($E42,"%","")))</formula>
    </cfRule>
  </conditionalFormatting>
  <conditionalFormatting sqref="A42:A43 A45:A55">
    <cfRule type="expression" dxfId="7" priority="213">
      <formula>AND($B42="LVBI11", VALUE(SUBSTITUTE($C42,"%","")) &lt; VALUE(SUBSTITUTE($E42,"%","")))</formula>
    </cfRule>
  </conditionalFormatting>
  <conditionalFormatting sqref="A42:A43 A45:A55">
    <cfRule type="expression" dxfId="7" priority="214">
      <formula>AND($B42="RBRF11", VALUE(SUBSTITUTE($C42,"%","")) &lt; VALUE(SUBSTITUTE($E42,"%","")))</formula>
    </cfRule>
  </conditionalFormatting>
  <conditionalFormatting sqref="A42:A43 A45:A55">
    <cfRule type="expression" dxfId="7" priority="215">
      <formula>AND($B42="BTCI11", VALUE(SUBSTITUTE($C42,"%","")) &lt; VALUE(SUBSTITUTE($E42,"%","")))</formula>
    </cfRule>
  </conditionalFormatting>
  <conditionalFormatting sqref="A42:A43 A45:A55">
    <cfRule type="expression" dxfId="7" priority="216">
      <formula>AND($B42="RBRX11", VALUE(SUBSTITUTE($C42,"%","")) &lt; VALUE(SUBSTITUTE($E42,"%","")))</formula>
    </cfRule>
  </conditionalFormatting>
  <conditionalFormatting sqref="A42:A43 A45:A55">
    <cfRule type="expression" dxfId="7" priority="217">
      <formula>AND($B42="MXRF11", VALUE(SUBSTITUTE($C42,"%","")) &lt; VALUE(SUBSTITUTE($E42,"%","")))</formula>
    </cfRule>
  </conditionalFormatting>
  <conditionalFormatting sqref="F4 F6">
    <cfRule type="expression" dxfId="5" priority="218">
      <formula>AND($G4="BBAS3", VALUE(SUBSTITUTE($C14,"%","")) &gt; VALUE(SUBSTITUTE($E15,"%",""))*2)</formula>
    </cfRule>
  </conditionalFormatting>
  <conditionalFormatting sqref="F4 F6">
    <cfRule type="expression" dxfId="5" priority="219">
      <formula>AND($G4="CMIG3", VALUE(SUBSTITUTE($C14,"%","")) &gt; VALUE(SUBSTITUTE($E15,"%",""))*2)</formula>
    </cfRule>
  </conditionalFormatting>
  <conditionalFormatting sqref="F4 F6">
    <cfRule type="expression" dxfId="5" priority="220">
      <formula>AND($G4="BBSE3", VALUE(SUBSTITUTE($C14,"%","")) &gt; VALUE(SUBSTITUTE($E15,"%",""))*2)</formula>
    </cfRule>
  </conditionalFormatting>
  <conditionalFormatting sqref="F4 F6">
    <cfRule type="expression" dxfId="5" priority="221">
      <formula>AND($G4="BRBI11", VALUE(SUBSTITUTE($C14,"%","")) &gt; VALUE(SUBSTITUTE($E15,"%",""))*2)</formula>
    </cfRule>
  </conditionalFormatting>
  <conditionalFormatting sqref="F4 F6">
    <cfRule type="expression" dxfId="5" priority="222">
      <formula>AND($G4="PETR4", VALUE(SUBSTITUTE($C14,"%","")) &gt; VALUE(SUBSTITUTE($E15,"%",""))*2)</formula>
    </cfRule>
  </conditionalFormatting>
  <conditionalFormatting sqref="F4 F6">
    <cfRule type="expression" dxfId="5" priority="223">
      <formula>AND($G4="CMIG4", VALUE(SUBSTITUTE($C14,"%","")) &gt; VALUE(SUBSTITUTE($E15,"%",""))*2)</formula>
    </cfRule>
  </conditionalFormatting>
  <conditionalFormatting sqref="F4 F6">
    <cfRule type="expression" dxfId="5" priority="224">
      <formula>AND($G4="BBDC3", VALUE(SUBSTITUTE($C14,"%","")) &gt; VALUE(SUBSTITUTE($E15,"%",""))*2)</formula>
    </cfRule>
  </conditionalFormatting>
  <conditionalFormatting sqref="F4 F6">
    <cfRule type="expression" dxfId="5" priority="225">
      <formula>AND($G4="TAEE11", VALUE(SUBSTITUTE($C14,"%","")) &gt; VALUE(SUBSTITUTE($E15,"%",""))*2)</formula>
    </cfRule>
  </conditionalFormatting>
  <conditionalFormatting sqref="F4 F6">
    <cfRule type="expression" dxfId="5" priority="226">
      <formula>AND($G4="VALE3", VALUE(SUBSTITUTE($C14,"%","")) &gt; VALUE(SUBSTITUTE($E15,"%",""))*2)</formula>
    </cfRule>
  </conditionalFormatting>
  <conditionalFormatting sqref="F4 F6">
    <cfRule type="expression" dxfId="5" priority="227">
      <formula>AND($G4="ITUB3", VALUE(SUBSTITUTE($C14,"%","")) &gt; VALUE(SUBSTITUTE($E15,"%",""))*2)</formula>
    </cfRule>
  </conditionalFormatting>
  <conditionalFormatting sqref="F4 F6">
    <cfRule type="expression" dxfId="6" priority="228">
      <formula>AND($G4="BBAS3", VALUE(SUBSTITUTE($C14,"%","")) &gt; VALUE(SUBSTITUTE($E15,"%","")))</formula>
    </cfRule>
  </conditionalFormatting>
  <conditionalFormatting sqref="F4 F6">
    <cfRule type="expression" dxfId="6" priority="229">
      <formula>AND($G4="BBSE3", VALUE(SUBSTITUTE($C14,"%","")) &gt; VALUE(SUBSTITUTE($E15,"%","")))</formula>
    </cfRule>
  </conditionalFormatting>
  <conditionalFormatting sqref="F4 F6">
    <cfRule type="expression" dxfId="6" priority="230">
      <formula>AND($G4="PETR4", VALUE(SUBSTITUTE($C14,"%","")) &gt; VALUE(SUBSTITUTE($E15,"%","")))</formula>
    </cfRule>
  </conditionalFormatting>
  <conditionalFormatting sqref="F4 F6">
    <cfRule type="expression" dxfId="6" priority="231">
      <formula>AND($G4="ITUB3", VALUE(SUBSTITUTE($C14,"%","")) &gt; VALUE(SUBSTITUTE($E15,"%","")))</formula>
    </cfRule>
  </conditionalFormatting>
  <conditionalFormatting sqref="F4 F6">
    <cfRule type="expression" dxfId="6" priority="232">
      <formula>AND($G4="VALE3", VALUE(SUBSTITUTE($C14,"%","")) &gt; VALUE(SUBSTITUTE($E15,"%","")))</formula>
    </cfRule>
  </conditionalFormatting>
  <conditionalFormatting sqref="F4 F6">
    <cfRule type="expression" dxfId="6" priority="233">
      <formula>AND($G4="CMIG3", VALUE(SUBSTITUTE($C14,"%","")) &gt; VALUE(SUBSTITUTE($E15,"%","")))</formula>
    </cfRule>
  </conditionalFormatting>
  <conditionalFormatting sqref="F4 F6">
    <cfRule type="expression" dxfId="6" priority="234">
      <formula>AND($G4="BRBI11", VALUE(SUBSTITUTE($C14,"%","")) &gt; VALUE(SUBSTITUTE($E15,"%","")))</formula>
    </cfRule>
  </conditionalFormatting>
  <conditionalFormatting sqref="F4 F6">
    <cfRule type="expression" dxfId="6" priority="235">
      <formula>AND($G4="TAEE11", VALUE(SUBSTITUTE($C14,"%","")) &gt; VALUE(SUBSTITUTE($E15,"%","")))</formula>
    </cfRule>
  </conditionalFormatting>
  <conditionalFormatting sqref="F4 F6">
    <cfRule type="expression" dxfId="6" priority="236">
      <formula>AND($G4="BBDC3", VALUE(SUBSTITUTE($C14,"%","")) &gt; VALUE(SUBSTITUTE($E15,"%","")))</formula>
    </cfRule>
  </conditionalFormatting>
  <conditionalFormatting sqref="F4 F6">
    <cfRule type="expression" dxfId="6" priority="237">
      <formula>AND($G4="CMIG4", VALUE(SUBSTITUTE($C14,"%","")) &gt; VALUE(SUBSTITUTE($E15,"%","")))</formula>
    </cfRule>
  </conditionalFormatting>
  <conditionalFormatting sqref="F4 F6">
    <cfRule type="expression" dxfId="7" priority="238">
      <formula>AND($G4="BBAS3", VALUE(SUBSTITUTE($C14,"%","")) &lt; VALUE(SUBSTITUTE($E15,"%","")))</formula>
    </cfRule>
  </conditionalFormatting>
  <conditionalFormatting sqref="F4 F6">
    <cfRule type="expression" dxfId="7" priority="239">
      <formula>AND($G4="BBSE3", VALUE(SUBSTITUTE($C14,"%","")) &lt; VALUE(SUBSTITUTE($E15,"%","")))</formula>
    </cfRule>
  </conditionalFormatting>
  <conditionalFormatting sqref="F4 F6">
    <cfRule type="expression" dxfId="7" priority="240">
      <formula>AND($G4="VALE3", VALUE(SUBSTITUTE($C14,"%","")) &lt; VALUE(SUBSTITUTE($E15,"%","")))</formula>
    </cfRule>
  </conditionalFormatting>
  <conditionalFormatting sqref="F4 F6">
    <cfRule type="expression" dxfId="7" priority="241">
      <formula>AND($G4="TAEE11", VALUE(SUBSTITUTE($C14,"%","")) &lt; VALUE(SUBSTITUTE($E15,"%","")))</formula>
    </cfRule>
  </conditionalFormatting>
  <conditionalFormatting sqref="F4 F6">
    <cfRule type="expression" dxfId="7" priority="242">
      <formula>AND($G4="PETR4", VALUE(SUBSTITUTE($C14,"%","")) &lt; VALUE(SUBSTITUTE($E15,"%","")))</formula>
    </cfRule>
  </conditionalFormatting>
  <conditionalFormatting sqref="F4 F6">
    <cfRule type="expression" dxfId="7" priority="243">
      <formula>AND($G4="BBDC3", VALUE(SUBSTITUTE($C14,"%","")) &lt; VALUE(SUBSTITUTE($E15,"%","")))</formula>
    </cfRule>
  </conditionalFormatting>
  <conditionalFormatting sqref="F4 F6">
    <cfRule type="expression" dxfId="7" priority="244">
      <formula>AND($G4="CMIG3", VALUE(SUBSTITUTE($C14,"%","")) &lt; VALUE(SUBSTITUTE($E15,"%","")))</formula>
    </cfRule>
  </conditionalFormatting>
  <conditionalFormatting sqref="F4 F6">
    <cfRule type="expression" dxfId="7" priority="245">
      <formula>AND($G4="BRBI11", VALUE(SUBSTITUTE($C14,"%","")) &lt; VALUE(SUBSTITUTE($E15,"%","")))</formula>
    </cfRule>
  </conditionalFormatting>
  <conditionalFormatting sqref="F4 F6">
    <cfRule type="expression" dxfId="7" priority="246">
      <formula>AND($G4="ITUB3", VALUE(SUBSTITUTE($C14,"%","")) &lt; VALUE(SUBSTITUTE($E15,"%","")))</formula>
    </cfRule>
  </conditionalFormatting>
  <conditionalFormatting sqref="F4 F6">
    <cfRule type="expression" dxfId="7" priority="247">
      <formula>AND($G4="CMIG4", VALUE(SUBSTITUTE($C14,"%","")) &lt; VALUE(SUBSTITUTE($E15,"%","")))</formula>
    </cfRule>
  </conditionalFormatting>
  <conditionalFormatting sqref="F3">
    <cfRule type="expression" dxfId="5" priority="248">
      <formula>AND($G3="BBAS3", VALUE(SUBSTITUTE($C13,"%","")) &gt; VALUE(SUBSTITUTE($E14,"%",""))*2)</formula>
    </cfRule>
  </conditionalFormatting>
  <conditionalFormatting sqref="F3">
    <cfRule type="expression" dxfId="5" priority="249">
      <formula>AND($G3="CMIG3", VALUE(SUBSTITUTE($C13,"%","")) &gt; VALUE(SUBSTITUTE($E14,"%",""))*2)</formula>
    </cfRule>
  </conditionalFormatting>
  <conditionalFormatting sqref="F3">
    <cfRule type="expression" dxfId="5" priority="250">
      <formula>AND($G3="BBSE3", VALUE(SUBSTITUTE($C13,"%","")) &gt; VALUE(SUBSTITUTE($E14,"%",""))*2)</formula>
    </cfRule>
  </conditionalFormatting>
  <conditionalFormatting sqref="F3">
    <cfRule type="expression" dxfId="5" priority="251">
      <formula>AND($G3="BRBI11", VALUE(SUBSTITUTE($C13,"%","")) &gt; VALUE(SUBSTITUTE($E14,"%",""))*2)</formula>
    </cfRule>
  </conditionalFormatting>
  <conditionalFormatting sqref="F3">
    <cfRule type="expression" dxfId="5" priority="252">
      <formula>AND($G3="PETR4", VALUE(SUBSTITUTE($C13,"%","")) &gt; VALUE(SUBSTITUTE($E14,"%",""))*2)</formula>
    </cfRule>
  </conditionalFormatting>
  <conditionalFormatting sqref="F3">
    <cfRule type="expression" dxfId="5" priority="253">
      <formula>AND($G3="CMIG4", VALUE(SUBSTITUTE($C13,"%","")) &gt; VALUE(SUBSTITUTE($E14,"%",""))*2)</formula>
    </cfRule>
  </conditionalFormatting>
  <conditionalFormatting sqref="F3">
    <cfRule type="expression" dxfId="5" priority="254">
      <formula>AND($G3="BBDC3", VALUE(SUBSTITUTE($C13,"%","")) &gt; VALUE(SUBSTITUTE($E14,"%",""))*2)</formula>
    </cfRule>
  </conditionalFormatting>
  <conditionalFormatting sqref="F3">
    <cfRule type="expression" dxfId="5" priority="255">
      <formula>AND($G3="TAEE11", VALUE(SUBSTITUTE($C13,"%","")) &gt; VALUE(SUBSTITUTE($E14,"%",""))*2)</formula>
    </cfRule>
  </conditionalFormatting>
  <conditionalFormatting sqref="F3">
    <cfRule type="expression" dxfId="5" priority="256">
      <formula>AND($G3="VALE3", VALUE(SUBSTITUTE($C13,"%","")) &gt; VALUE(SUBSTITUTE($E14,"%",""))*2)</formula>
    </cfRule>
  </conditionalFormatting>
  <conditionalFormatting sqref="F3">
    <cfRule type="expression" dxfId="5" priority="257">
      <formula>AND($G3="ITUB3", VALUE(SUBSTITUTE($C13,"%","")) &gt; VALUE(SUBSTITUTE($E14,"%",""))*2)</formula>
    </cfRule>
  </conditionalFormatting>
  <conditionalFormatting sqref="F3">
    <cfRule type="expression" dxfId="6" priority="258">
      <formula>AND($G3="BBAS3", VALUE(SUBSTITUTE($C13,"%","")) &gt; VALUE(SUBSTITUTE($E14,"%","")))</formula>
    </cfRule>
  </conditionalFormatting>
  <conditionalFormatting sqref="F3">
    <cfRule type="expression" dxfId="6" priority="259">
      <formula>AND($G3="BBSE3", VALUE(SUBSTITUTE($C13,"%","")) &gt; VALUE(SUBSTITUTE($E14,"%","")))</formula>
    </cfRule>
  </conditionalFormatting>
  <conditionalFormatting sqref="F3">
    <cfRule type="expression" dxfId="6" priority="260">
      <formula>AND($G3="PETR4", VALUE(SUBSTITUTE($C13,"%","")) &gt; VALUE(SUBSTITUTE($E14,"%","")))</formula>
    </cfRule>
  </conditionalFormatting>
  <conditionalFormatting sqref="F3">
    <cfRule type="expression" dxfId="6" priority="261">
      <formula>AND($G3="ITUB3", VALUE(SUBSTITUTE($C13,"%","")) &gt; VALUE(SUBSTITUTE($E14,"%","")))</formula>
    </cfRule>
  </conditionalFormatting>
  <conditionalFormatting sqref="F3">
    <cfRule type="expression" dxfId="6" priority="262">
      <formula>AND($G3="VALE3", VALUE(SUBSTITUTE($C13,"%","")) &gt; VALUE(SUBSTITUTE($E14,"%","")))</formula>
    </cfRule>
  </conditionalFormatting>
  <conditionalFormatting sqref="F3">
    <cfRule type="expression" dxfId="6" priority="263">
      <formula>AND($G3="CMIG3", VALUE(SUBSTITUTE($C13,"%","")) &gt; VALUE(SUBSTITUTE($E14,"%","")))</formula>
    </cfRule>
  </conditionalFormatting>
  <conditionalFormatting sqref="F3">
    <cfRule type="expression" dxfId="6" priority="264">
      <formula>AND($G3="BRBI11", VALUE(SUBSTITUTE($C13,"%","")) &gt; VALUE(SUBSTITUTE($E14,"%","")))</formula>
    </cfRule>
  </conditionalFormatting>
  <conditionalFormatting sqref="F3">
    <cfRule type="expression" dxfId="6" priority="265">
      <formula>AND($G3="TAEE11", VALUE(SUBSTITUTE($C13,"%","")) &gt; VALUE(SUBSTITUTE($E14,"%","")))</formula>
    </cfRule>
  </conditionalFormatting>
  <conditionalFormatting sqref="F3">
    <cfRule type="expression" dxfId="6" priority="266">
      <formula>AND($G3="BBDC3", VALUE(SUBSTITUTE($C13,"%","")) &gt; VALUE(SUBSTITUTE($E14,"%","")))</formula>
    </cfRule>
  </conditionalFormatting>
  <conditionalFormatting sqref="F3">
    <cfRule type="expression" dxfId="6" priority="267">
      <formula>AND($G3="CMIG4", VALUE(SUBSTITUTE($C13,"%","")) &gt; VALUE(SUBSTITUTE($E14,"%","")))</formula>
    </cfRule>
  </conditionalFormatting>
  <conditionalFormatting sqref="F3">
    <cfRule type="expression" dxfId="7" priority="268">
      <formula>AND($G3="BBAS3", VALUE(SUBSTITUTE($C13,"%","")) &lt; VALUE(SUBSTITUTE($E14,"%","")))</formula>
    </cfRule>
  </conditionalFormatting>
  <conditionalFormatting sqref="F3">
    <cfRule type="expression" dxfId="7" priority="269">
      <formula>AND($G3="BBSE3", VALUE(SUBSTITUTE($C13,"%","")) &lt; VALUE(SUBSTITUTE($E14,"%","")))</formula>
    </cfRule>
  </conditionalFormatting>
  <conditionalFormatting sqref="F3">
    <cfRule type="expression" dxfId="7" priority="270">
      <formula>AND($G3="VALE3", VALUE(SUBSTITUTE($C13,"%","")) &lt; VALUE(SUBSTITUTE($E14,"%","")))</formula>
    </cfRule>
  </conditionalFormatting>
  <conditionalFormatting sqref="F3">
    <cfRule type="expression" dxfId="7" priority="271">
      <formula>AND($G3="TAEE11", VALUE(SUBSTITUTE($C13,"%","")) &lt; VALUE(SUBSTITUTE($E14,"%","")))</formula>
    </cfRule>
  </conditionalFormatting>
  <conditionalFormatting sqref="F3">
    <cfRule type="expression" dxfId="7" priority="272">
      <formula>AND($G3="PETR4", VALUE(SUBSTITUTE($C13,"%","")) &lt; VALUE(SUBSTITUTE($E14,"%","")))</formula>
    </cfRule>
  </conditionalFormatting>
  <conditionalFormatting sqref="F3">
    <cfRule type="expression" dxfId="7" priority="273">
      <formula>AND($G3="BBDC3", VALUE(SUBSTITUTE($C13,"%","")) &lt; VALUE(SUBSTITUTE($E14,"%","")))</formula>
    </cfRule>
  </conditionalFormatting>
  <conditionalFormatting sqref="F3">
    <cfRule type="expression" dxfId="7" priority="274">
      <formula>AND($G3="CMIG3", VALUE(SUBSTITUTE($C13,"%","")) &lt; VALUE(SUBSTITUTE($E14,"%","")))</formula>
    </cfRule>
  </conditionalFormatting>
  <conditionalFormatting sqref="F3">
    <cfRule type="expression" dxfId="7" priority="275">
      <formula>AND($G3="BRBI11", VALUE(SUBSTITUTE($C13,"%","")) &lt; VALUE(SUBSTITUTE($E14,"%","")))</formula>
    </cfRule>
  </conditionalFormatting>
  <conditionalFormatting sqref="F3">
    <cfRule type="expression" dxfId="7" priority="276">
      <formula>AND($G3="ITUB3", VALUE(SUBSTITUTE($C13,"%","")) &lt; VALUE(SUBSTITUTE($E14,"%","")))</formula>
    </cfRule>
  </conditionalFormatting>
  <conditionalFormatting sqref="F3">
    <cfRule type="expression" dxfId="7" priority="277">
      <formula>AND($G3="CMIG4", VALUE(SUBSTITUTE($C13,"%","")) &lt; VALUE(SUBSTITUTE($E14,"%","")))</formula>
    </cfRule>
  </conditionalFormatting>
  <conditionalFormatting sqref="A4:A15 J4:J17 T4:T16 A18:A23 A31:A43 A45">
    <cfRule type="expression" dxfId="5" priority="278">
      <formula>AND($B4="BBAS3", VALUE(SUBSTITUTE($C4,"%","")) &gt; VALUE(SUBSTITUTE($E4,"%",""))*2)</formula>
    </cfRule>
  </conditionalFormatting>
  <conditionalFormatting sqref="A4:A15 J4:J17 T4:T16 A18:A23 A31:A43 A45">
    <cfRule type="expression" dxfId="5" priority="279">
      <formula>AND($B4="CMIG3", VALUE(SUBSTITUTE($C4,"%","")) &gt; VALUE(SUBSTITUTE($E4,"%",""))*2)</formula>
    </cfRule>
  </conditionalFormatting>
  <conditionalFormatting sqref="A4:A15 J4:J17 T4:T16 A18:A23 A31:A43 A45">
    <cfRule type="expression" dxfId="5" priority="280">
      <formula>AND($B4="BBSE3", VALUE(SUBSTITUTE($C4,"%","")) &gt; VALUE(SUBSTITUTE($E4,"%",""))*2)</formula>
    </cfRule>
  </conditionalFormatting>
  <conditionalFormatting sqref="A4:A15 J4:J17 T4:T16 A18:A23 A31:A43 A45">
    <cfRule type="expression" dxfId="5" priority="281">
      <formula>AND($B4="BRBI11", VALUE(SUBSTITUTE($C4,"%","")) &gt; VALUE(SUBSTITUTE($E4,"%",""))*2)</formula>
    </cfRule>
  </conditionalFormatting>
  <conditionalFormatting sqref="A4:A15 J4:J17 T4:T16 A18:A23 A31:A43 A45">
    <cfRule type="expression" dxfId="5" priority="282">
      <formula>AND($B4="PETR4", VALUE(SUBSTITUTE($C4,"%","")) &gt; VALUE(SUBSTITUTE($E4,"%",""))*2)</formula>
    </cfRule>
  </conditionalFormatting>
  <conditionalFormatting sqref="A4:A15 J4:J17 T4:T16 A18:A23 A31:A43 A45">
    <cfRule type="expression" dxfId="5" priority="283">
      <formula>AND($B4="CMIG4", VALUE(SUBSTITUTE($C4,"%","")) &gt; VALUE(SUBSTITUTE($E4,"%",""))*2)</formula>
    </cfRule>
  </conditionalFormatting>
  <conditionalFormatting sqref="A4:A15 J4:J17 T4:T16 A18:A23 A31:A43 A45">
    <cfRule type="expression" dxfId="5" priority="284">
      <formula>AND($B4="BBDC3", VALUE(SUBSTITUTE($C4,"%","")) &gt; VALUE(SUBSTITUTE($E4,"%",""))*2)</formula>
    </cfRule>
  </conditionalFormatting>
  <conditionalFormatting sqref="A4:A15 J4:J17 T4:T16 A18:A23 A31:A43 A45">
    <cfRule type="expression" dxfId="5" priority="285">
      <formula>AND($B4="TAEE11", VALUE(SUBSTITUTE($C4,"%","")) &gt; VALUE(SUBSTITUTE($E4,"%",""))*2)</formula>
    </cfRule>
  </conditionalFormatting>
  <conditionalFormatting sqref="A4:A15 J4:J17 T4:T16 A18:A23 A31:A43 A45">
    <cfRule type="expression" dxfId="5" priority="286">
      <formula>AND($B4="VALE3", VALUE(SUBSTITUTE($C4,"%","")) &gt; VALUE(SUBSTITUTE($E4,"%",""))*2)</formula>
    </cfRule>
  </conditionalFormatting>
  <conditionalFormatting sqref="A4:A15 J4:J17 T4:T16 A18:A23 A31:A43 A45">
    <cfRule type="expression" dxfId="5" priority="287">
      <formula>AND($B4="ITUB3", VALUE(SUBSTITUTE($C4,"%","")) &gt; VALUE(SUBSTITUTE($E4,"%",""))*2)</formula>
    </cfRule>
  </conditionalFormatting>
  <conditionalFormatting sqref="A4:A15 J4:J17 T4:T16 A18:A23 A31:A43 A45">
    <cfRule type="expression" dxfId="6" priority="288">
      <formula>AND($B4="BBAS3", VALUE(SUBSTITUTE($C4,"%","")) &gt; VALUE(SUBSTITUTE($E4,"%","")))</formula>
    </cfRule>
  </conditionalFormatting>
  <conditionalFormatting sqref="A4:A15 J4:J17 T4:T16 A18:A23 A31:A43 A45">
    <cfRule type="expression" dxfId="6" priority="289">
      <formula>AND($B4="BBSE3", VALUE(SUBSTITUTE($C4,"%","")) &gt; VALUE(SUBSTITUTE($E4,"%","")))</formula>
    </cfRule>
  </conditionalFormatting>
  <conditionalFormatting sqref="A4:A15 J4:J17 T4:T16 A18:A23 A31:A43 A45">
    <cfRule type="expression" dxfId="6" priority="290">
      <formula>AND($B4="PETR4", VALUE(SUBSTITUTE($C4,"%","")) &gt; VALUE(SUBSTITUTE($E4,"%","")))</formula>
    </cfRule>
  </conditionalFormatting>
  <conditionalFormatting sqref="A4:A15 J4:J17 T4:T16 A18:A23 A31:A43 A45">
    <cfRule type="expression" dxfId="6" priority="291">
      <formula>AND($B4="ITUB3", VALUE(SUBSTITUTE($C4,"%","")) &gt; VALUE(SUBSTITUTE($E4,"%","")))</formula>
    </cfRule>
  </conditionalFormatting>
  <conditionalFormatting sqref="A4:A15 J4:J17 T4:T16 A18:A23 A31:A43 A45">
    <cfRule type="expression" dxfId="6" priority="292">
      <formula>AND($B4="VALE3", VALUE(SUBSTITUTE($C4,"%","")) &gt; VALUE(SUBSTITUTE($E4,"%","")))</formula>
    </cfRule>
  </conditionalFormatting>
  <conditionalFormatting sqref="A4:A15 J4:J17 T4:T16 A18:A23 A31:A43 A45">
    <cfRule type="expression" dxfId="6" priority="293">
      <formula>AND($B4="CMIG3", VALUE(SUBSTITUTE($C4,"%","")) &gt; VALUE(SUBSTITUTE($E4,"%","")))</formula>
    </cfRule>
  </conditionalFormatting>
  <conditionalFormatting sqref="A4:A15 J4:J17 T4:T16 A18:A23 A31:A43 A45">
    <cfRule type="expression" dxfId="6" priority="294">
      <formula>AND($B4="BRBI11", VALUE(SUBSTITUTE($C4,"%","")) &gt; VALUE(SUBSTITUTE($E4,"%","")))</formula>
    </cfRule>
  </conditionalFormatting>
  <conditionalFormatting sqref="A4:A15 J4:J17 T4:T16 A18:A23 A31:A43 A45">
    <cfRule type="expression" dxfId="6" priority="295">
      <formula>AND($B4="TAEE11", VALUE(SUBSTITUTE($C4,"%","")) &gt; VALUE(SUBSTITUTE($E4,"%","")))</formula>
    </cfRule>
  </conditionalFormatting>
  <conditionalFormatting sqref="A4:A15 J4:J17 T4:T16 A18:A23 A31:A43 A45">
    <cfRule type="expression" dxfId="6" priority="296">
      <formula>AND($B4="BBDC3", VALUE(SUBSTITUTE($C4,"%","")) &gt; VALUE(SUBSTITUTE($E4,"%","")))</formula>
    </cfRule>
  </conditionalFormatting>
  <conditionalFormatting sqref="A4:A15 J4:J17 T4:T16 A18:A23 A31:A43 A45">
    <cfRule type="expression" dxfId="6" priority="297">
      <formula>AND($B4="CMIG4", VALUE(SUBSTITUTE($C4,"%","")) &gt; VALUE(SUBSTITUTE($E4,"%","")))</formula>
    </cfRule>
  </conditionalFormatting>
  <conditionalFormatting sqref="A4:A15 J4:J17 T4:T16 A18:A23 A31:A43 A45">
    <cfRule type="expression" dxfId="7" priority="298">
      <formula>AND($B4="BBAS3", VALUE(SUBSTITUTE($C4,"%","")) &lt; VALUE(SUBSTITUTE($E4,"%","")))</formula>
    </cfRule>
  </conditionalFormatting>
  <conditionalFormatting sqref="A4:A15 J4:J17 T4:T16 A18:A23 A31:A43 A45">
    <cfRule type="expression" dxfId="7" priority="299">
      <formula>AND($B4="BBSE3", VALUE(SUBSTITUTE($C4,"%","")) &lt; VALUE(SUBSTITUTE($E4,"%","")))</formula>
    </cfRule>
  </conditionalFormatting>
  <conditionalFormatting sqref="A4:A15 J4:J17 T4:T16 A18:A23 A31:A43 A45">
    <cfRule type="expression" dxfId="7" priority="300">
      <formula>AND($B4="VALE3", VALUE(SUBSTITUTE($C4,"%","")) &lt; VALUE(SUBSTITUTE($E4,"%","")))</formula>
    </cfRule>
  </conditionalFormatting>
  <conditionalFormatting sqref="A4:A15 J4:J17 T4:T16 A18:A23 A31:A43 A45">
    <cfRule type="expression" dxfId="7" priority="301">
      <formula>AND($B4="TAEE11", VALUE(SUBSTITUTE($C4,"%","")) &lt; VALUE(SUBSTITUTE($E4,"%","")))</formula>
    </cfRule>
  </conditionalFormatting>
  <conditionalFormatting sqref="A4:A15 J4:J17 T4:T16 A18:A23 A31:A43 A45">
    <cfRule type="expression" dxfId="7" priority="302">
      <formula>AND($B4="PETR4", VALUE(SUBSTITUTE($C4,"%","")) &lt; VALUE(SUBSTITUTE($E4,"%","")))</formula>
    </cfRule>
  </conditionalFormatting>
  <conditionalFormatting sqref="A4:A15 J4:J17 T4:T16 A18:A23 A31:A43 A45">
    <cfRule type="expression" dxfId="7" priority="303">
      <formula>AND($B4="BBDC3", VALUE(SUBSTITUTE($C4,"%","")) &lt; VALUE(SUBSTITUTE($E4,"%","")))</formula>
    </cfRule>
  </conditionalFormatting>
  <conditionalFormatting sqref="A4:A15 J4:J17 T4:T16 A18:A23 A31:A43 A45">
    <cfRule type="expression" dxfId="7" priority="304">
      <formula>AND($B4="CMIG3", VALUE(SUBSTITUTE($C4,"%","")) &lt; VALUE(SUBSTITUTE($E4,"%","")))</formula>
    </cfRule>
  </conditionalFormatting>
  <conditionalFormatting sqref="A4:A15 J4:J17 T4:T16 A18:A23 A31:A43 A45">
    <cfRule type="expression" dxfId="7" priority="305">
      <formula>AND($B4="BRBI11", VALUE(SUBSTITUTE($C4,"%","")) &lt; VALUE(SUBSTITUTE($E4,"%","")))</formula>
    </cfRule>
  </conditionalFormatting>
  <conditionalFormatting sqref="A4:A15 J4:J17 T4:T16 A18:A23 A31:A43 A45">
    <cfRule type="expression" dxfId="7" priority="306">
      <formula>AND($B4="ITUB3", VALUE(SUBSTITUTE($C4,"%","")) &lt; VALUE(SUBSTITUTE($E4,"%","")))</formula>
    </cfRule>
  </conditionalFormatting>
  <conditionalFormatting sqref="A4:A15 J4:J17 T4:T16 A18:A23 A31:A43 A45">
    <cfRule type="expression" dxfId="7" priority="307">
      <formula>AND($B4="CMIG4", VALUE(SUBSTITUTE($C4,"%","")) &lt; VALUE(SUBSTITUTE($E4,"%","")))</formula>
    </cfRule>
  </conditionalFormatting>
  <dataValidations>
    <dataValidation type="list" allowBlank="1" sqref="B61:B73">
      <formula1>"Logística,Lajes Corporativas,Shoppings,Terras Agrícolas,CRI,FIAgro,Desenvolvimento,Educação,FoF,Hotel,Renda Urbana,Hedge,Renda Urb/Log,Lajes/Log"</formula1>
    </dataValidation>
    <dataValidation type="custom" allowBlank="1" showDropDown="1" sqref="Z4:AA8 G4:H9 P4:Q9 C4:D15 L4:M15 V4:W15 G30:H42 C31:D56 D61:D73">
      <formula1>AND(ISNUMBER(C4),(NOT(OR(NOT(ISERROR(DATEVALUE(C4))), AND(ISNUMBER(C4), LEFT(CELL("format", C4))="D")))))</formula1>
    </dataValidation>
    <dataValidation type="list" allowBlank="1" sqref="C61:C73">
      <formula1>"Ancoragem,Oportunidade,Risco"</formula1>
    </dataValidation>
  </dataValidations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9">
        <v>46023.0</v>
      </c>
    </row>
    <row r="2">
      <c r="A2" s="139">
        <v>46070.0</v>
      </c>
    </row>
    <row r="3">
      <c r="A3" s="139">
        <v>46115.0</v>
      </c>
    </row>
    <row r="4">
      <c r="A4" s="139">
        <v>46117.0</v>
      </c>
    </row>
    <row r="5">
      <c r="A5" s="139">
        <v>46133.0</v>
      </c>
    </row>
    <row r="6">
      <c r="A6" s="139">
        <v>46143.0</v>
      </c>
    </row>
    <row r="7">
      <c r="A7" s="139">
        <v>46177.0</v>
      </c>
    </row>
    <row r="8">
      <c r="A8" s="139">
        <v>46272.0</v>
      </c>
    </row>
    <row r="9">
      <c r="A9" s="139">
        <v>46307.0</v>
      </c>
    </row>
    <row r="10">
      <c r="A10" s="139">
        <v>46328.0</v>
      </c>
    </row>
    <row r="11">
      <c r="A11" s="139">
        <v>46341.0</v>
      </c>
    </row>
    <row r="12">
      <c r="A12" s="139">
        <v>46346.0</v>
      </c>
    </row>
    <row r="13">
      <c r="A13" s="139">
        <v>46381.0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3" max="3" width="17.13"/>
  </cols>
  <sheetData>
    <row r="1">
      <c r="A1" s="6" t="s">
        <v>194</v>
      </c>
      <c r="B1" s="6" t="s">
        <v>195</v>
      </c>
      <c r="C1" s="6" t="s">
        <v>197</v>
      </c>
    </row>
    <row r="2">
      <c r="C2" s="172"/>
    </row>
    <row r="3">
      <c r="C3" s="172"/>
    </row>
    <row r="4">
      <c r="A4" s="6" t="s">
        <v>198</v>
      </c>
      <c r="B4" s="6" t="s">
        <v>199</v>
      </c>
      <c r="C4" s="172">
        <v>46251.44871966435</v>
      </c>
    </row>
    <row r="5">
      <c r="A5" s="6" t="s">
        <v>200</v>
      </c>
      <c r="B5" s="6" t="s">
        <v>199</v>
      </c>
      <c r="C5" s="172">
        <v>46257.59465054398</v>
      </c>
    </row>
    <row r="6">
      <c r="A6" s="6" t="s">
        <v>203</v>
      </c>
      <c r="B6" s="6" t="s">
        <v>199</v>
      </c>
      <c r="C6" s="172">
        <v>46209.390541099536</v>
      </c>
    </row>
    <row r="7">
      <c r="A7" s="5"/>
      <c r="B7" s="5"/>
      <c r="C7" s="174"/>
    </row>
    <row r="8">
      <c r="A8" s="5"/>
      <c r="B8" s="5"/>
      <c r="C8" s="174"/>
    </row>
    <row r="9">
      <c r="A9" s="5"/>
      <c r="B9" s="5"/>
      <c r="C9" s="174"/>
    </row>
    <row r="10">
      <c r="A10" s="5"/>
      <c r="B10" s="5"/>
      <c r="C10" s="174"/>
    </row>
    <row r="11">
      <c r="A11" s="5"/>
      <c r="B11" s="5"/>
      <c r="C11" s="174"/>
    </row>
    <row r="12">
      <c r="A12" s="5"/>
      <c r="B12" s="5"/>
      <c r="C12" s="174"/>
    </row>
    <row r="13">
      <c r="A13" s="5"/>
      <c r="B13" s="5"/>
      <c r="C13" s="174"/>
    </row>
    <row r="14">
      <c r="A14" s="5"/>
      <c r="B14" s="5"/>
      <c r="C14" s="174"/>
    </row>
    <row r="15">
      <c r="A15" s="5"/>
      <c r="B15" s="5"/>
      <c r="C15" s="174"/>
    </row>
    <row r="20">
      <c r="A20" s="5"/>
      <c r="B20" s="180"/>
      <c r="C20" s="174"/>
    </row>
    <row r="21">
      <c r="A21" s="5"/>
      <c r="B21" s="180"/>
      <c r="C21" s="174"/>
    </row>
    <row r="22">
      <c r="A22" s="5"/>
      <c r="B22" s="5"/>
      <c r="C22" s="174"/>
    </row>
    <row r="23">
      <c r="A23" s="5"/>
      <c r="B23" s="5"/>
      <c r="C23" s="174"/>
    </row>
    <row r="24">
      <c r="A24" s="5"/>
      <c r="B24" s="5"/>
      <c r="C24" s="174"/>
    </row>
    <row r="25">
      <c r="A25" s="5"/>
      <c r="B25" s="5"/>
      <c r="C25" s="174"/>
    </row>
    <row r="26">
      <c r="A26" s="5"/>
      <c r="B26" s="5"/>
      <c r="C26" s="174"/>
    </row>
    <row r="27">
      <c r="A27" s="5"/>
      <c r="B27" s="5"/>
      <c r="C27" s="174"/>
    </row>
    <row r="28">
      <c r="A28" s="5"/>
      <c r="B28" s="5"/>
      <c r="C28" s="174"/>
    </row>
    <row r="29">
      <c r="A29" s="5"/>
      <c r="B29" s="5"/>
      <c r="C29" s="174"/>
    </row>
  </sheetData>
  <drawing r:id="rId1"/>
</worksheet>
</file>