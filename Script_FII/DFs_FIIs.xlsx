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RI11" sheetId="1" r:id="rId5"/>
    <sheet state="visible" name="BTLG11" sheetId="2" r:id="rId6"/>
    <sheet state="visible" name="XPLG11" sheetId="3" r:id="rId7"/>
    <sheet state="visible" name="HGLG11" sheetId="4" r:id="rId8"/>
    <sheet state="visible" name="GGRC11" sheetId="5" r:id="rId9"/>
    <sheet state="visible" name="BRCO11" sheetId="6" r:id="rId10"/>
    <sheet state="visible" name="HGRU11" sheetId="7" r:id="rId11"/>
    <sheet state="visible" name="GARE11" sheetId="8" r:id="rId12"/>
    <sheet state="visible" name="PMLL11" sheetId="9" r:id="rId13"/>
    <sheet state="visible" name="HGBS11" sheetId="10" r:id="rId14"/>
    <sheet state="visible" name="MXRF11" sheetId="11" r:id="rId15"/>
    <sheet state="visible" name="PCIP11" sheetId="12" r:id="rId16"/>
    <sheet state="visible" name="Indicadores" sheetId="13" r:id="rId17"/>
    <sheet state="visible" name="Calendário" sheetId="14" r:id="rId18"/>
    <sheet state="visible" name="Status_Script" sheetId="15" r:id="rId19"/>
  </sheets>
  <definedNames>
    <definedName hidden="1" localSheetId="13" name="_xlnm._FilterDatabase">'Calendário'!$A$1:$E$4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1">
      <text>
        <t xml:space="preserve">Cobertura Juros (FFO): Maior é melhor. Mínimo aceitável &gt; 2,0x.</t>
      </text>
    </comment>
    <comment authorId="0" ref="A60">
      <text>
        <t xml:space="preserve">Alavancagem (PB/PL): Menor é melhor para risco. Ideal (20%)</t>
      </text>
    </comment>
    <comment authorId="0" ref="A26">
      <text>
        <t xml:space="preserve">Índice de Eficiência (IE): Menor é melhor. Referência: 15% a 25%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Cobertura Juros (FFO): Maior é melhor. Mínimo aceitável &gt; 2,0x.</t>
      </text>
    </comment>
    <comment authorId="0" ref="A62">
      <text>
        <t xml:space="preserve">Alavancagem (PB/PL): Menor é melhor para risco. Ideal (20%)</t>
      </text>
    </comment>
    <comment authorId="0" ref="A28">
      <text>
        <t xml:space="preserve">Índice de Eficiência (IE): Menor é melhor. Referência: 15% a 25%</t>
      </text>
    </comment>
    <comment authorId="0" ref="A68">
      <text>
        <t xml:space="preserve">Encontra no Relatorio do GARE11 pag aprox: 30-35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Cobertura Juros (FFO): Maior é melhor. Mínimo aceitável &gt; 2,0x.</t>
      </text>
    </comment>
    <comment authorId="0" ref="A62">
      <text>
        <t xml:space="preserve">Alavancagem (PB/PL): Menor é melhor para risco. Ideal (20%)</t>
      </text>
    </comment>
    <comment authorId="0" ref="A28">
      <text>
        <t xml:space="preserve">Índice de Eficiência (IE): Menor é melhor. Referência: 15% a 25%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Cobertura Juros (FFO): Maior é melhor. Mínimo aceitável &gt; 2,0x.</t>
      </text>
    </comment>
    <comment authorId="0" ref="A57">
      <text>
        <t xml:space="preserve">Alavancagem (PB/PL): Menor é melhor para risco. Ideal (20%)</t>
      </text>
    </comment>
    <comment authorId="0" ref="A23">
      <text>
        <t xml:space="preserve">Índice de Eficiência (IE): Menor é melhor. Referência: 15% a 25%</t>
      </text>
    </comment>
    <comment authorId="0" ref="A20">
      <text>
        <t xml:space="preserve">Se estiver zerado 0
É pq foi pego no Relatorio Gerencial tem que ver se saiu a planilha de fundamentos site RI.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Cobertura Juros (FFO): Maior é melhor. Mínimo aceitável &gt; 2,0x.</t>
      </text>
    </comment>
    <comment authorId="0" ref="A62">
      <text>
        <t xml:space="preserve">Alavancagem (PB/PL): Menor é melhor para risco. Ideal (20%)</t>
      </text>
    </comment>
    <comment authorId="0" ref="A28">
      <text>
        <t xml:space="preserve">Índice de Eficiência (IE): Menor é melhor. Referência: 15% a 25%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Alavancagem (PB/PL): Menor é melhor para risco. Ideal (20%)</t>
      </text>
    </comment>
    <comment authorId="0" ref="A31">
      <text>
        <t xml:space="preserve">Índice de Eficiência (IE): Menor é melhor. Referência: 15% a 25%</t>
      </text>
    </comment>
    <comment authorId="0" ref="A71">
      <text>
        <t xml:space="preserve">Encontra no Relatorio do GARE11 pag aprox: 30-35</t>
      </text>
    </comment>
    <comment authorId="0" ref="A66">
      <text>
        <t xml:space="preserve">Cobertura Juros (FFO): Maior é melhor. Mínimo aceitável &gt; 2,0x.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Cobertura Juros (FFO): Maior é melhor. Mínimo aceitável &gt; 2,0x.</t>
      </text>
    </comment>
    <comment authorId="0" ref="A58">
      <text>
        <t xml:space="preserve">Alavancagem (PB/PL): Menor é melhor para risco. Ideal (20%)</t>
      </text>
    </comment>
    <comment authorId="0" ref="A23">
      <text>
        <t xml:space="preserve">Índice de Eficiência (IE): Menor é melhor. Referência: 15% a 25%</t>
      </text>
    </comment>
    <comment authorId="0" ref="A20">
      <text>
        <t xml:space="preserve">Esse n tem planilha. Somente o Relatorio.
"Parece que removeram o link de downloads."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2">
      <text>
        <t xml:space="preserve">Cobertura Juros (FFO): Maior é melhor. Mínimo aceitável &gt; 2,0x.</t>
      </text>
    </comment>
    <comment authorId="0" ref="A29">
      <text>
        <t xml:space="preserve">Índice de Eficiência (IE): Menor é melhor. Referência: 15% a 25%</t>
      </text>
    </comment>
    <comment authorId="0" ref="A61">
      <text>
        <t xml:space="preserve">Alavancagem (PB/PL): Menor é melhor para risco. Ideal (20%)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Cobertura Juros (FFO): Maior é melhor. Mínimo aceitável &gt; 2,0x.</t>
      </text>
    </comment>
    <comment authorId="0" ref="A57">
      <text>
        <t xml:space="preserve">Alavancagem (PB/PL): Menor é melhor para risco. Ideal (20%)</t>
      </text>
    </comment>
    <comment authorId="0" ref="A23">
      <text>
        <t xml:space="preserve">Índice de Eficiência (IE): Menor é melhor. Referência: 15% a 25%</t>
      </text>
    </comment>
    <comment authorId="0" ref="A20">
      <text>
        <t xml:space="preserve">Se estiver zerado 0
É pq foi pego no Relatorio Gerencial tem que ver se saiu a planilha de fundamentos site RI.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4">
      <text>
        <t xml:space="preserve">Cobertura Juros (FFO): Maior é melhor. Mínimo aceitável &gt; 2,0x.</t>
      </text>
    </comment>
    <comment authorId="0" ref="A63">
      <text>
        <t xml:space="preserve">Alavancagem (PB/PL): Menor é melhor para risco. Ideal (20%)</t>
      </text>
    </comment>
    <comment authorId="0" ref="A28">
      <text>
        <t xml:space="preserve">Índice de Eficiência (IE): Menor é melhor. Referência: 15% a 25%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3">
      <text>
        <t xml:space="preserve">Alavancagem (PB/PL): Menor é melhor para risco. Ideal (20%)</t>
      </text>
    </comment>
    <comment authorId="0" ref="A20">
      <text>
        <t xml:space="preserve">Índice de Eficiência Referência: 5% a 10%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7">
      <text>
        <t xml:space="preserve">Alavancagem (PB/PL): Menor é melhor para risco. Ideal (20%)</t>
      </text>
    </comment>
    <comment authorId="0" ref="A24">
      <text>
        <t xml:space="preserve">Índice de Eficiência Referência: 5% a 10%</t>
      </text>
    </comment>
  </commentList>
</comments>
</file>

<file path=xl/sharedStrings.xml><?xml version="1.0" encoding="utf-8"?>
<sst xmlns="http://schemas.openxmlformats.org/spreadsheetml/2006/main" count="2338" uniqueCount="317">
  <si>
    <t>DRE</t>
  </si>
  <si>
    <t>Feito</t>
  </si>
  <si>
    <t>Atual</t>
  </si>
  <si>
    <t>Não</t>
  </si>
  <si>
    <t>Receita Operacional Imobiliária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</si>
  <si>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</si>
  <si>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</si>
  <si>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</si>
  <si>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</si>
  <si>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</si>
  <si>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</si>
  <si>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</si>
  <si>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</si>
  <si>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</si>
  <si>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</si>
  <si>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</si>
  <si>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</si>
  <si>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TOTAL DE RECEITAS</t>
  </si>
  <si>
    <t>Vacância Física</t>
  </si>
  <si>
    <t>▸ Receita de Locação 0 Vacancia</t>
  </si>
  <si>
    <t>▸ Receita de Locação</t>
  </si>
  <si>
    <t>▸ Receita de Locação %</t>
  </si>
  <si>
    <t>Diferença aluguel</t>
  </si>
  <si>
    <t>▸ Lucros Imobiliários</t>
  </si>
  <si>
    <t>▸ Lucros Imobiliários %</t>
  </si>
  <si>
    <t>▸ Receitas Mobiliárias (Liquidez)</t>
  </si>
  <si>
    <t>▸ Lucros Imobiliários (vendas)</t>
  </si>
  <si>
    <t>▸ Liquidez %</t>
  </si>
  <si>
    <t>▸ Receitas Rendimentos FII</t>
  </si>
  <si>
    <t>▸ Receitas Rendimentos FII %</t>
  </si>
  <si>
    <t>▸ Receitas Extraordinárias (Vendas)</t>
  </si>
  <si>
    <t>▸ Vendas %</t>
  </si>
  <si>
    <t>▸ Receita LCI e Renda Fixa</t>
  </si>
  <si>
    <t>▸ Receita Alugueis Antecipados</t>
  </si>
  <si>
    <t>▸ Receita Renda Fixa %</t>
  </si>
  <si>
    <t>▸ Receita Alugueis Antecipados %</t>
  </si>
  <si>
    <t>Receita Nao Recorrente</t>
  </si>
  <si>
    <t>▸ Receita Renda Fixa</t>
  </si>
  <si>
    <t>▸ Resultado Vendas FII</t>
  </si>
  <si>
    <t>Receita Recorrente</t>
  </si>
  <si>
    <t>▸ Resultado Vendas FII %</t>
  </si>
  <si>
    <t>▸ Receita Financeira (RendaFIXA)</t>
  </si>
  <si>
    <t>▸ Receita FII / CRI</t>
  </si>
  <si>
    <t>▸ Receita FII / CRI %</t>
  </si>
  <si>
    <t>TOTAL DE DESPESAS</t>
  </si>
  <si>
    <t>▸ Outras Receitas</t>
  </si>
  <si>
    <t>▸ Outras Receitas|Caixa/Competência</t>
  </si>
  <si>
    <t>▸ Outras Receitas %</t>
  </si>
  <si>
    <t>▸ Despesas Imobiliárias</t>
  </si>
  <si>
    <t>▸ Despesas Financeiras (Juros)</t>
  </si>
  <si>
    <t>Peso da Despesas Financeiras</t>
  </si>
  <si>
    <t>▸ Taxa Adm. Total</t>
  </si>
  <si>
    <t>Peso da Taxa Administrativa</t>
  </si>
  <si>
    <t>▸ Outras Despesas</t>
  </si>
  <si>
    <t>Índice de Eficiência</t>
  </si>
  <si>
    <t>▸ Impostos Renda Fixa</t>
  </si>
  <si>
    <t>MARGEM LÍQUIDA</t>
  </si>
  <si>
    <t>RESULTADO GERADO</t>
  </si>
  <si>
    <t>RESULTADO Recorrente</t>
  </si>
  <si>
    <t>Retenção ou Distribuição Caixa</t>
  </si>
  <si>
    <t>Retenção de Caixa</t>
  </si>
  <si>
    <t>Disponibilidades</t>
  </si>
  <si>
    <t>Disponibilidades Cota</t>
  </si>
  <si>
    <t>RESULTADO DISTRIBUÍDO</t>
  </si>
  <si>
    <t>Payout Caixa</t>
  </si>
  <si>
    <t>Número de cotas</t>
  </si>
  <si>
    <t>Rendimento distribuído / cota</t>
  </si>
  <si>
    <t>Resultado por Cota</t>
  </si>
  <si>
    <t>Resultado Recorrente por Cota</t>
  </si>
  <si>
    <t>BP</t>
  </si>
  <si>
    <t>Total investido</t>
  </si>
  <si>
    <t>Valores a Receber</t>
  </si>
  <si>
    <t>Ativo Total</t>
  </si>
  <si>
    <t>Obrigações por securitização de CRI</t>
  </si>
  <si>
    <t>Obrigações por aquisição de imóveis</t>
  </si>
  <si>
    <t>Obrigações Total</t>
  </si>
  <si>
    <t>Juros/Pat Liq</t>
  </si>
  <si>
    <t>LTV (CRIs / Pat. Bruto)</t>
  </si>
  <si>
    <t>LTV (CRIs / Pat. Liq)</t>
  </si>
  <si>
    <t>Distribuição Rendimentos</t>
  </si>
  <si>
    <t>Taxas (Adm/Gestão/Custódia/Outros)</t>
  </si>
  <si>
    <t>Total_Taxa/Resultado</t>
  </si>
  <si>
    <t>Total_Taxa/Valor-Mercado - (AA)</t>
  </si>
  <si>
    <t>Outros valores a pagar</t>
  </si>
  <si>
    <t>Passivo_Total</t>
  </si>
  <si>
    <t>Alavancagem (PBruto / PL)</t>
  </si>
  <si>
    <t>Cobertura juros (FFO rec.)</t>
  </si>
  <si>
    <t xml:space="preserve">PATRIMÔNIO LÍQUIDO
</t>
  </si>
  <si>
    <t>Indicadores Imobiliários</t>
  </si>
  <si>
    <t>Nºde imóveis</t>
  </si>
  <si>
    <t>Nºde locatários</t>
  </si>
  <si>
    <t>ABL (m²)*</t>
  </si>
  <si>
    <t>WALE*</t>
  </si>
  <si>
    <t>Vacância Física*</t>
  </si>
  <si>
    <t>Empreendimentos em construção</t>
  </si>
  <si>
    <t>WAULT*</t>
  </si>
  <si>
    <t>Vacância Financeira*</t>
  </si>
  <si>
    <t>Inadimplência</t>
  </si>
  <si>
    <t>Aluguel Médio do Portfólio*</t>
  </si>
  <si>
    <t>Carteira de Ativos</t>
  </si>
  <si>
    <t>AAA</t>
  </si>
  <si>
    <t>Atípico</t>
  </si>
  <si>
    <t>Típico</t>
  </si>
  <si>
    <t>AA</t>
  </si>
  <si>
    <t>A</t>
  </si>
  <si>
    <t>B</t>
  </si>
  <si>
    <t>IPCA</t>
  </si>
  <si>
    <t>C</t>
  </si>
  <si>
    <t>IGPM</t>
  </si>
  <si>
    <t>Logístico</t>
  </si>
  <si>
    <t>ESCRITÓRIO</t>
  </si>
  <si>
    <t>IGP-M</t>
  </si>
  <si>
    <t>Comércio Varejista</t>
  </si>
  <si>
    <t>Valor</t>
  </si>
  <si>
    <t>Material de Construção</t>
  </si>
  <si>
    <t>Outros</t>
  </si>
  <si>
    <t>VP/Cota</t>
  </si>
  <si>
    <t>Logística</t>
  </si>
  <si>
    <t>E-commerce</t>
  </si>
  <si>
    <t>P/VP</t>
  </si>
  <si>
    <t>Automotivo</t>
  </si>
  <si>
    <t>FII</t>
  </si>
  <si>
    <t>KNRI11</t>
  </si>
  <si>
    <t>Taxa de administração(Total)</t>
  </si>
  <si>
    <t>1.11%</t>
  </si>
  <si>
    <t>Taxa de Performance</t>
  </si>
  <si>
    <t>FFO_12M</t>
  </si>
  <si>
    <t>Varejista</t>
  </si>
  <si>
    <t>Ticker</t>
  </si>
  <si>
    <t>P/VP_Justo</t>
  </si>
  <si>
    <t>Saúde</t>
  </si>
  <si>
    <t>Justo</t>
  </si>
  <si>
    <t>FFO_Yield</t>
  </si>
  <si>
    <t>DIV_Yield</t>
  </si>
  <si>
    <t>Volume_medio</t>
  </si>
  <si>
    <t>Taxa_12M</t>
  </si>
  <si>
    <t>Engenharia e Eletrônica</t>
  </si>
  <si>
    <t>GGRC11</t>
  </si>
  <si>
    <t>XPLG11</t>
  </si>
  <si>
    <t xml:space="preserve">20% &gt; IPCA 6,0% </t>
  </si>
  <si>
    <t>HGLG11</t>
  </si>
  <si>
    <t>Industrial</t>
  </si>
  <si>
    <t>Varejo</t>
  </si>
  <si>
    <t>LVBI11</t>
  </si>
  <si>
    <t>Taxa/FFO</t>
  </si>
  <si>
    <t>BTLG11</t>
  </si>
  <si>
    <t>Valor_Mercado_Atual</t>
  </si>
  <si>
    <t>Taxa/Valor_Mercado</t>
  </si>
  <si>
    <t>BRCO11</t>
  </si>
  <si>
    <t>QTD_Cota</t>
  </si>
  <si>
    <t>Patrimonio_Liq</t>
  </si>
  <si>
    <t>Cap_Rate</t>
  </si>
  <si>
    <t>Payout</t>
  </si>
  <si>
    <t>STatus</t>
  </si>
  <si>
    <t>Normal</t>
  </si>
  <si>
    <t>Relatorio Gerencial</t>
  </si>
  <si>
    <t>Informe Mensal</t>
  </si>
  <si>
    <t>LVBI e HGLG</t>
  </si>
  <si>
    <t>patrimonial vs patrimonial</t>
  </si>
  <si>
    <t>Relação de troca</t>
  </si>
  <si>
    <t>P/VP_HGLG11</t>
  </si>
  <si>
    <t>Preço do LVBI11</t>
  </si>
  <si>
    <t>Compraria o HGLG a que preço?</t>
  </si>
  <si>
    <t>Preço do HGLG11</t>
  </si>
  <si>
    <t>Ganho esperado</t>
  </si>
  <si>
    <t>Bom</t>
  </si>
  <si>
    <t>▸ Receita Renda Variável</t>
  </si>
  <si>
    <t>▸ Receita Renda Variável %</t>
  </si>
  <si>
    <t>Taxa Adm. Total</t>
  </si>
  <si>
    <t>▸ Taxa de Gestão</t>
  </si>
  <si>
    <t>▸ Taxa de ADM</t>
  </si>
  <si>
    <t>IMOB. LOGÍSTICA</t>
  </si>
  <si>
    <t>▸ Taxa de Perf</t>
  </si>
  <si>
    <t>IMOB. RENDA URBANA</t>
  </si>
  <si>
    <t>RESULTADO IMOB. OFFICE</t>
  </si>
  <si>
    <t>▸ Outros</t>
  </si>
  <si>
    <t>▸ Despesas Gerais</t>
  </si>
  <si>
    <t>Ajuste na Distribuição</t>
  </si>
  <si>
    <t>Despesa_Fastama</t>
  </si>
  <si>
    <t>▸ Taxa Adm. Total PATRIMONIAIS</t>
  </si>
  <si>
    <t xml:space="preserve">TAXA_Performance </t>
  </si>
  <si>
    <t>INPC</t>
  </si>
  <si>
    <t>Híbrido</t>
  </si>
  <si>
    <t>Varejo Alimentício</t>
  </si>
  <si>
    <t>Educacional</t>
  </si>
  <si>
    <t>1.10%</t>
  </si>
  <si>
    <t>Varejo Vestuário</t>
  </si>
  <si>
    <t>HGRU11</t>
  </si>
  <si>
    <t>20% do que exceder 5,5% a.a IPCA</t>
  </si>
  <si>
    <t>GARE11</t>
  </si>
  <si>
    <t>Bens de Consumo</t>
  </si>
  <si>
    <t>Varejo / E-commerce</t>
  </si>
  <si>
    <t>Indústria</t>
  </si>
  <si>
    <t>Outras_Disponibilidades</t>
  </si>
  <si>
    <t>Operador Logístico</t>
  </si>
  <si>
    <t>Queda na distribuição por isso queda na cotação forte.</t>
  </si>
  <si>
    <t>B.O comprou imovel com cotas e deu de garantia no preço fixo compensação de credito, toda venda com prejuizo de outro FII o
 GGRC tem q pagar de volta</t>
  </si>
  <si>
    <t>Vacancia caiu por alugar para Mercado livre, mas ainda continua acima de 0%, 
O imóvel estava 100% vago em julho de 
2026. Em 17 de agosto de 2026, conforme 
divulgação de fato relevante, o Fundo 
celebrou a locação da totalidade do imóvel 
para o Mercado Livre. Bresco Resende</t>
  </si>
  <si>
    <t>▸ Lucros Imobiliários (Vendas)</t>
  </si>
  <si>
    <t xml:space="preserve">▸ FIIs Estratégicos - Rendimento </t>
  </si>
  <si>
    <t>▸ FIIs Estratégicos %</t>
  </si>
  <si>
    <t>▸ Receita Renda Fixa (Liquidez)</t>
  </si>
  <si>
    <t>Fluxo Financeiro (CAIXA)</t>
  </si>
  <si>
    <t>▸ Receitas CRI</t>
  </si>
  <si>
    <t>▸ Receitas CRI %</t>
  </si>
  <si>
    <t>▸ Receita Permuta</t>
  </si>
  <si>
    <t>▸ Receita Permuta %</t>
  </si>
  <si>
    <t>▸ Receita FII</t>
  </si>
  <si>
    <t>Rebda Urbana</t>
  </si>
  <si>
    <t>Office</t>
  </si>
  <si>
    <t>▸ Receita FII %</t>
  </si>
  <si>
    <t>PL</t>
  </si>
  <si>
    <t>▸ Despesas Operacionais</t>
  </si>
  <si>
    <t>B.O comprou imovel com cotas e deu de garantia no preço fixo compensação de credito, toda venda com prejuizo de outro FII o
 GARE tem q pagar de volta</t>
  </si>
  <si>
    <t>▸ Receitas Juros (CRI)</t>
  </si>
  <si>
    <t>▸ Receita MTM (CRI)</t>
  </si>
  <si>
    <t>▸ Receita MTM (CRI) %</t>
  </si>
  <si>
    <t>▸ Receita MTM – FII</t>
  </si>
  <si>
    <t>▸ Receita MTM – FII %</t>
  </si>
  <si>
    <t xml:space="preserve">Provisões por garantias prestadas </t>
  </si>
  <si>
    <t>▸ Receita Extraordinária</t>
  </si>
  <si>
    <t>▸ Receita Extraordinária %</t>
  </si>
  <si>
    <t>▸ Resultado Financeiro Líquido</t>
  </si>
  <si>
    <t>▸ Resultado Financeiro Líquido %</t>
  </si>
  <si>
    <t>Taxa de Ocupação*</t>
  </si>
  <si>
    <t xml:space="preserve">DIVERSIFICAÇÃO POR OPERADORES (%) </t>
  </si>
  <si>
    <t>▸ Ajuste para Distribuição – MTM</t>
  </si>
  <si>
    <t>ArgoPlan</t>
  </si>
  <si>
    <t>▸ Ajuste para Distribuição – MTM %</t>
  </si>
  <si>
    <t>Allos</t>
  </si>
  <si>
    <t>Ancar Ivanhoe</t>
  </si>
  <si>
    <t>Proshopping</t>
  </si>
  <si>
    <t>WE9</t>
  </si>
  <si>
    <t>HBR Realty</t>
  </si>
  <si>
    <t>SYN</t>
  </si>
  <si>
    <t>Tmall</t>
  </si>
  <si>
    <t>Iguatemi</t>
  </si>
  <si>
    <t>Total</t>
  </si>
  <si>
    <t xml:space="preserve">ALLOS </t>
  </si>
  <si>
    <t>AD Shopping</t>
  </si>
  <si>
    <t>PMLL11</t>
  </si>
  <si>
    <t>Soul Malls</t>
  </si>
  <si>
    <t>Multiplan</t>
  </si>
  <si>
    <t>Plena Malls</t>
  </si>
  <si>
    <t>Partage</t>
  </si>
  <si>
    <t>Alqia</t>
  </si>
  <si>
    <t>HGBS11</t>
  </si>
  <si>
    <t>Composição do Portfolio</t>
  </si>
  <si>
    <t>Indexador &amp; Carteira</t>
  </si>
  <si>
    <t>Carteira CRI</t>
  </si>
  <si>
    <t>Carteira Vendas</t>
  </si>
  <si>
    <t>CDI+</t>
  </si>
  <si>
    <t>▸CDI+ %</t>
  </si>
  <si>
    <t>IPCA+ / INCC +</t>
  </si>
  <si>
    <t>▸IPCA+ / INCC + %</t>
  </si>
  <si>
    <t>Carteira FII</t>
  </si>
  <si>
    <t>▸FIIs %</t>
  </si>
  <si>
    <t>Carteira Permutas</t>
  </si>
  <si>
    <t>LTV médio</t>
  </si>
  <si>
    <t>MXRF11</t>
  </si>
  <si>
    <t>RBRR11</t>
  </si>
  <si>
    <t>Data Envio</t>
  </si>
  <si>
    <t>Tipo de Documento</t>
  </si>
  <si>
    <t>Assunto</t>
  </si>
  <si>
    <t>Link do Documento (PDF)</t>
  </si>
  <si>
    <t>Relatório Gerencial</t>
  </si>
  <si>
    <t>FII HEDGEBS;</t>
  </si>
  <si>
    <t>FII KINEA;</t>
  </si>
  <si>
    <t>FII MAXI REN;</t>
  </si>
  <si>
    <t>Status</t>
  </si>
  <si>
    <t>PCIP11</t>
  </si>
  <si>
    <t>IPCA+</t>
  </si>
  <si>
    <t>▸IPCA %</t>
  </si>
  <si>
    <t>IGPM+</t>
  </si>
  <si>
    <t>▸IGPM %</t>
  </si>
  <si>
    <t>1,0% a.a. sobre o Valor de Mercado do Fundo, sendo 0,90% repassado ao Gestor</t>
  </si>
  <si>
    <t>RPRI11</t>
  </si>
  <si>
    <t>KNCR11</t>
  </si>
  <si>
    <t>FIIs</t>
  </si>
  <si>
    <t>Preço_Justo</t>
  </si>
  <si>
    <t>V/Mercado</t>
  </si>
  <si>
    <t>VCJR11</t>
  </si>
  <si>
    <t>Concluímos as prévias necessárias iniciar o processo consolidação dos de créditoário high grade sob do Pat. 
Serão convocadas nos próximos dias as Assembleias Extraordinárias</t>
  </si>
  <si>
    <t>Fii</t>
  </si>
  <si>
    <t>Patrimonio</t>
  </si>
  <si>
    <t>Receita_3m</t>
  </si>
  <si>
    <t>%</t>
  </si>
  <si>
    <t>Venda_de_ativos_3m</t>
  </si>
  <si>
    <t>FFO_3m</t>
  </si>
  <si>
    <t>Rend_Distribuído_3m</t>
  </si>
  <si>
    <t>Rend_Distribuído_12m</t>
  </si>
  <si>
    <t>Vacância_Média</t>
  </si>
  <si>
    <t>Qtd_imóveis</t>
  </si>
  <si>
    <t>Qtd_unidades</t>
  </si>
  <si>
    <t>Qtd_Cotas</t>
  </si>
  <si>
    <t>Doc</t>
  </si>
  <si>
    <t>https://fnet.bmfbovespa.com.br/fnet/publico/abrirGerenciadorDocumentosCVM?cnpjFundo=20748515000181#</t>
  </si>
  <si>
    <t>https://fnet.bmfbovespa.com.br/fnet/publico/abrirGerenciadorDocumentosCVM?cnpjFundo=11839593000109#</t>
  </si>
  <si>
    <t>https://fnet.bmfbovespa.com.br/fnet/publico/abrirGerenciadorDocumentosCVM?cnpjFundo=37295919000160#</t>
  </si>
  <si>
    <t>https://fnet.bmfbovespa.com.br/fnet/publico/abrirGerenciadorDocumentosCVM?cnpjFundo=26614291000100#</t>
  </si>
  <si>
    <t>https://fnet.bmfbovespa.com.br/fnet/publico/abrirGerenciadorDocumentosCVM?cnpjFundo=08431747000106#</t>
  </si>
  <si>
    <t>https://fnet.bmfbovespa.com.br/fnet/publico/abrirGerenciadorDocumentosCVM?cnpjFundo=11728688000147#</t>
  </si>
  <si>
    <t>https://fnet.bmfbovespa.com.br/fnet/publico/abrirGerenciadorDocumentosCVM?cnpjFundo=29641226000153#</t>
  </si>
  <si>
    <t>https://fnet.bmfbovespa.com.br/fnet/publico/abrirGerenciadorDocumentosCVM?cnpjFundo=12005956000165#</t>
  </si>
  <si>
    <t>https://fnet.bmfbovespa.com.br/fnet/publico/abrirGerenciadorDocumentosCVM?cnpjFundo=30629603000118#</t>
  </si>
  <si>
    <t>https://fnet.bmfbovespa.com.br/fnet/publico/abrirGerenciadorDocumentosCVM?cnpjFundo=97521225000125#</t>
  </si>
  <si>
    <t>https://fnet.bmfbovespa.com.br/fnet/publico/abrirGerenciadorDocumentosCVM?cnpjFundo=28729197000113#</t>
  </si>
  <si>
    <t>https://fnet.bmfbovespa.com.br/fnet/publico/abrirGerenciadorDocumentosCVM?cnpjFundo=26499833000132#</t>
  </si>
  <si>
    <t>https://fnet.bmfbovespa.com.br/fnet/publico/abrirGerenciadorDocumentosCVM?cnpjFundo=29467977000103#</t>
  </si>
  <si>
    <t>https://fnet.bmfbovespa.com.br/fnet/publico/abrirGerenciadorDocumentosCVM?cnpjFundo=42502842000191#</t>
  </si>
  <si>
    <t>https://fnet.bmfbovespa.com.br/fnet/publico/abrirGerenciadorDocumentosCVM?cnpjFundo=32400250000105#</t>
  </si>
  <si>
    <t>https://fnet.bmfbovespa.com.br/fnet/publico/abrirGerenciadorDocumentosCVM?cnpjFundo=26502794000185#</t>
  </si>
  <si>
    <t>Nome</t>
  </si>
  <si>
    <t>Data/Hora</t>
  </si>
  <si>
    <t>Script_Indicador</t>
  </si>
  <si>
    <t>OK ✅</t>
  </si>
  <si>
    <t>Script_Calendario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</si>
</sst>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#,##0.0000"/>
    <numFmt numFmtId="166" formatCode="[$R$ -416]#,##0.00"/>
    <numFmt numFmtId="167" formatCode="0.000"/>
    <numFmt numFmtId="168" formatCode="#,##0.000"/>
    <numFmt numFmtId="169" formatCode="dd/MM/yyyy"/>
    <numFmt numFmtId="170" formatCode="m/d/yyyy h:mm:ss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00FFFF"/>
      <name val="Arial"/>
      <scheme val="minor"/>
    </font>
    <font>
      <color theme="1"/>
      <name val="Arial"/>
    </font>
    <font>
      <color theme="1"/>
      <name val="Roboto"/>
    </font>
    <font>
      <color rgb="FFFFFFFF"/>
      <name val="Roboto"/>
    </font>
    <font>
      <color rgb="FF434343"/>
      <name val="Roboto"/>
    </font>
    <font>
      <color rgb="FF000000"/>
      <name val="Arial"/>
      <scheme val="minor"/>
    </font>
    <font>
      <color rgb="FF000000"/>
      <name val="Arial"/>
    </font>
    <font>
      <color rgb="FFFFFFFF"/>
      <name val="Arial"/>
    </font>
    <font>
      <sz val="16.0"/>
      <color theme="1"/>
      <name val="Arial"/>
      <scheme val="minor"/>
    </font>
    <font>
      <u/>
      <color rgb="FF0000FF"/>
    </font>
    <font>
      <b/>
      <i/>
      <color rgb="FF434343"/>
      <name val="Roboto"/>
    </font>
    <font>
      <u/>
      <color rgb="FF0000FF"/>
      <name val="Roboto"/>
    </font>
    <font>
      <u/>
      <color rgb="FF434343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356854"/>
      </left>
      <top style="thin">
        <color rgb="FF284E3F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top style="thin">
        <color rgb="FFF6F8F9"/>
      </top>
    </border>
    <border>
      <left style="thin">
        <color rgb="FF356854"/>
      </left>
      <right style="thin">
        <color rgb="FF284E3F"/>
      </right>
      <top style="thin">
        <color rgb="FF284E3F"/>
      </top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4" fontId="3" numFmtId="4" xfId="0" applyAlignment="1" applyFill="1" applyFont="1" applyNumberFormat="1">
      <alignment horizontal="right" vertical="bottom"/>
    </xf>
    <xf borderId="0" fillId="4" fontId="3" numFmtId="10" xfId="0" applyAlignment="1" applyFill="1" applyFont="1" applyNumberFormat="1">
      <alignment horizontal="right" vertical="bottom"/>
    </xf>
    <xf borderId="0" fillId="4" fontId="1" numFmtId="0" xfId="0" applyFill="1" applyFont="1"/>
    <xf borderId="0" fillId="5" fontId="1" numFmtId="10" xfId="0" applyAlignment="1" applyFill="1" applyFont="1" applyNumberFormat="1">
      <alignment readingOrder="0"/>
    </xf>
    <xf borderId="0" fillId="5" fontId="3" numFmtId="10" xfId="0" applyAlignment="1" applyFill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5" fontId="1" numFmtId="4" xfId="0" applyFill="1" applyFont="1" applyNumberFormat="1"/>
    <xf borderId="0" fillId="0" fontId="1" numFmtId="4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10" xfId="0" applyFill="1" applyFont="1" applyNumberFormat="1"/>
    <xf borderId="0" fillId="6" fontId="3" numFmtId="10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7" fontId="3" numFmtId="0" xfId="0" applyAlignment="1" applyFill="1" applyFont="1">
      <alignment vertical="bottom"/>
    </xf>
    <xf borderId="0" fillId="0" fontId="1" numFmtId="4" xfId="0" applyFont="1" applyNumberFormat="1"/>
    <xf borderId="0" fillId="8" fontId="1" numFmtId="0" xfId="0" applyAlignment="1" applyFill="1" applyFont="1">
      <alignment readingOrder="0"/>
    </xf>
    <xf borderId="0" fillId="8" fontId="1" numFmtId="4" xfId="0" applyFill="1" applyFont="1" applyNumberFormat="1"/>
    <xf borderId="0" fillId="8" fontId="3" numFmtId="10" xfId="0" applyAlignment="1" applyFill="1" applyFont="1" applyNumberFormat="1">
      <alignment horizontal="right" vertical="bottom"/>
    </xf>
    <xf borderId="0" fillId="7" fontId="1" numFmtId="0" xfId="0" applyAlignment="1" applyFill="1" applyFont="1">
      <alignment readingOrder="0"/>
    </xf>
    <xf borderId="0" fillId="8" fontId="1" numFmtId="4" xfId="0" applyAlignment="1" applyFill="1" applyFont="1" applyNumberFormat="1">
      <alignment readingOrder="0"/>
    </xf>
    <xf borderId="0" fillId="2" fontId="1" numFmtId="10" xfId="0" applyFill="1" applyFont="1" applyNumberFormat="1"/>
    <xf borderId="0" fillId="2" fontId="3" numFmtId="10" xfId="0" applyAlignment="1" applyFill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9" fontId="1" numFmtId="4" xfId="0" applyAlignment="1" applyFill="1" applyFont="1" applyNumberFormat="1">
      <alignment readingOrder="0"/>
    </xf>
    <xf borderId="0" fillId="9" fontId="3" numFmtId="10" xfId="0" applyAlignment="1" applyFill="1" applyFont="1" applyNumberFormat="1">
      <alignment horizontal="right" vertical="bottom"/>
    </xf>
    <xf borderId="0" fillId="9" fontId="1" numFmtId="0" xfId="0" applyFill="1" applyFont="1"/>
    <xf borderId="0" fillId="10" fontId="1" numFmtId="0" xfId="0" applyAlignment="1" applyFill="1" applyFont="1">
      <alignment readingOrder="0"/>
    </xf>
    <xf borderId="0" fillId="10" fontId="1" numFmtId="10" xfId="0" applyFill="1" applyFont="1" applyNumberFormat="1"/>
    <xf borderId="0" fillId="10" fontId="3" numFmtId="10" xfId="0" applyAlignment="1" applyFill="1" applyFont="1" applyNumberFormat="1">
      <alignment horizontal="right" vertical="bottom"/>
    </xf>
    <xf borderId="0" fillId="5" fontId="3" numFmtId="4" xfId="0" applyAlignment="1" applyFill="1" applyFont="1" applyNumberFormat="1">
      <alignment horizontal="right" vertical="bottom"/>
    </xf>
    <xf borderId="0" fillId="0" fontId="1" numFmtId="10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5" fontId="1" numFmtId="4" xfId="0" applyAlignment="1" applyFill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3" xfId="0" applyAlignment="1" applyFill="1" applyFont="1" applyNumberFormat="1">
      <alignment readingOrder="0"/>
    </xf>
    <xf borderId="0" fillId="5" fontId="1" numFmtId="2" xfId="0" applyFill="1" applyFont="1" applyNumberFormat="1"/>
    <xf borderId="0" fillId="5" fontId="1" numFmtId="167" xfId="0" applyFill="1" applyFont="1" applyNumberFormat="1"/>
    <xf borderId="0" fillId="0" fontId="1" numFmtId="3" xfId="0" applyAlignment="1" applyFont="1" applyNumberFormat="1">
      <alignment readingOrder="0"/>
    </xf>
    <xf borderId="0" fillId="0" fontId="1" numFmtId="2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3" fontId="2" numFmtId="0" xfId="0" applyFill="1" applyFont="1"/>
    <xf borderId="0" fillId="2" fontId="1" numFmtId="0" xfId="0" applyFill="1" applyFont="1"/>
    <xf borderId="0" fillId="2" fontId="3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0" fontId="3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11" fontId="1" numFmtId="0" xfId="0" applyAlignment="1" applyFill="1" applyFont="1">
      <alignment readingOrder="0"/>
    </xf>
    <xf borderId="0" fillId="8" fontId="3" numFmtId="0" xfId="0" applyAlignment="1" applyFill="1" applyFont="1">
      <alignment vertical="bottom"/>
    </xf>
    <xf borderId="0" fillId="8" fontId="3" numFmtId="4" xfId="0" applyAlignment="1" applyFill="1" applyFont="1" applyNumberFormat="1">
      <alignment horizontal="right" vertical="bottom"/>
    </xf>
    <xf borderId="0" fillId="2" fontId="1" numFmtId="10" xfId="0" applyAlignment="1" applyFill="1" applyFont="1" applyNumberFormat="1">
      <alignment readingOrder="0"/>
    </xf>
    <xf borderId="0" fillId="8" fontId="1" numFmtId="10" xfId="0" applyAlignment="1" applyFill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8" fontId="3" numFmtId="0" xfId="0" applyAlignment="1" applyFill="1" applyFont="1">
      <alignment vertical="bottom"/>
    </xf>
    <xf borderId="0" fillId="12" fontId="1" numFmtId="4" xfId="0" applyAlignment="1" applyFill="1" applyFont="1" applyNumberFormat="1">
      <alignment readingOrder="0"/>
    </xf>
    <xf borderId="0" fillId="12" fontId="3" numFmtId="10" xfId="0" applyAlignment="1" applyFill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2" numFmtId="0" xfId="0" applyFont="1"/>
    <xf borderId="0" fillId="5" fontId="3" numFmtId="0" xfId="0" applyAlignment="1" applyFill="1" applyFont="1">
      <alignment readingOrder="0" vertical="bottom"/>
    </xf>
    <xf borderId="0" fillId="5" fontId="1" numFmtId="10" xfId="0" applyFill="1" applyFont="1" applyNumberFormat="1"/>
    <xf borderId="0" fillId="13" fontId="1" numFmtId="0" xfId="0" applyAlignment="1" applyFill="1" applyFont="1">
      <alignment readingOrder="0"/>
    </xf>
    <xf borderId="0" fillId="13" fontId="3" numFmtId="10" xfId="0" applyAlignment="1" applyFill="1" applyFont="1" applyNumberFormat="1">
      <alignment horizontal="right" vertical="bottom"/>
    </xf>
    <xf borderId="0" fillId="0" fontId="1" numFmtId="166" xfId="0" applyAlignment="1" applyFont="1" applyNumberFormat="1">
      <alignment readingOrder="0"/>
    </xf>
    <xf borderId="0" fillId="13" fontId="3" numFmtId="0" xfId="0" applyAlignment="1" applyFill="1" applyFont="1">
      <alignment readingOrder="0" vertical="bottom"/>
    </xf>
    <xf borderId="0" fillId="13" fontId="1" numFmtId="10" xfId="0" applyFill="1" applyFont="1" applyNumberFormat="1"/>
    <xf borderId="0" fillId="2" fontId="1" numFmtId="4" xfId="0" applyFill="1" applyFont="1" applyNumberFormat="1"/>
    <xf borderId="0" fillId="2" fontId="1" numFmtId="4" xfId="0" applyAlignment="1" applyFill="1" applyFont="1" applyNumberFormat="1">
      <alignment readingOrder="0"/>
    </xf>
    <xf borderId="0" fillId="0" fontId="3" numFmtId="10" xfId="0" applyAlignment="1" applyFont="1" applyNumberFormat="1">
      <alignment horizontal="right" readingOrder="0" vertical="bottom"/>
    </xf>
    <xf borderId="0" fillId="12" fontId="1" numFmtId="10" xfId="0" applyAlignment="1" applyFill="1" applyFont="1" applyNumberFormat="1">
      <alignment readingOrder="0"/>
    </xf>
    <xf borderId="0" fillId="12" fontId="3" numFmtId="10" xfId="0" applyAlignment="1" applyFill="1" applyFont="1" applyNumberFormat="1">
      <alignment horizontal="right" readingOrder="0" vertical="bottom"/>
    </xf>
    <xf borderId="0" fillId="0" fontId="3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horizontal="right" readingOrder="0" shrinkToFit="0" wrapText="0"/>
    </xf>
    <xf borderId="0" fillId="0" fontId="1" numFmtId="0" xfId="0" applyAlignment="1" applyFont="1">
      <alignment horizontal="right" readingOrder="0"/>
    </xf>
    <xf borderId="0" fillId="0" fontId="1" numFmtId="166" xfId="0" applyAlignment="1" applyFont="1" applyNumberFormat="1">
      <alignment shrinkToFit="0" vertical="center" wrapText="0"/>
    </xf>
    <xf borderId="1" fillId="14" fontId="5" numFmtId="0" xfId="0" applyAlignment="1" applyBorder="1" applyFill="1" applyFont="1">
      <alignment horizontal="left"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15" fontId="6" numFmtId="2" xfId="0" applyAlignment="1" applyFill="1" applyFont="1" applyNumberFormat="1">
      <alignment shrinkToFit="0" vertical="bottom" wrapText="0"/>
    </xf>
    <xf borderId="2" fillId="16" fontId="6" numFmtId="0" xfId="0" applyAlignment="1" applyBorder="1" applyFill="1" applyFont="1">
      <alignment shrinkToFit="0" vertical="center" wrapText="0"/>
    </xf>
    <xf borderId="3" fillId="16" fontId="6" numFmtId="166" xfId="0" applyAlignment="1" applyBorder="1" applyFill="1" applyFont="1" applyNumberFormat="1">
      <alignment horizontal="right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4" fillId="16" fontId="6" numFmtId="2" xfId="0" applyAlignment="1" applyBorder="1" applyFill="1" applyFont="1" applyNumberFormat="1">
      <alignment horizontal="right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16" fontId="6" numFmtId="166" xfId="0" applyAlignment="1" applyFill="1" applyFont="1" applyNumberFormat="1">
      <alignment horizontal="right" shrinkToFit="0" vertical="center" wrapText="0"/>
    </xf>
    <xf borderId="5" fillId="15" fontId="6" numFmtId="0" xfId="0" applyAlignment="1" applyBorder="1" applyFill="1" applyFont="1">
      <alignment shrinkToFit="0" vertical="center" wrapText="0"/>
    </xf>
    <xf borderId="6" fillId="15" fontId="6" numFmtId="166" xfId="0" applyAlignment="1" applyBorder="1" applyFill="1" applyFont="1" applyNumberFormat="1">
      <alignment horizontal="right" shrinkToFit="0" vertical="center" wrapText="0"/>
    </xf>
    <xf borderId="7" fillId="15" fontId="6" numFmtId="2" xfId="0" applyAlignment="1" applyBorder="1" applyFill="1" applyFont="1" applyNumberFormat="1">
      <alignment horizontal="right" shrinkToFit="0" vertical="center" wrapText="0"/>
    </xf>
    <xf borderId="0" fillId="0" fontId="3" numFmtId="166" xfId="0" applyAlignment="1" applyFont="1" applyNumberFormat="1">
      <alignment vertical="bottom"/>
    </xf>
    <xf borderId="0" fillId="14" fontId="5" numFmtId="0" xfId="0" applyAlignment="1" applyFill="1" applyFont="1">
      <alignment horizontal="left" readingOrder="0" shrinkToFit="0" vertical="center" wrapText="0"/>
    </xf>
    <xf borderId="4" fillId="16" fontId="6" numFmtId="166" xfId="0" applyAlignment="1" applyBorder="1" applyFill="1" applyFont="1" applyNumberFormat="1">
      <alignment horizontal="right" shrinkToFit="0" vertical="center" wrapText="0"/>
    </xf>
    <xf borderId="0" fillId="16" fontId="6" numFmtId="2" xfId="0" applyAlignment="1" applyFill="1" applyFont="1" applyNumberFormat="1">
      <alignment horizontal="right" shrinkToFit="0" vertical="center" wrapText="0"/>
    </xf>
    <xf borderId="5" fillId="16" fontId="6" numFmtId="0" xfId="0" applyAlignment="1" applyBorder="1" applyFill="1" applyFont="1">
      <alignment shrinkToFit="0" vertical="center" wrapText="0"/>
    </xf>
    <xf borderId="7" fillId="16" fontId="6" numFmtId="166" xfId="0" applyAlignment="1" applyBorder="1" applyFill="1" applyFont="1" applyNumberFormat="1">
      <alignment horizontal="right" shrinkToFit="0" vertical="center" wrapText="0"/>
    </xf>
    <xf borderId="2" fillId="15" fontId="6" numFmtId="0" xfId="0" applyAlignment="1" applyBorder="1" applyFill="1" applyFont="1">
      <alignment shrinkToFit="0" vertical="center" wrapText="0"/>
    </xf>
    <xf borderId="8" fillId="16" fontId="6" numFmtId="0" xfId="0" applyAlignment="1" applyBorder="1" applyFill="1" applyFont="1">
      <alignment shrinkToFit="0" vertical="center" wrapText="0"/>
    </xf>
    <xf borderId="9" fillId="16" fontId="6" numFmtId="166" xfId="0" applyAlignment="1" applyBorder="1" applyFill="1" applyFont="1" applyNumberFormat="1">
      <alignment horizontal="right" shrinkToFit="0" vertical="center" wrapText="0"/>
    </xf>
    <xf borderId="4" fillId="15" fontId="6" numFmtId="166" xfId="0" applyAlignment="1" applyBorder="1" applyFill="1" applyFont="1" applyNumberFormat="1">
      <alignment horizontal="right" shrinkToFit="0" vertical="center" wrapText="0"/>
    </xf>
    <xf borderId="0" fillId="15" fontId="6" numFmtId="2" xfId="0" applyAlignment="1" applyFill="1" applyFont="1" applyNumberFormat="1">
      <alignment horizontal="right" shrinkToFit="0" vertical="center" wrapText="0"/>
    </xf>
    <xf borderId="10" fillId="16" fontId="6" numFmtId="2" xfId="0" applyAlignment="1" applyBorder="1" applyFill="1" applyFont="1" applyNumberFormat="1">
      <alignment horizontal="right" shrinkToFit="0" vertical="center" wrapText="0"/>
    </xf>
    <xf borderId="11" fillId="16" fontId="6" numFmtId="0" xfId="0" applyAlignment="1" applyBorder="1" applyFill="1" applyFont="1">
      <alignment readingOrder="0" shrinkToFit="0" vertical="bottom" wrapText="0"/>
    </xf>
    <xf borderId="0" fillId="16" fontId="6" numFmtId="0" xfId="0" applyAlignment="1" applyFill="1" applyFont="1">
      <alignment readingOrder="0" shrinkToFit="0" vertical="center" wrapText="0"/>
    </xf>
    <xf borderId="0" fillId="16" fontId="6" numFmtId="166" xfId="0" applyAlignment="1" applyFill="1" applyFont="1" applyNumberFormat="1">
      <alignment shrinkToFit="0" vertical="center" wrapText="0"/>
    </xf>
    <xf borderId="12" fillId="16" fontId="6" numFmtId="166" xfId="0" applyAlignment="1" applyBorder="1" applyFill="1" applyFont="1" applyNumberFormat="1">
      <alignment shrinkToFit="0" vertical="bottom" wrapText="0"/>
    </xf>
    <xf borderId="0" fillId="16" fontId="6" numFmtId="2" xfId="0" applyAlignment="1" applyFill="1" applyFont="1" applyNumberFormat="1">
      <alignment shrinkToFit="0" vertical="bottom" wrapText="0"/>
    </xf>
    <xf borderId="0" fillId="16" fontId="6" numFmtId="2" xfId="0" applyAlignment="1" applyFill="1" applyFont="1" applyNumberFormat="1">
      <alignment shrinkToFit="0" vertical="center" wrapText="0"/>
    </xf>
    <xf borderId="0" fillId="0" fontId="1" numFmtId="0" xfId="0" applyFont="1"/>
    <xf borderId="0" fillId="17" fontId="1" numFmtId="166" xfId="0" applyAlignment="1" applyFill="1" applyFont="1" applyNumberFormat="1">
      <alignment horizontal="center" readingOrder="0" vertical="center"/>
    </xf>
    <xf borderId="0" fillId="0" fontId="1" numFmtId="169" xfId="0" applyFont="1" applyNumberFormat="1"/>
    <xf borderId="0" fillId="16" fontId="6" numFmtId="0" xfId="0" applyAlignment="1" applyFill="1" applyFont="1">
      <alignment shrinkToFit="0" vertical="center" wrapText="0"/>
    </xf>
    <xf borderId="0" fillId="0" fontId="3" numFmtId="0" xfId="0" applyAlignment="1" applyFont="1">
      <alignment horizontal="right" vertical="bottom"/>
    </xf>
    <xf borderId="0" fillId="18" fontId="3" numFmtId="166" xfId="0" applyAlignment="1" applyFill="1" applyFont="1" applyNumberFormat="1">
      <alignment horizontal="right" vertical="bottom"/>
    </xf>
    <xf borderId="0" fillId="0" fontId="3" numFmtId="2" xfId="0" applyAlignment="1" applyFont="1" applyNumberFormat="1">
      <alignment vertical="bottom"/>
    </xf>
    <xf borderId="0" fillId="5" fontId="3" numFmtId="166" xfId="0" applyAlignment="1" applyFill="1" applyFont="1" applyNumberFormat="1">
      <alignment horizontal="right" vertical="bottom"/>
    </xf>
    <xf borderId="0" fillId="16" fontId="6" numFmtId="166" xfId="0" applyAlignment="1" applyFill="1" applyFont="1" applyNumberFormat="1">
      <alignment horizontal="right" shrinkToFit="0" vertical="center" wrapText="0"/>
    </xf>
    <xf borderId="0" fillId="15" fontId="6" numFmtId="0" xfId="0" applyAlignment="1" applyFill="1" applyFont="1">
      <alignment shrinkToFit="0" vertical="center" wrapText="0"/>
    </xf>
    <xf borderId="0" fillId="15" fontId="6" numFmtId="166" xfId="0" applyAlignment="1" applyFill="1" applyFont="1" applyNumberFormat="1">
      <alignment horizontal="right" shrinkToFit="0" vertical="center" wrapText="0"/>
    </xf>
    <xf borderId="0" fillId="5" fontId="3" numFmtId="10" xfId="0" applyAlignment="1" applyFill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vertical="bottom"/>
    </xf>
    <xf borderId="0" fillId="8" fontId="3" numFmtId="4" xfId="0" applyAlignment="1" applyFill="1" applyFont="1" applyNumberFormat="1">
      <alignment horizontal="right" readingOrder="0" vertical="bottom"/>
    </xf>
    <xf borderId="0" fillId="9" fontId="3" numFmtId="4" xfId="0" applyAlignment="1" applyFill="1" applyFont="1" applyNumberFormat="1">
      <alignment horizontal="right" readingOrder="0" vertical="bottom"/>
    </xf>
    <xf borderId="0" fillId="5" fontId="1" numFmtId="9" xfId="0" applyAlignment="1" applyFill="1" applyFont="1" applyNumberFormat="1">
      <alignment readingOrder="0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19" fontId="1" numFmtId="0" xfId="0" applyAlignment="1" applyFill="1" applyFont="1">
      <alignment readingOrder="0"/>
    </xf>
    <xf borderId="0" fillId="19" fontId="1" numFmtId="4" xfId="0" applyAlignment="1" applyFill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0" fillId="19" fontId="3" numFmtId="10" xfId="0" applyAlignment="1" applyFill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18" fontId="1" numFmtId="0" xfId="0" applyAlignment="1" applyFill="1" applyFont="1">
      <alignment readingOrder="0"/>
    </xf>
    <xf borderId="0" fillId="18" fontId="3" numFmtId="10" xfId="0" applyAlignment="1" applyFill="1" applyFont="1" applyNumberFormat="1">
      <alignment horizontal="right" vertical="bottom"/>
    </xf>
    <xf borderId="0" fillId="5" fontId="3" numFmtId="4" xfId="0" applyAlignment="1" applyFill="1" applyFont="1" applyNumberFormat="1">
      <alignment horizontal="right" readingOrder="0" vertical="bottom"/>
    </xf>
    <xf borderId="0" fillId="5" fontId="3" numFmtId="3" xfId="0" applyAlignment="1" applyFill="1" applyFont="1" applyNumberFormat="1">
      <alignment horizontal="right" vertical="bottom"/>
    </xf>
    <xf borderId="0" fillId="5" fontId="3" numFmtId="3" xfId="0" applyAlignment="1" applyFill="1" applyFont="1" applyNumberFormat="1">
      <alignment horizontal="right" readingOrder="0" vertical="bottom"/>
    </xf>
    <xf borderId="0" fillId="5" fontId="3" numFmtId="2" xfId="0" applyAlignment="1" applyFill="1" applyFont="1" applyNumberFormat="1">
      <alignment horizontal="right" vertical="bottom"/>
    </xf>
    <xf borderId="0" fillId="0" fontId="3" numFmtId="168" xfId="0" applyAlignment="1" applyFont="1" applyNumberFormat="1">
      <alignment horizontal="right" vertical="bottom"/>
    </xf>
    <xf borderId="0" fillId="0" fontId="3" numFmtId="168" xfId="0" applyAlignment="1" applyFont="1" applyNumberFormat="1">
      <alignment horizontal="right" readingOrder="0" vertical="bottom"/>
    </xf>
    <xf borderId="0" fillId="18" fontId="1" numFmtId="10" xfId="0" applyFill="1" applyFont="1" applyNumberFormat="1"/>
    <xf borderId="0" fillId="0" fontId="3" numFmtId="10" xfId="0" applyAlignment="1" applyFont="1" applyNumberFormat="1">
      <alignment vertical="bottom"/>
    </xf>
    <xf borderId="0" fillId="0" fontId="1" numFmtId="167" xfId="0" applyAlignment="1" applyFont="1" applyNumberFormat="1">
      <alignment readingOrder="0"/>
    </xf>
    <xf borderId="0" fillId="11" fontId="3" numFmtId="165" xfId="0" applyAlignment="1" applyFill="1" applyFont="1" applyNumberFormat="1">
      <alignment horizontal="right" readingOrder="0" vertical="bottom"/>
    </xf>
    <xf borderId="0" fillId="11" fontId="3" numFmtId="10" xfId="0" applyAlignment="1" applyFill="1" applyFont="1" applyNumberFormat="1">
      <alignment horizontal="right" vertical="bottom"/>
    </xf>
    <xf borderId="0" fillId="11" fontId="1" numFmtId="0" xfId="0" applyFill="1" applyFont="1"/>
    <xf borderId="0" fillId="11" fontId="1" numFmtId="4" xfId="0" applyFill="1" applyFont="1" applyNumberFormat="1"/>
    <xf borderId="0" fillId="0" fontId="4" numFmtId="4" xfId="0" applyAlignment="1" applyFont="1" applyNumberFormat="1">
      <alignment horizontal="left" readingOrder="0" shrinkToFit="0" vertical="center" wrapText="0"/>
    </xf>
    <xf borderId="0" fillId="8" fontId="1" numFmtId="0" xfId="0" applyFill="1" applyFont="1"/>
    <xf borderId="0" fillId="17" fontId="1" numFmtId="166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wrapText="0"/>
    </xf>
    <xf borderId="0" fillId="16" fontId="6" numFmtId="0" xfId="0" applyAlignment="1" applyFill="1" applyFont="1">
      <alignment readingOrder="0" shrinkToFit="0" vertical="bottom" wrapText="0"/>
    </xf>
    <xf borderId="0" fillId="16" fontId="6" numFmtId="166" xfId="0" applyAlignment="1" applyFill="1" applyFont="1" applyNumberFormat="1">
      <alignment shrinkToFit="0" vertical="bottom" wrapText="0"/>
    </xf>
    <xf borderId="0" fillId="17" fontId="1" numFmtId="166" xfId="0" applyAlignment="1" applyFill="1" applyFont="1" applyNumberFormat="1">
      <alignment horizontal="center" readingOrder="0" shrinkToFit="0" vertical="center" wrapText="0"/>
    </xf>
    <xf borderId="0" fillId="20" fontId="1" numFmtId="0" xfId="0" applyAlignment="1" applyFill="1" applyFont="1">
      <alignment readingOrder="0"/>
    </xf>
    <xf borderId="0" fillId="20" fontId="1" numFmtId="4" xfId="0" applyAlignment="1" applyFill="1" applyFont="1" applyNumberFormat="1">
      <alignment readingOrder="0"/>
    </xf>
    <xf borderId="0" fillId="20" fontId="3" numFmtId="10" xfId="0" applyAlignment="1" applyFill="1" applyFont="1" applyNumberFormat="1">
      <alignment horizontal="right" vertical="bottom"/>
    </xf>
    <xf borderId="0" fillId="21" fontId="1" numFmtId="0" xfId="0" applyAlignment="1" applyFill="1" applyFont="1">
      <alignment readingOrder="0"/>
    </xf>
    <xf borderId="0" fillId="21" fontId="1" numFmtId="10" xfId="0" applyFill="1" applyFont="1" applyNumberFormat="1"/>
    <xf borderId="0" fillId="21" fontId="1" numFmtId="0" xfId="0" applyFill="1" applyFont="1"/>
    <xf borderId="0" fillId="15" fontId="6" numFmtId="0" xfId="0" applyAlignment="1" applyFill="1" applyFont="1">
      <alignment readingOrder="0" shrinkToFit="0" vertical="center" wrapText="0"/>
    </xf>
    <xf borderId="0" fillId="11" fontId="7" numFmtId="0" xfId="0" applyAlignment="1" applyFill="1" applyFont="1">
      <alignment readingOrder="0"/>
    </xf>
    <xf borderId="0" fillId="11" fontId="8" numFmtId="10" xfId="0" applyAlignment="1" applyFill="1" applyFont="1" applyNumberFormat="1">
      <alignment horizontal="right" vertical="bottom"/>
    </xf>
    <xf borderId="0" fillId="11" fontId="8" numFmtId="0" xfId="0" applyAlignment="1" applyFill="1" applyFont="1">
      <alignment horizontal="right" readingOrder="0" vertical="bottom"/>
    </xf>
    <xf borderId="0" fillId="11" fontId="8" numFmtId="0" xfId="0" applyAlignment="1" applyFill="1" applyFont="1">
      <alignment horizontal="right" vertical="bottom"/>
    </xf>
    <xf borderId="0" fillId="0" fontId="9" numFmtId="10" xfId="0" applyAlignment="1" applyFont="1" applyNumberFormat="1">
      <alignment horizontal="right" vertical="bottom"/>
    </xf>
    <xf borderId="0" fillId="21" fontId="3" numFmtId="10" xfId="0" applyAlignment="1" applyFill="1" applyFont="1" applyNumberFormat="1">
      <alignment horizontal="right" vertical="bottom"/>
    </xf>
    <xf borderId="0" fillId="6" fontId="1" numFmtId="4" xfId="0" applyAlignment="1" applyFill="1" applyFont="1" applyNumberFormat="1">
      <alignment readingOrder="0"/>
    </xf>
    <xf borderId="0" fillId="21" fontId="1" numFmtId="4" xfId="0" applyAlignment="1" applyFill="1" applyFont="1" applyNumberFormat="1">
      <alignment readingOrder="0"/>
    </xf>
    <xf borderId="0" fillId="11" fontId="7" numFmtId="4" xfId="0" applyAlignment="1" applyFill="1" applyFont="1" applyNumberFormat="1">
      <alignment readingOrder="0"/>
    </xf>
    <xf borderId="0" fillId="11" fontId="8" numFmtId="4" xfId="0" applyAlignment="1" applyFill="1" applyFont="1" applyNumberFormat="1">
      <alignment horizontal="right" vertical="bottom"/>
    </xf>
    <xf borderId="0" fillId="11" fontId="8" numFmtId="4" xfId="0" applyAlignment="1" applyFill="1" applyFont="1" applyNumberFormat="1">
      <alignment horizontal="right" readingOrder="0" vertical="bottom"/>
    </xf>
    <xf borderId="0" fillId="0" fontId="1" numFmtId="0" xfId="0" applyFont="1"/>
    <xf borderId="0" fillId="15" fontId="6" numFmtId="0" xfId="0" applyAlignment="1" applyFill="1" applyFont="1">
      <alignment readingOrder="0" shrinkToFit="0" vertical="bottom" wrapText="0"/>
    </xf>
    <xf borderId="0" fillId="15" fontId="6" numFmtId="166" xfId="0" applyAlignment="1" applyFill="1" applyFont="1" applyNumberFormat="1">
      <alignment shrinkToFit="0" vertical="bottom" wrapText="0"/>
    </xf>
    <xf borderId="0" fillId="3" fontId="10" numFmtId="0" xfId="0" applyAlignment="1" applyFill="1" applyFont="1">
      <alignment horizontal="center" readingOrder="0"/>
    </xf>
    <xf borderId="0" fillId="4" fontId="1" numFmtId="164" xfId="0" applyAlignment="1" applyFill="1" applyFont="1" applyNumberFormat="1">
      <alignment readingOrder="0"/>
    </xf>
    <xf borderId="0" fillId="4" fontId="11" numFmtId="0" xfId="0" applyFill="1" applyFont="1"/>
    <xf borderId="0" fillId="0" fontId="1" numFmtId="164" xfId="0" applyFont="1" applyNumberFormat="1"/>
    <xf borderId="0" fillId="18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12" fontId="3" numFmtId="4" xfId="0" applyAlignment="1" applyFill="1" applyFont="1" applyNumberFormat="1">
      <alignment horizontal="right" readingOrder="0" vertical="bottom"/>
    </xf>
    <xf borderId="13" fillId="14" fontId="5" numFmtId="0" xfId="0" applyAlignment="1" applyBorder="1" applyFill="1" applyFont="1">
      <alignment horizontal="left" readingOrder="0" shrinkToFit="0" vertical="center" wrapText="0"/>
    </xf>
    <xf borderId="0" fillId="15" fontId="6" numFmtId="166" xfId="0" applyAlignment="1" applyFill="1" applyFont="1" applyNumberFormat="1">
      <alignment shrinkToFit="0" vertical="center" wrapText="0"/>
    </xf>
    <xf borderId="0" fillId="15" fontId="6" numFmtId="2" xfId="0" applyAlignment="1" applyFill="1" applyFont="1" applyNumberFormat="1">
      <alignment shrinkToFit="0" vertical="center" wrapText="0"/>
    </xf>
    <xf borderId="4" fillId="16" fontId="6" numFmtId="166" xfId="0" applyAlignment="1" applyBorder="1" applyFill="1" applyFont="1" applyNumberFormat="1">
      <alignment horizontal="right" shrinkToFit="0" vertical="center" wrapText="0"/>
    </xf>
    <xf borderId="0" fillId="16" fontId="6" numFmtId="4" xfId="0" applyAlignment="1" applyFill="1" applyFont="1" applyNumberFormat="1">
      <alignment horizontal="right" shrinkToFit="0" vertical="center" wrapText="0"/>
    </xf>
    <xf borderId="0" fillId="15" fontId="6" numFmtId="4" xfId="0" applyAlignment="1" applyFill="1" applyFont="1" applyNumberFormat="1">
      <alignment horizontal="right" shrinkToFit="0" vertical="center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2" fontId="12" numFmtId="0" xfId="0" applyAlignment="1" applyFill="1" applyFont="1">
      <alignment shrinkToFit="0" vertical="center" wrapText="0"/>
    </xf>
    <xf borderId="0" fillId="22" fontId="1" numFmtId="0" xfId="0" applyAlignment="1" applyFill="1" applyFont="1">
      <alignment readingOrder="0" shrinkToFit="0" vertical="center" wrapText="0"/>
    </xf>
    <xf borderId="0" fillId="22" fontId="1" numFmtId="0" xfId="0" applyAlignment="1" applyFill="1" applyFont="1">
      <alignment readingOrder="0" shrinkToFit="0" vertical="center" wrapText="0"/>
    </xf>
    <xf borderId="0" fillId="22" fontId="13" numFmtId="49" xfId="0" applyAlignment="1" applyFill="1" applyFont="1" applyNumberFormat="1">
      <alignment readingOrder="0" shrinkToFit="0" vertical="center" wrapText="0"/>
    </xf>
    <xf borderId="0" fillId="22" fontId="14" numFmtId="49" xfId="0" applyAlignment="1" applyFill="1" applyFont="1" applyNumberFormat="1">
      <alignment readingOrder="0" shrinkToFit="0" vertical="center" wrapText="0"/>
    </xf>
    <xf borderId="0" fillId="22" fontId="12" numFmtId="0" xfId="0" applyAlignment="1" applyFill="1" applyFont="1">
      <alignment readingOrder="0" shrinkToFit="0" vertical="center" wrapText="0"/>
    </xf>
    <xf borderId="0" fillId="0" fontId="1" numFmtId="170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70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15">
    <tableStyle count="4" pivot="0" name="HGLG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TLG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PLG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NRI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GRC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CO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GRU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RE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MLL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GBS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XRF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CIP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endá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adore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1733550</xdr:colOff>
      <xdr:row>0</xdr:row>
      <xdr:rowOff>0</xdr:rowOff>
    </xdr:from>
    <xdr:ext cx="5715000" cy="1276350"/>
    <xdr:pic>
      <xdr:nvPicPr>
        <xdr:cNvPr id="140827003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171450</xdr:rowOff>
    </xdr:from>
    <xdr:ext cx="5715000" cy="1276350"/>
    <xdr:pic>
      <xdr:nvPicPr>
        <xdr:cNvPr id="1221595576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84:L90" displayName="KNRI11" name="KNRI11" id="1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KNRI11-style" showColumnStripes="0" showFirstColumn="1" showLastColumn="1" showRowStripes="1"/>
</table>
</file>

<file path=xl/tables/table2.xml><?xml version="1.0" encoding="utf-8"?>
<table xmlns="http://schemas.openxmlformats.org/spreadsheetml/2006/main" ref="D87:L93" displayName="BTLG11" name="BTLG11" id="4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BTLG11-style" showColumnStripes="0" showFirstColumn="1" showLastColumn="1" showRowStripes="1"/>
</table>
</file>

<file path=xl/tables/table3.xml><?xml version="1.0" encoding="utf-8"?>
<table xmlns="http://schemas.openxmlformats.org/spreadsheetml/2006/main" ref="D90:L96" displayName="XPLG11" name="XPLG11" id="2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XPLG11-style" showColumnStripes="0" showFirstColumn="1" showLastColumn="1" showRowStripes="1"/>
</table>
</file>

<file path=xl/tables/table4.xml><?xml version="1.0" encoding="utf-8"?>
<table xmlns="http://schemas.openxmlformats.org/spreadsheetml/2006/main" ref="D93:L100" displayName="HGLG11" name="HGLG11" id="3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HGLG11-style" showColumnStripes="0" showFirstColumn="1" showLastColumn="1" showRowStripes="1"/>
</table>
</file>

<file path=xl/tables/table5.xml><?xml version="1.0" encoding="utf-8"?>
<table xmlns="http://schemas.openxmlformats.org/spreadsheetml/2006/main" ref="D89:L95" displayName="GGRC11" name="GGRC11" id="5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GGRC11-style" showColumnStripes="0" showFirstColumn="1" showLastColumn="1" showRowStripes="1"/>
</table>
</file>

<file path=xl/tables/table6.xml><?xml version="1.0" encoding="utf-8"?>
<table xmlns="http://schemas.openxmlformats.org/spreadsheetml/2006/main" ref="D94:L100" displayName="BRCO11" name="BRCO11" id="6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BRCO11-style" showColumnStripes="0" showFirstColumn="1" showLastColumn="1" showRowStripes="1"/>
</table>
</file>

<file path=xl/tables/table7.xml><?xml version="1.0" encoding="utf-8"?>
<table xmlns="http://schemas.openxmlformats.org/spreadsheetml/2006/main" ref="D84:L86" displayName="HGRU11" name="HGRU11" id="7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HGRU11-style" showColumnStripes="0" showFirstColumn="1" showLastColumn="1" showRowStripes="1"/>
</table>
</file>

<file path=xl/tables/table8.xml><?xml version="1.0" encoding="utf-8"?>
<table xmlns="http://schemas.openxmlformats.org/spreadsheetml/2006/main" ref="D92:L94" displayName="GARE11" name="GARE11" id="8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GARE11-style" showColumnStripes="0" showFirstColumn="1" showLastColumn="1" showRowStripes="1"/>
</table>
</file>

<file path=xl/tables/table9.xml><?xml version="1.0" encoding="utf-8"?>
<table xmlns="http://schemas.openxmlformats.org/spreadsheetml/2006/main" ref="D83:L85" displayName="PMLL11" name="PMLL11" id="9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PMLL11-style" showColumnStripes="0" showFirstColumn="1" showLastColumn="1" showRowStripes="1"/>
</table>
</file>

<file path=xl/tables/table10.xml><?xml version="1.0" encoding="utf-8"?>
<table xmlns="http://schemas.openxmlformats.org/spreadsheetml/2006/main" ref="D92:L94" displayName="HGBS11" name="HGBS11" id="10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HGBS11-style" showColumnStripes="0" showFirstColumn="1" showLastColumn="1" showRowStripes="1"/>
</table>
</file>

<file path=xl/tables/table11.xml><?xml version="1.0" encoding="utf-8"?>
<table xmlns="http://schemas.openxmlformats.org/spreadsheetml/2006/main" ref="D74:L76" displayName="MXRF11" name="MXRF11" id="11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MXRF11-style" showColumnStripes="0" showFirstColumn="1" showLastColumn="1" showRowStripes="1"/>
</table>
</file>

<file path=xl/tables/table12.xml><?xml version="1.0" encoding="utf-8"?>
<table xmlns="http://schemas.openxmlformats.org/spreadsheetml/2006/main" ref="D77:L84" displayName="RBRR11" name="RBRR11" id="12">
  <tableColumns count="9">
    <tableColumn name="Ticker" id="1"/>
    <tableColumn name="Valor" id="2"/>
    <tableColumn name="VP/Cota" id="3"/>
    <tableColumn name="P/VP" id="4"/>
    <tableColumn name="P/VP_Justo" id="5"/>
    <tableColumn name="Justo" id="6"/>
    <tableColumn name="FFO_Yield" id="7"/>
    <tableColumn name="DIV_Yield" id="8"/>
    <tableColumn name="Volume_medio" id="9"/>
  </tableColumns>
  <tableStyleInfo name="PCIP11-style" showColumnStripes="0" showFirstColumn="1" showLastColumn="1" showRowStripes="1"/>
</table>
</file>

<file path=xl/tables/table13.xml><?xml version="1.0" encoding="utf-8"?>
<table xmlns="http://schemas.openxmlformats.org/spreadsheetml/2006/main" ref="B2:E15" displayName="FCD" name="FCD" id="14">
  <tableColumns count="4">
    <tableColumn name="FIIs" id="1"/>
    <tableColumn name="Preço_Justo" id="2"/>
    <tableColumn name="VP/Cota" id="3"/>
    <tableColumn name="V/Mercado" id="4"/>
  </tableColumns>
  <tableStyleInfo name="Indicadores-style" showColumnStripes="0" showFirstColumn="1" showLastColumn="1" showRowStripes="1"/>
</table>
</file>

<file path=xl/tables/table14.xml><?xml version="1.0" encoding="utf-8"?>
<table xmlns="http://schemas.openxmlformats.org/spreadsheetml/2006/main" ref="A23:Q39" displayName="Indicador_Fii" name="Indicador_Fii" id="15">
  <tableColumns count="17">
    <tableColumn name="Fii" id="1"/>
    <tableColumn name="VP/Cota" id="2"/>
    <tableColumn name="FFO_Yield" id="3"/>
    <tableColumn name="DIV_Yield" id="4"/>
    <tableColumn name="Patrimonio" id="5"/>
    <tableColumn name="Patrimonio_Liq" id="6"/>
    <tableColumn name="Receita_3m" id="7"/>
    <tableColumn name="Venda_de_ativos_3m" id="8"/>
    <tableColumn name="FFO_3m" id="9"/>
    <tableColumn name="Rend_Distribuído_3m" id="10"/>
    <tableColumn name="Rend_Distribuído_12m" id="11"/>
    <tableColumn name="Cap_Rate" id="12"/>
    <tableColumn name="Vacância_Média" id="13"/>
    <tableColumn name="Qtd_imóveis" id="14"/>
    <tableColumn name="Qtd_unidades" id="15"/>
    <tableColumn name="Qtd_Cotas" id="16"/>
    <tableColumn name="Doc" id="17"/>
  </tableColumns>
  <tableStyleInfo name="Indicadores-style 2" showColumnStripes="0" showFirstColumn="1" showLastColumn="1" showRowStripes="1"/>
</table>
</file>

<file path=xl/tables/table15.xml><?xml version="1.0" encoding="utf-8"?>
<table xmlns="http://schemas.openxmlformats.org/spreadsheetml/2006/main" ref="G10:J22" displayName="Visto" name="Visto" id="13">
  <tableColumns count="4">
    <tableColumn name="FII" id="1"/>
    <tableColumn name="Relatorio Gerencial" id="2"/>
    <tableColumn name="Informe Mensal" id="3"/>
    <tableColumn name="Status" id="4"/>
  </tableColumns>
  <tableStyleInfo name="Calend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86E8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Relationship Id="rId5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Relationship Id="rId5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Relationship Id="rId5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Relationship Id="rId5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Relationship Id="rId5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.xml"/><Relationship Id="rId11" Type="http://schemas.openxmlformats.org/officeDocument/2006/relationships/hyperlink" Target="https://fnet.bmfbovespa.com.br/fnet/publico/abrirGerenciadorDocumentosCVM?cnpjFundo=28729197000113" TargetMode="External"/><Relationship Id="rId10" Type="http://schemas.openxmlformats.org/officeDocument/2006/relationships/hyperlink" Target="https://fnet.bmfbovespa.com.br/fnet/publico/abrirGerenciadorDocumentosCVM?cnpjFundo=97521225000125" TargetMode="External"/><Relationship Id="rId21" Type="http://schemas.openxmlformats.org/officeDocument/2006/relationships/table" Target="../tables/table14.xml"/><Relationship Id="rId13" Type="http://schemas.openxmlformats.org/officeDocument/2006/relationships/hyperlink" Target="https://fnet.bmfbovespa.com.br/fnet/publico/abrirGerenciadorDocumentosCVM?cnpjFundo=29467977000103" TargetMode="External"/><Relationship Id="rId12" Type="http://schemas.openxmlformats.org/officeDocument/2006/relationships/hyperlink" Target="https://fnet.bmfbovespa.com.br/fnet/publico/abrirGerenciadorDocumentosCVM?cnpjFundo=26499833000132" TargetMode="External"/><Relationship Id="rId1" Type="http://schemas.openxmlformats.org/officeDocument/2006/relationships/hyperlink" Target="https://fnet.bmfbovespa.com.br/fnet/publico/abrirGerenciadorDocumentosCVM?cnpjFundo=20748515000181" TargetMode="External"/><Relationship Id="rId2" Type="http://schemas.openxmlformats.org/officeDocument/2006/relationships/hyperlink" Target="https://fnet.bmfbovespa.com.br/fnet/publico/abrirGerenciadorDocumentosCVM?cnpjFundo=11839593000109" TargetMode="External"/><Relationship Id="rId3" Type="http://schemas.openxmlformats.org/officeDocument/2006/relationships/hyperlink" Target="https://fnet.bmfbovespa.com.br/fnet/publico/abrirGerenciadorDocumentosCVM?cnpjFundo=37295919000160" TargetMode="External"/><Relationship Id="rId4" Type="http://schemas.openxmlformats.org/officeDocument/2006/relationships/hyperlink" Target="https://fnet.bmfbovespa.com.br/fnet/publico/abrirGerenciadorDocumentosCVM?cnpjFundo=26614291000100" TargetMode="External"/><Relationship Id="rId9" Type="http://schemas.openxmlformats.org/officeDocument/2006/relationships/hyperlink" Target="https://fnet.bmfbovespa.com.br/fnet/publico/abrirGerenciadorDocumentosCVM?cnpjFundo=30629603000118" TargetMode="External"/><Relationship Id="rId15" Type="http://schemas.openxmlformats.org/officeDocument/2006/relationships/hyperlink" Target="https://fnet.bmfbovespa.com.br/fnet/publico/abrirGerenciadorDocumentosCVM?cnpjFundo=32400250000105" TargetMode="External"/><Relationship Id="rId14" Type="http://schemas.openxmlformats.org/officeDocument/2006/relationships/hyperlink" Target="https://fnet.bmfbovespa.com.br/fnet/publico/abrirGerenciadorDocumentosCVM?cnpjFundo=42502842000191" TargetMode="External"/><Relationship Id="rId17" Type="http://schemas.openxmlformats.org/officeDocument/2006/relationships/drawing" Target="../drawings/drawing13.xml"/><Relationship Id="rId16" Type="http://schemas.openxmlformats.org/officeDocument/2006/relationships/hyperlink" Target="https://fnet.bmfbovespa.com.br/fnet/publico/abrirGerenciadorDocumentosCVM?cnpjFundo=26502794000185" TargetMode="External"/><Relationship Id="rId5" Type="http://schemas.openxmlformats.org/officeDocument/2006/relationships/hyperlink" Target="https://fnet.bmfbovespa.com.br/fnet/publico/abrirGerenciadorDocumentosCVM?cnpjFundo=08431747000106" TargetMode="External"/><Relationship Id="rId6" Type="http://schemas.openxmlformats.org/officeDocument/2006/relationships/hyperlink" Target="https://fnet.bmfbovespa.com.br/fnet/publico/abrirGerenciadorDocumentosCVM?cnpjFundo=11728688000147" TargetMode="External"/><Relationship Id="rId7" Type="http://schemas.openxmlformats.org/officeDocument/2006/relationships/hyperlink" Target="https://fnet.bmfbovespa.com.br/fnet/publico/abrirGerenciadorDocumentosCVM?cnpjFundo=29641226000153" TargetMode="External"/><Relationship Id="rId8" Type="http://schemas.openxmlformats.org/officeDocument/2006/relationships/hyperlink" Target="https://fnet.bmfbovespa.com.br/fnet/publico/abrirGerenciadorDocumentosCVM?cnpjFundo=12005956000165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3" width="15.25"/>
    <col customWidth="1" min="4" max="4" width="17.88"/>
    <col customWidth="1" min="5" max="5" width="16.25"/>
    <col customWidth="1" min="6" max="6" width="15.5"/>
    <col customWidth="1" min="7" max="7" width="17.75"/>
    <col customWidth="1" min="8" max="8" width="19.0"/>
    <col customWidth="1" min="9" max="9" width="16.13"/>
    <col customWidth="1" min="10" max="10" width="16.63"/>
    <col customWidth="1" min="11" max="11" width="16.0"/>
    <col customWidth="1" min="12" max="12" width="16.88"/>
    <col customWidth="1" min="13" max="13" width="16.5"/>
    <col customWidth="1" min="14" max="14" width="15.13"/>
    <col customWidth="1" min="15" max="15" width="15.38"/>
    <col customWidth="1" min="16" max="16" width="17.13"/>
    <col customWidth="1" min="17" max="17" width="15.63"/>
    <col customWidth="1" min="18" max="18" width="17.13"/>
    <col customWidth="1" min="19" max="19" width="15.5"/>
    <col customWidth="1" min="20" max="20" width="17.38"/>
    <col customWidth="1" min="21" max="21" width="15.13"/>
    <col customWidth="1" min="22" max="22" width="16.38"/>
    <col customWidth="1" min="23" max="23" width="15.38"/>
    <col customWidth="1" min="24" max="24" width="17.38"/>
    <col customWidth="1" min="25" max="25" width="15.63"/>
  </cols>
  <sheetData>
    <row r="1">
      <c r="A1" s="1" t="s">
        <v>0</v>
      </c>
      <c r="B1" s="2" t="s">
        <v>1</v>
      </c>
      <c r="C1" s="3">
        <v>46027.0</v>
      </c>
      <c r="D1" s="2" t="s">
        <v>1</v>
      </c>
      <c r="E1" s="3">
        <v>46056.0</v>
      </c>
      <c r="F1" s="2" t="s">
        <v>1</v>
      </c>
      <c r="G1" s="3">
        <v>46083.0</v>
      </c>
      <c r="H1" s="2" t="s">
        <v>1</v>
      </c>
      <c r="I1" s="3">
        <v>46113.0</v>
      </c>
      <c r="J1" s="2" t="s">
        <v>1</v>
      </c>
      <c r="K1" s="3">
        <v>46147.0</v>
      </c>
      <c r="L1" s="2" t="s">
        <v>1</v>
      </c>
      <c r="M1" s="3">
        <v>46174.0</v>
      </c>
      <c r="N1" s="2" t="s">
        <v>1</v>
      </c>
      <c r="O1" s="3">
        <v>46205.0</v>
      </c>
      <c r="P1" s="2" t="s">
        <v>2</v>
      </c>
      <c r="Q1" s="3">
        <v>46238.0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4" t="s">
        <v>4</v>
      </c>
      <c r="B2" s="4" t="s">
        <v>5</v>
      </c>
      <c r="D2" s="5" t="s">
        <v>6</v>
      </c>
      <c r="E2" s="6"/>
      <c r="F2" s="5" t="s">
        <v>7</v>
      </c>
      <c r="G2" s="6"/>
      <c r="H2" s="5" t="s">
        <v>8</v>
      </c>
      <c r="I2" s="6"/>
      <c r="J2" s="5" t="s">
        <v>9</v>
      </c>
      <c r="K2" s="6"/>
      <c r="L2" s="5" t="s">
        <v>10</v>
      </c>
      <c r="M2" s="6"/>
      <c r="N2" s="5" t="s">
        <v>11</v>
      </c>
      <c r="O2" s="6"/>
      <c r="P2" s="4" t="s">
        <v>12</v>
      </c>
      <c r="R2" s="4" t="s">
        <v>13</v>
      </c>
      <c r="T2" s="4" t="s">
        <v>14</v>
      </c>
      <c r="V2" s="4" t="s">
        <v>15</v>
      </c>
      <c r="X2" s="4" t="s">
        <v>16</v>
      </c>
    </row>
    <row r="3">
      <c r="A3" s="7" t="s">
        <v>17</v>
      </c>
      <c r="B3" s="8">
        <f>SUM(B6,B9,B11,B13,B15)</f>
        <v>55854284</v>
      </c>
      <c r="C3" s="9">
        <f t="shared" ref="C3:C18" si="1">IFERROR(SUM((D3/B3)-1),0)</f>
        <v>0.3683125183</v>
      </c>
      <c r="D3" s="8">
        <f>SUM(D6,D9,D11,D13,D15)</f>
        <v>76426116</v>
      </c>
      <c r="E3" s="9">
        <f t="shared" ref="E3:E18" si="2">IFERROR(SUM((F3/D3)-1),0)</f>
        <v>-0.6153161702</v>
      </c>
      <c r="F3" s="8">
        <f>SUM(F6,F9,F11,F13,F15)</f>
        <v>29399891</v>
      </c>
      <c r="G3" s="9">
        <f t="shared" ref="G3:G18" si="3">IFERROR(SUM((H3/F3)-1),0)</f>
        <v>0.1093614599</v>
      </c>
      <c r="H3" s="8">
        <f>SUM(H6,H9,H11,H13,H15)</f>
        <v>32615106</v>
      </c>
      <c r="I3" s="9">
        <f t="shared" ref="I3:I18" si="4">IFERROR(SUM((J3/H3)-1),0)</f>
        <v>-0.0843866336</v>
      </c>
      <c r="J3" s="8">
        <f>SUM(J6,J9,J11,J13,J15)</f>
        <v>29862827</v>
      </c>
      <c r="K3" s="9">
        <f t="shared" ref="K3:K18" si="5">IFERROR(SUM((L3/J3)-1),0)</f>
        <v>0.02634462571</v>
      </c>
      <c r="L3" s="8">
        <f>SUM(L6,L9,L11,L13,L15)</f>
        <v>30649552</v>
      </c>
      <c r="M3" s="9">
        <f t="shared" ref="M3:M18" si="6">IFERROR(SUM((N3/L3)-1),0)</f>
        <v>-0.00216890609</v>
      </c>
      <c r="N3" s="8">
        <f>SUM(N6,N9,N11,N13,N15)</f>
        <v>30583076</v>
      </c>
      <c r="O3" s="9">
        <f t="shared" ref="O3:O18" si="7">IFERROR(SUM((P3/N3)-1),0)</f>
        <v>0.6658680441</v>
      </c>
      <c r="P3" s="8">
        <f>SUM(P6,P9,P11,P13,P15)</f>
        <v>50947369</v>
      </c>
      <c r="Q3" s="9">
        <f t="shared" ref="Q3:Q18" si="8">IFERROR(SUM((R3/P3)-1),0)</f>
        <v>-0.3598274722</v>
      </c>
      <c r="R3" s="8">
        <f>SUM(R6,R9,R11,R13,R15)</f>
        <v>32615106</v>
      </c>
      <c r="S3" s="9">
        <f t="shared" ref="S3:S18" si="9">IFERROR(SUM((T3/R3)-1),0)</f>
        <v>0</v>
      </c>
      <c r="T3" s="8">
        <f>SUM(T6,T9,T11,T13,T15)</f>
        <v>32615106</v>
      </c>
      <c r="U3" s="9">
        <f t="shared" ref="U3:U18" si="10">IFERROR(SUM((V3/T3)-1),0)</f>
        <v>0</v>
      </c>
      <c r="V3" s="8">
        <f>SUM(V6,V9,V11,V13,V15)</f>
        <v>32615106</v>
      </c>
      <c r="W3" s="9">
        <f t="shared" ref="W3:W18" si="11">IFERROR(SUM((X3/V3)-1),0)</f>
        <v>0</v>
      </c>
      <c r="X3" s="8">
        <f>SUM(X6,X9,X11,X13,X15)</f>
        <v>32615106</v>
      </c>
      <c r="Y3" s="10"/>
      <c r="Z3" s="10"/>
    </row>
    <row r="4">
      <c r="A4" s="1" t="s">
        <v>18</v>
      </c>
      <c r="B4" s="11">
        <v>0.0387</v>
      </c>
      <c r="C4" s="12">
        <f t="shared" si="1"/>
        <v>0.1111111111</v>
      </c>
      <c r="D4" s="11">
        <v>0.043</v>
      </c>
      <c r="E4" s="12">
        <f t="shared" si="2"/>
        <v>-0.02325581395</v>
      </c>
      <c r="F4" s="11">
        <v>0.042</v>
      </c>
      <c r="G4" s="12">
        <f t="shared" si="3"/>
        <v>0</v>
      </c>
      <c r="H4" s="11">
        <v>0.042</v>
      </c>
      <c r="I4" s="12">
        <f t="shared" si="4"/>
        <v>0</v>
      </c>
      <c r="J4" s="11">
        <v>0.042</v>
      </c>
      <c r="K4" s="12">
        <f t="shared" si="5"/>
        <v>-0.02619047619</v>
      </c>
      <c r="L4" s="11">
        <v>0.0409</v>
      </c>
      <c r="M4" s="12">
        <f t="shared" si="6"/>
        <v>-0.04645476773</v>
      </c>
      <c r="N4" s="11">
        <v>0.039</v>
      </c>
      <c r="O4" s="12">
        <f t="shared" si="7"/>
        <v>0.01282051282</v>
      </c>
      <c r="P4" s="11">
        <v>0.0395</v>
      </c>
      <c r="Q4" s="12">
        <f t="shared" si="8"/>
        <v>0.06329113924</v>
      </c>
      <c r="R4" s="11">
        <v>0.042</v>
      </c>
      <c r="S4" s="12">
        <f t="shared" si="9"/>
        <v>0</v>
      </c>
      <c r="T4" s="11">
        <v>0.042</v>
      </c>
      <c r="U4" s="12">
        <f t="shared" si="10"/>
        <v>0</v>
      </c>
      <c r="V4" s="11">
        <v>0.042</v>
      </c>
      <c r="W4" s="12">
        <f t="shared" si="11"/>
        <v>0</v>
      </c>
      <c r="X4" s="11">
        <v>0.042</v>
      </c>
      <c r="Y4" s="13"/>
    </row>
    <row r="5">
      <c r="A5" s="1" t="s">
        <v>19</v>
      </c>
      <c r="B5" s="14">
        <f>B6/(1-B4)</f>
        <v>31372306.25</v>
      </c>
      <c r="C5" s="12">
        <f t="shared" si="1"/>
        <v>-0.2808085021</v>
      </c>
      <c r="D5" s="14">
        <f>D6/(1-D4)</f>
        <v>22562695.92</v>
      </c>
      <c r="E5" s="12">
        <f t="shared" si="2"/>
        <v>0.1102324956</v>
      </c>
      <c r="F5" s="14">
        <f>F6/(1-F4)</f>
        <v>25049838.2</v>
      </c>
      <c r="G5" s="12">
        <f t="shared" si="3"/>
        <v>0.1241794177</v>
      </c>
      <c r="H5" s="14">
        <f>H6/(1-H4)</f>
        <v>28160512.53</v>
      </c>
      <c r="I5" s="12">
        <f t="shared" si="4"/>
        <v>-0.07195924378</v>
      </c>
      <c r="J5" s="14">
        <f>J6/(1-J4)</f>
        <v>26134103.34</v>
      </c>
      <c r="K5" s="12">
        <f t="shared" si="5"/>
        <v>-0.008368788549</v>
      </c>
      <c r="L5" s="14">
        <f>L6/(1-L4)</f>
        <v>25915392.56</v>
      </c>
      <c r="M5" s="12">
        <f t="shared" si="6"/>
        <v>-0.01024844007</v>
      </c>
      <c r="N5" s="14">
        <f>N6/(1-N4)</f>
        <v>25649800.21</v>
      </c>
      <c r="O5" s="12">
        <f t="shared" si="7"/>
        <v>0.06596501614</v>
      </c>
      <c r="P5" s="14">
        <f>P6/(1-P4)</f>
        <v>27341789.69</v>
      </c>
      <c r="Q5" s="12">
        <f t="shared" si="8"/>
        <v>0.02994401034</v>
      </c>
      <c r="R5" s="14">
        <f>R6/(1-R4)</f>
        <v>28160512.53</v>
      </c>
      <c r="S5" s="12">
        <f t="shared" si="9"/>
        <v>0</v>
      </c>
      <c r="T5" s="14">
        <f>T6/(1-T4)</f>
        <v>28160512.53</v>
      </c>
      <c r="U5" s="12">
        <f t="shared" si="10"/>
        <v>0</v>
      </c>
      <c r="V5" s="14">
        <f>V6/(1-V4)</f>
        <v>28160512.53</v>
      </c>
      <c r="W5" s="12">
        <f t="shared" si="11"/>
        <v>0</v>
      </c>
      <c r="X5" s="14">
        <f>X6/(1-X4)</f>
        <v>28160512.53</v>
      </c>
      <c r="Y5" s="13"/>
    </row>
    <row r="6">
      <c r="A6" s="4" t="s">
        <v>20</v>
      </c>
      <c r="B6" s="15">
        <v>3.0158198E7</v>
      </c>
      <c r="C6" s="13">
        <f t="shared" si="1"/>
        <v>-0.2840255243</v>
      </c>
      <c r="D6" s="15">
        <v>2.15925E7</v>
      </c>
      <c r="E6" s="13">
        <f t="shared" si="2"/>
        <v>0.1113926132</v>
      </c>
      <c r="F6" s="15">
        <v>2.3997745E7</v>
      </c>
      <c r="G6" s="13">
        <f t="shared" si="3"/>
        <v>0.1241794177</v>
      </c>
      <c r="H6" s="15">
        <v>2.6977771E7</v>
      </c>
      <c r="I6" s="13">
        <f t="shared" si="4"/>
        <v>-0.07195924378</v>
      </c>
      <c r="J6" s="15">
        <v>2.5036471E7</v>
      </c>
      <c r="K6" s="13">
        <f t="shared" si="5"/>
        <v>-0.007230172335</v>
      </c>
      <c r="L6" s="15">
        <v>2.4855453E7</v>
      </c>
      <c r="M6" s="13">
        <f t="shared" si="6"/>
        <v>-0.008287718594</v>
      </c>
      <c r="N6" s="15">
        <v>2.4649458E7</v>
      </c>
      <c r="O6" s="13">
        <f t="shared" si="7"/>
        <v>0.06541040375</v>
      </c>
      <c r="P6" s="15">
        <v>2.6261789E7</v>
      </c>
      <c r="Q6" s="13">
        <f t="shared" si="8"/>
        <v>0.0272632607</v>
      </c>
      <c r="R6" s="15">
        <v>2.6977771E7</v>
      </c>
      <c r="S6" s="13">
        <f t="shared" si="9"/>
        <v>0</v>
      </c>
      <c r="T6" s="15">
        <v>2.6977771E7</v>
      </c>
      <c r="U6" s="13">
        <f t="shared" si="10"/>
        <v>0</v>
      </c>
      <c r="V6" s="15">
        <v>2.6977771E7</v>
      </c>
      <c r="W6" s="13">
        <f t="shared" si="11"/>
        <v>0</v>
      </c>
      <c r="X6" s="15">
        <v>2.6977771E7</v>
      </c>
      <c r="Y6" s="13"/>
    </row>
    <row r="7">
      <c r="A7" s="16" t="s">
        <v>21</v>
      </c>
      <c r="B7" s="17">
        <f>B6/B3</f>
        <v>0.5399442234</v>
      </c>
      <c r="C7" s="18">
        <f t="shared" si="1"/>
        <v>-0.4767463821</v>
      </c>
      <c r="D7" s="17">
        <f>D6/D3</f>
        <v>0.2825277684</v>
      </c>
      <c r="E7" s="18">
        <f t="shared" si="2"/>
        <v>1.889106656</v>
      </c>
      <c r="F7" s="17">
        <f>F6/F3</f>
        <v>0.8162528562</v>
      </c>
      <c r="G7" s="18">
        <f t="shared" si="3"/>
        <v>0.01335719542</v>
      </c>
      <c r="H7" s="17">
        <f>H6/H3</f>
        <v>0.8271557051</v>
      </c>
      <c r="I7" s="18">
        <f t="shared" si="4"/>
        <v>0.01357274837</v>
      </c>
      <c r="J7" s="17">
        <f>J6/J3</f>
        <v>0.8383824813</v>
      </c>
      <c r="K7" s="18">
        <f t="shared" si="5"/>
        <v>-0.03271298666</v>
      </c>
      <c r="L7" s="17">
        <f>L6/L3</f>
        <v>0.8109564864</v>
      </c>
      <c r="M7" s="18">
        <f t="shared" si="6"/>
        <v>-0.00613211248</v>
      </c>
      <c r="N7" s="17">
        <f>N6/N3</f>
        <v>0.80598361</v>
      </c>
      <c r="O7" s="18">
        <f t="shared" si="7"/>
        <v>-0.360447301</v>
      </c>
      <c r="P7" s="17">
        <f>P6/P3</f>
        <v>0.5154689931</v>
      </c>
      <c r="Q7" s="18">
        <f t="shared" si="8"/>
        <v>0.6046662673</v>
      </c>
      <c r="R7" s="17">
        <f>R6/R3</f>
        <v>0.8271557051</v>
      </c>
      <c r="S7" s="18">
        <f t="shared" si="9"/>
        <v>0</v>
      </c>
      <c r="T7" s="17">
        <f>T6/T3</f>
        <v>0.8271557051</v>
      </c>
      <c r="U7" s="18">
        <f t="shared" si="10"/>
        <v>0</v>
      </c>
      <c r="V7" s="17">
        <f>V6/V3</f>
        <v>0.8271557051</v>
      </c>
      <c r="W7" s="18">
        <f t="shared" si="11"/>
        <v>0</v>
      </c>
      <c r="X7" s="17">
        <f>X6/X3</f>
        <v>0.8271557051</v>
      </c>
      <c r="Y7" s="13"/>
    </row>
    <row r="8">
      <c r="A8" s="1" t="s">
        <v>22</v>
      </c>
      <c r="B8" s="14">
        <f>B5-B6</f>
        <v>1214108.252</v>
      </c>
      <c r="C8" s="12">
        <f t="shared" si="1"/>
        <v>-0.2008983357</v>
      </c>
      <c r="D8" s="14">
        <f>D5-D6</f>
        <v>970195.9248</v>
      </c>
      <c r="E8" s="12">
        <f t="shared" si="2"/>
        <v>0.08441313526</v>
      </c>
      <c r="F8" s="14">
        <f>F5-F6</f>
        <v>1052093.205</v>
      </c>
      <c r="G8" s="12">
        <f t="shared" si="3"/>
        <v>0.1241794177</v>
      </c>
      <c r="H8" s="14">
        <f>H5-H6</f>
        <v>1182741.526</v>
      </c>
      <c r="I8" s="12">
        <f t="shared" si="4"/>
        <v>-0.07195924378</v>
      </c>
      <c r="J8" s="14">
        <f>J5-J6</f>
        <v>1097632.34</v>
      </c>
      <c r="K8" s="12">
        <f t="shared" si="5"/>
        <v>-0.03434008218</v>
      </c>
      <c r="L8" s="14">
        <f>L5-L6</f>
        <v>1059939.556</v>
      </c>
      <c r="M8" s="12">
        <f t="shared" si="6"/>
        <v>-0.05622711889</v>
      </c>
      <c r="N8" s="14">
        <f>N5-N6</f>
        <v>1000342.208</v>
      </c>
      <c r="O8" s="12">
        <f t="shared" si="7"/>
        <v>0.0796312343</v>
      </c>
      <c r="P8" s="14">
        <f>P5-P6</f>
        <v>1080000.693</v>
      </c>
      <c r="Q8" s="12">
        <f t="shared" si="8"/>
        <v>0.09513034011</v>
      </c>
      <c r="R8" s="14">
        <f>R5-R6</f>
        <v>1182741.526</v>
      </c>
      <c r="S8" s="12">
        <f t="shared" si="9"/>
        <v>0</v>
      </c>
      <c r="T8" s="14">
        <f>T5-T6</f>
        <v>1182741.526</v>
      </c>
      <c r="U8" s="12">
        <f t="shared" si="10"/>
        <v>0</v>
      </c>
      <c r="V8" s="14">
        <f>V5-V6</f>
        <v>1182741.526</v>
      </c>
      <c r="W8" s="12">
        <f t="shared" si="11"/>
        <v>0</v>
      </c>
      <c r="X8" s="14">
        <f>X5-X6</f>
        <v>1182741.526</v>
      </c>
      <c r="Y8" s="13"/>
    </row>
    <row r="9">
      <c r="A9" s="4" t="s">
        <v>26</v>
      </c>
      <c r="B9" s="15">
        <v>2.0027424E7</v>
      </c>
      <c r="C9" s="13">
        <f t="shared" si="1"/>
        <v>1.427136111</v>
      </c>
      <c r="D9" s="15">
        <v>4.8609284E7</v>
      </c>
      <c r="E9" s="13">
        <f t="shared" si="2"/>
        <v>-0.9670801364</v>
      </c>
      <c r="F9" s="15">
        <v>1600211.0</v>
      </c>
      <c r="G9" s="13">
        <f t="shared" si="3"/>
        <v>0.03086467972</v>
      </c>
      <c r="H9" s="15">
        <v>1649601.0</v>
      </c>
      <c r="I9" s="13">
        <f t="shared" si="4"/>
        <v>0.1172028872</v>
      </c>
      <c r="J9" s="15">
        <v>1842939.0</v>
      </c>
      <c r="K9" s="13">
        <f t="shared" si="5"/>
        <v>0.2350506446</v>
      </c>
      <c r="L9" s="15">
        <v>2276123.0</v>
      </c>
      <c r="M9" s="13">
        <f t="shared" si="6"/>
        <v>0.1023784743</v>
      </c>
      <c r="N9" s="15">
        <v>2509149.0</v>
      </c>
      <c r="O9" s="13">
        <f t="shared" si="7"/>
        <v>6.589385485</v>
      </c>
      <c r="P9" s="15">
        <v>1.9042899E7</v>
      </c>
      <c r="Q9" s="13">
        <f t="shared" si="8"/>
        <v>-0.9133744815</v>
      </c>
      <c r="R9" s="15">
        <v>1649601.0</v>
      </c>
      <c r="S9" s="13">
        <f t="shared" si="9"/>
        <v>0</v>
      </c>
      <c r="T9" s="15">
        <v>1649601.0</v>
      </c>
      <c r="U9" s="13">
        <f t="shared" si="10"/>
        <v>0</v>
      </c>
      <c r="V9" s="15">
        <v>1649601.0</v>
      </c>
      <c r="W9" s="13">
        <f t="shared" si="11"/>
        <v>0</v>
      </c>
      <c r="X9" s="15">
        <v>1649601.0</v>
      </c>
    </row>
    <row r="10">
      <c r="A10" s="16" t="s">
        <v>24</v>
      </c>
      <c r="B10" s="17">
        <f>B9/B3</f>
        <v>0.3585655847</v>
      </c>
      <c r="C10" s="18">
        <f t="shared" si="1"/>
        <v>0.7738170765</v>
      </c>
      <c r="D10" s="17">
        <f>D9/D3</f>
        <v>0.6360297572</v>
      </c>
      <c r="E10" s="18">
        <f t="shared" si="2"/>
        <v>-0.9144235835</v>
      </c>
      <c r="F10" s="17">
        <f>F9/F3</f>
        <v>0.05442914737</v>
      </c>
      <c r="G10" s="18">
        <f t="shared" si="3"/>
        <v>-0.07075852461</v>
      </c>
      <c r="H10" s="17">
        <f>H9/H3</f>
        <v>0.05057782121</v>
      </c>
      <c r="I10" s="18">
        <f t="shared" si="4"/>
        <v>0.220168827</v>
      </c>
      <c r="J10" s="17">
        <f>J9/J3</f>
        <v>0.06171348078</v>
      </c>
      <c r="K10" s="18">
        <f t="shared" si="5"/>
        <v>0.2033488691</v>
      </c>
      <c r="L10" s="17">
        <f>L9/L3</f>
        <v>0.0742628473</v>
      </c>
      <c r="M10" s="18">
        <f t="shared" si="6"/>
        <v>0.1047746267</v>
      </c>
      <c r="N10" s="17">
        <f>N9/N3</f>
        <v>0.0820437094</v>
      </c>
      <c r="O10" s="18">
        <f t="shared" si="7"/>
        <v>3.555814316</v>
      </c>
      <c r="P10" s="17">
        <f>P9/P3</f>
        <v>0.3737759059</v>
      </c>
      <c r="Q10" s="18">
        <f t="shared" si="8"/>
        <v>-0.8646841051</v>
      </c>
      <c r="R10" s="17">
        <f>R9/R3</f>
        <v>0.05057782121</v>
      </c>
      <c r="S10" s="18">
        <f t="shared" si="9"/>
        <v>0</v>
      </c>
      <c r="T10" s="17">
        <f>T9/T3</f>
        <v>0.05057782121</v>
      </c>
      <c r="U10" s="18">
        <f t="shared" si="10"/>
        <v>0</v>
      </c>
      <c r="V10" s="17">
        <f>V9/V3</f>
        <v>0.05057782121</v>
      </c>
      <c r="W10" s="18">
        <f t="shared" si="11"/>
        <v>0</v>
      </c>
      <c r="X10" s="17">
        <f>X9/X3</f>
        <v>0.05057782121</v>
      </c>
    </row>
    <row r="11">
      <c r="A11" s="4" t="s">
        <v>33</v>
      </c>
      <c r="B11" s="15">
        <v>2526716.0</v>
      </c>
      <c r="C11" s="13">
        <f t="shared" si="1"/>
        <v>0</v>
      </c>
      <c r="D11" s="15">
        <v>2526716.0</v>
      </c>
      <c r="E11" s="13">
        <f t="shared" si="2"/>
        <v>0</v>
      </c>
      <c r="F11" s="15">
        <v>2526716.0</v>
      </c>
      <c r="G11" s="13">
        <f t="shared" si="3"/>
        <v>0</v>
      </c>
      <c r="H11" s="15">
        <v>2526716.0</v>
      </c>
      <c r="I11" s="13">
        <f t="shared" si="4"/>
        <v>0</v>
      </c>
      <c r="J11" s="15">
        <v>2526716.0</v>
      </c>
      <c r="K11" s="13">
        <f t="shared" si="5"/>
        <v>0</v>
      </c>
      <c r="L11" s="15">
        <v>2526716.0</v>
      </c>
      <c r="M11" s="13">
        <f t="shared" si="6"/>
        <v>0</v>
      </c>
      <c r="N11" s="15">
        <v>2526716.0</v>
      </c>
      <c r="O11" s="13">
        <f t="shared" si="7"/>
        <v>0</v>
      </c>
      <c r="P11" s="15">
        <v>2526716.0</v>
      </c>
      <c r="Q11" s="13">
        <f t="shared" si="8"/>
        <v>0</v>
      </c>
      <c r="R11" s="15">
        <v>2526716.0</v>
      </c>
      <c r="S11" s="13">
        <f t="shared" si="9"/>
        <v>0</v>
      </c>
      <c r="T11" s="15">
        <v>2526716.0</v>
      </c>
      <c r="U11" s="13">
        <f t="shared" si="10"/>
        <v>0</v>
      </c>
      <c r="V11" s="15">
        <v>2526716.0</v>
      </c>
      <c r="W11" s="13">
        <f t="shared" si="11"/>
        <v>0</v>
      </c>
      <c r="X11" s="15">
        <v>2526716.0</v>
      </c>
    </row>
    <row r="12">
      <c r="A12" s="16" t="s">
        <v>35</v>
      </c>
      <c r="B12" s="17">
        <f>B11/B3</f>
        <v>0.04523764014</v>
      </c>
      <c r="C12" s="18">
        <f t="shared" si="1"/>
        <v>-0.2691728048</v>
      </c>
      <c r="D12" s="17">
        <f>D11/D3</f>
        <v>0.03306089766</v>
      </c>
      <c r="E12" s="18">
        <f t="shared" si="2"/>
        <v>1.599537393</v>
      </c>
      <c r="F12" s="17">
        <f>F11/F3</f>
        <v>0.08594303972</v>
      </c>
      <c r="G12" s="18">
        <f t="shared" si="3"/>
        <v>-0.09858054731</v>
      </c>
      <c r="H12" s="17">
        <f>H11/H3</f>
        <v>0.07747072783</v>
      </c>
      <c r="I12" s="18">
        <f t="shared" si="4"/>
        <v>0.0921640473</v>
      </c>
      <c r="J12" s="17">
        <f>J11/J3</f>
        <v>0.08461074365</v>
      </c>
      <c r="K12" s="18">
        <f t="shared" si="5"/>
        <v>-0.02566840129</v>
      </c>
      <c r="L12" s="17">
        <f>L11/L3</f>
        <v>0.08243892113</v>
      </c>
      <c r="M12" s="18">
        <f t="shared" si="6"/>
        <v>0.002173620469</v>
      </c>
      <c r="N12" s="17">
        <f>N11/N3</f>
        <v>0.08261811206</v>
      </c>
      <c r="O12" s="18">
        <f t="shared" si="7"/>
        <v>-0.3997123581</v>
      </c>
      <c r="P12" s="17">
        <f>P11/P3</f>
        <v>0.04959463167</v>
      </c>
      <c r="Q12" s="18">
        <f t="shared" si="8"/>
        <v>0.5620789029</v>
      </c>
      <c r="R12" s="17">
        <f>R11/R3</f>
        <v>0.07747072783</v>
      </c>
      <c r="S12" s="18">
        <f t="shared" si="9"/>
        <v>0</v>
      </c>
      <c r="T12" s="17">
        <f>T11/T3</f>
        <v>0.07747072783</v>
      </c>
      <c r="U12" s="18">
        <f t="shared" si="10"/>
        <v>0</v>
      </c>
      <c r="V12" s="17">
        <f>V11/V3</f>
        <v>0.07747072783</v>
      </c>
      <c r="W12" s="18">
        <f t="shared" si="11"/>
        <v>0</v>
      </c>
      <c r="X12" s="17">
        <f>X11/X3</f>
        <v>0.07747072783</v>
      </c>
    </row>
    <row r="13">
      <c r="A13" s="4" t="s">
        <v>41</v>
      </c>
      <c r="B13" s="15">
        <v>3141946.0</v>
      </c>
      <c r="C13" s="13">
        <f t="shared" si="1"/>
        <v>0.1768553629</v>
      </c>
      <c r="D13" s="15">
        <v>3697616.0</v>
      </c>
      <c r="E13" s="13">
        <f t="shared" si="2"/>
        <v>-0.6551240042</v>
      </c>
      <c r="F13" s="15">
        <v>1275219.0</v>
      </c>
      <c r="G13" s="13">
        <f t="shared" si="3"/>
        <v>0.1456996798</v>
      </c>
      <c r="H13" s="15">
        <v>1461018.0</v>
      </c>
      <c r="I13" s="13">
        <f t="shared" si="4"/>
        <v>-0.6874090531</v>
      </c>
      <c r="J13" s="15">
        <v>456701.0</v>
      </c>
      <c r="K13" s="13">
        <f t="shared" si="5"/>
        <v>1.170479154</v>
      </c>
      <c r="L13" s="15">
        <v>991260.0</v>
      </c>
      <c r="M13" s="13">
        <f t="shared" si="6"/>
        <v>-0.09433145693</v>
      </c>
      <c r="N13" s="15">
        <v>897753.0</v>
      </c>
      <c r="O13" s="13">
        <f t="shared" si="7"/>
        <v>2.470848886</v>
      </c>
      <c r="P13" s="15">
        <v>3115965.0</v>
      </c>
      <c r="Q13" s="13">
        <f t="shared" si="8"/>
        <v>-0.5311186101</v>
      </c>
      <c r="R13" s="15">
        <v>1461018.0</v>
      </c>
      <c r="S13" s="13">
        <f t="shared" si="9"/>
        <v>0</v>
      </c>
      <c r="T13" s="15">
        <v>1461018.0</v>
      </c>
      <c r="U13" s="13">
        <f t="shared" si="10"/>
        <v>0</v>
      </c>
      <c r="V13" s="15">
        <v>1461018.0</v>
      </c>
      <c r="W13" s="13">
        <f t="shared" si="11"/>
        <v>0</v>
      </c>
      <c r="X13" s="15">
        <v>1461018.0</v>
      </c>
    </row>
    <row r="14">
      <c r="A14" s="16" t="s">
        <v>34</v>
      </c>
      <c r="B14" s="17">
        <f>B13/B3</f>
        <v>0.05625255173</v>
      </c>
      <c r="C14" s="18">
        <f t="shared" si="1"/>
        <v>-0.1399220959</v>
      </c>
      <c r="D14" s="17">
        <f>D13/D3</f>
        <v>0.04838157679</v>
      </c>
      <c r="E14" s="18">
        <f t="shared" si="2"/>
        <v>-0.1034819531</v>
      </c>
      <c r="F14" s="17">
        <f>F13/F3</f>
        <v>0.04337495673</v>
      </c>
      <c r="G14" s="18">
        <f t="shared" si="3"/>
        <v>0.03275597833</v>
      </c>
      <c r="H14" s="17">
        <f>H13/H3</f>
        <v>0.04479574587</v>
      </c>
      <c r="I14" s="18">
        <f t="shared" si="4"/>
        <v>-0.6585994063</v>
      </c>
      <c r="J14" s="17">
        <f>J13/J3</f>
        <v>0.01529329424</v>
      </c>
      <c r="K14" s="18">
        <f t="shared" si="5"/>
        <v>1.114766424</v>
      </c>
      <c r="L14" s="17">
        <f>L13/L3</f>
        <v>0.03234174516</v>
      </c>
      <c r="M14" s="18">
        <f t="shared" si="6"/>
        <v>-0.09236287725</v>
      </c>
      <c r="N14" s="17">
        <f>N13/N3</f>
        <v>0.02935456852</v>
      </c>
      <c r="O14" s="18">
        <f t="shared" si="7"/>
        <v>1.083507693</v>
      </c>
      <c r="P14" s="17">
        <f>P13/P3</f>
        <v>0.06116046935</v>
      </c>
      <c r="Q14" s="18">
        <f t="shared" si="8"/>
        <v>-0.2675702729</v>
      </c>
      <c r="R14" s="17">
        <f>R13/R3</f>
        <v>0.04479574587</v>
      </c>
      <c r="S14" s="18">
        <f t="shared" si="9"/>
        <v>0</v>
      </c>
      <c r="T14" s="17">
        <f>T13/T3</f>
        <v>0.04479574587</v>
      </c>
      <c r="U14" s="18">
        <f t="shared" si="10"/>
        <v>0</v>
      </c>
      <c r="V14" s="17">
        <f>V13/V3</f>
        <v>0.04479574587</v>
      </c>
      <c r="W14" s="18">
        <f t="shared" si="11"/>
        <v>0</v>
      </c>
      <c r="X14" s="17">
        <f>X13/X3</f>
        <v>0.04479574587</v>
      </c>
    </row>
    <row r="15">
      <c r="A15" s="4" t="s">
        <v>45</v>
      </c>
      <c r="B15" s="15">
        <v>0.0</v>
      </c>
      <c r="C15" s="13">
        <f t="shared" si="1"/>
        <v>0</v>
      </c>
      <c r="D15" s="15">
        <v>0.0</v>
      </c>
      <c r="E15" s="13">
        <f t="shared" si="2"/>
        <v>0</v>
      </c>
      <c r="F15" s="15">
        <v>0.0</v>
      </c>
      <c r="G15" s="13">
        <f t="shared" si="3"/>
        <v>0</v>
      </c>
      <c r="H15" s="15">
        <v>0.0</v>
      </c>
      <c r="I15" s="13">
        <f t="shared" si="4"/>
        <v>0</v>
      </c>
      <c r="J15" s="15">
        <v>0.0</v>
      </c>
      <c r="K15" s="13">
        <f t="shared" si="5"/>
        <v>0</v>
      </c>
      <c r="L15" s="15">
        <v>0.0</v>
      </c>
      <c r="M15" s="13">
        <f t="shared" si="6"/>
        <v>0</v>
      </c>
      <c r="N15" s="15">
        <v>0.0</v>
      </c>
      <c r="O15" s="13">
        <f t="shared" si="7"/>
        <v>0</v>
      </c>
      <c r="P15" s="15">
        <v>0.0</v>
      </c>
      <c r="Q15" s="13">
        <f t="shared" si="8"/>
        <v>0</v>
      </c>
      <c r="R15" s="15">
        <v>0.0</v>
      </c>
      <c r="S15" s="13">
        <f t="shared" si="9"/>
        <v>0</v>
      </c>
      <c r="T15" s="15">
        <v>0.0</v>
      </c>
      <c r="U15" s="13">
        <f t="shared" si="10"/>
        <v>0</v>
      </c>
      <c r="V15" s="15">
        <v>0.0</v>
      </c>
      <c r="W15" s="13">
        <f t="shared" si="11"/>
        <v>0</v>
      </c>
      <c r="X15" s="15">
        <v>0.0</v>
      </c>
    </row>
    <row r="16">
      <c r="A16" s="16" t="s">
        <v>47</v>
      </c>
      <c r="B16" s="17">
        <f>B15/B3</f>
        <v>0</v>
      </c>
      <c r="C16" s="18">
        <f t="shared" si="1"/>
        <v>0</v>
      </c>
      <c r="D16" s="17">
        <f>D15/D3</f>
        <v>0</v>
      </c>
      <c r="E16" s="18">
        <f t="shared" si="2"/>
        <v>0</v>
      </c>
      <c r="F16" s="17">
        <f>F15/F3</f>
        <v>0</v>
      </c>
      <c r="G16" s="18">
        <f t="shared" si="3"/>
        <v>0</v>
      </c>
      <c r="H16" s="17">
        <f>H15/H3</f>
        <v>0</v>
      </c>
      <c r="I16" s="18">
        <f t="shared" si="4"/>
        <v>0</v>
      </c>
      <c r="J16" s="17">
        <f>J15/J3</f>
        <v>0</v>
      </c>
      <c r="K16" s="18">
        <f t="shared" si="5"/>
        <v>0</v>
      </c>
      <c r="L16" s="17">
        <f>L15/L3</f>
        <v>0</v>
      </c>
      <c r="M16" s="18">
        <f t="shared" si="6"/>
        <v>0</v>
      </c>
      <c r="N16" s="17">
        <f>N15/N3</f>
        <v>0</v>
      </c>
      <c r="O16" s="18">
        <f t="shared" si="7"/>
        <v>0</v>
      </c>
      <c r="P16" s="17">
        <f>P15/P3</f>
        <v>0</v>
      </c>
      <c r="Q16" s="18">
        <f t="shared" si="8"/>
        <v>0</v>
      </c>
      <c r="R16" s="17">
        <f>R15/R3</f>
        <v>0</v>
      </c>
      <c r="S16" s="18">
        <f t="shared" si="9"/>
        <v>0</v>
      </c>
      <c r="T16" s="17">
        <f>T15/T3</f>
        <v>0</v>
      </c>
      <c r="U16" s="18">
        <f t="shared" si="10"/>
        <v>0</v>
      </c>
      <c r="V16" s="17">
        <f>V15/V3</f>
        <v>0</v>
      </c>
      <c r="W16" s="18">
        <f t="shared" si="11"/>
        <v>0</v>
      </c>
      <c r="X16" s="17">
        <f>X15/X3</f>
        <v>0</v>
      </c>
    </row>
    <row r="17">
      <c r="A17" s="1" t="s">
        <v>36</v>
      </c>
      <c r="B17" s="24">
        <f>B9</f>
        <v>20027424</v>
      </c>
      <c r="C17" s="13">
        <f t="shared" si="1"/>
        <v>1.427136111</v>
      </c>
      <c r="D17" s="24">
        <f>D9</f>
        <v>48609284</v>
      </c>
      <c r="E17" s="13">
        <f t="shared" si="2"/>
        <v>-0.9670801364</v>
      </c>
      <c r="F17" s="24">
        <f>F9</f>
        <v>1600211</v>
      </c>
      <c r="G17" s="13">
        <f t="shared" si="3"/>
        <v>0.03086467972</v>
      </c>
      <c r="H17" s="24">
        <f>H9</f>
        <v>1649601</v>
      </c>
      <c r="I17" s="13">
        <f t="shared" si="4"/>
        <v>0.1172028872</v>
      </c>
      <c r="J17" s="24">
        <f>J9</f>
        <v>1842939</v>
      </c>
      <c r="K17" s="13">
        <f t="shared" si="5"/>
        <v>0.2350506446</v>
      </c>
      <c r="L17" s="24">
        <f>L9</f>
        <v>2276123</v>
      </c>
      <c r="M17" s="13">
        <f t="shared" si="6"/>
        <v>0.1023784743</v>
      </c>
      <c r="N17" s="24">
        <f>N9</f>
        <v>2509149</v>
      </c>
      <c r="O17" s="13">
        <f t="shared" si="7"/>
        <v>6.589385485</v>
      </c>
      <c r="P17" s="24">
        <f>P9</f>
        <v>19042899</v>
      </c>
      <c r="Q17" s="13">
        <f t="shared" si="8"/>
        <v>-0.9133744815</v>
      </c>
      <c r="R17" s="24">
        <f>R9</f>
        <v>1649601</v>
      </c>
      <c r="S17" s="13">
        <f t="shared" si="9"/>
        <v>0</v>
      </c>
      <c r="T17" s="24">
        <f>T9</f>
        <v>1649601</v>
      </c>
      <c r="U17" s="13">
        <f t="shared" si="10"/>
        <v>0</v>
      </c>
      <c r="V17" s="24">
        <f>V9</f>
        <v>1649601</v>
      </c>
      <c r="W17" s="13">
        <f t="shared" si="11"/>
        <v>0</v>
      </c>
      <c r="X17" s="24">
        <f>X9</f>
        <v>1649601</v>
      </c>
    </row>
    <row r="18">
      <c r="A18" s="28" t="s">
        <v>39</v>
      </c>
      <c r="B18" s="24">
        <f>B3-ABS(B17)</f>
        <v>35826860</v>
      </c>
      <c r="C18" s="13">
        <f t="shared" si="1"/>
        <v>-0.2235760544</v>
      </c>
      <c r="D18" s="24">
        <f>D3-ABS(D17)</f>
        <v>27816832</v>
      </c>
      <c r="E18" s="13">
        <f t="shared" si="2"/>
        <v>-0.0006166050829</v>
      </c>
      <c r="F18" s="24">
        <f>F3-ABS(F17)</f>
        <v>27799680</v>
      </c>
      <c r="G18" s="13">
        <f t="shared" si="3"/>
        <v>0.113879908</v>
      </c>
      <c r="H18" s="24">
        <f>H3-ABS(H17)</f>
        <v>30965505</v>
      </c>
      <c r="I18" s="13">
        <f t="shared" si="4"/>
        <v>-0.09512575364</v>
      </c>
      <c r="J18" s="24">
        <f>J3-ABS(J17)</f>
        <v>28019888</v>
      </c>
      <c r="K18" s="13">
        <f t="shared" si="5"/>
        <v>0.01261750225</v>
      </c>
      <c r="L18" s="24">
        <f>L3-ABS(L17)</f>
        <v>28373429</v>
      </c>
      <c r="M18" s="13">
        <f t="shared" si="6"/>
        <v>-0.01055572099</v>
      </c>
      <c r="N18" s="24">
        <f>N3-ABS(N17)</f>
        <v>28073927</v>
      </c>
      <c r="O18" s="13">
        <f t="shared" si="7"/>
        <v>0.1364448586</v>
      </c>
      <c r="P18" s="24">
        <f>P3-ABS(P17)</f>
        <v>31904470</v>
      </c>
      <c r="Q18" s="13">
        <f t="shared" si="8"/>
        <v>-0.02943051554</v>
      </c>
      <c r="R18" s="24">
        <f>R3-ABS(R17)</f>
        <v>30965505</v>
      </c>
      <c r="S18" s="13">
        <f t="shared" si="9"/>
        <v>0</v>
      </c>
      <c r="T18" s="24">
        <f>T3-ABS(T17)</f>
        <v>30965505</v>
      </c>
      <c r="U18" s="13">
        <f t="shared" si="10"/>
        <v>0</v>
      </c>
      <c r="V18" s="24">
        <f>V3-ABS(V17)</f>
        <v>30965505</v>
      </c>
      <c r="W18" s="13">
        <f t="shared" si="11"/>
        <v>0</v>
      </c>
      <c r="X18" s="24">
        <f>X3-ABS(X17)</f>
        <v>30965505</v>
      </c>
    </row>
    <row r="20">
      <c r="A20" s="25" t="s">
        <v>44</v>
      </c>
      <c r="B20" s="26">
        <f>SUM(B21,B22,B24)</f>
        <v>7517475</v>
      </c>
      <c r="C20" s="27">
        <f t="shared" ref="C20:C39" si="12">IFERROR(SUM((D20/B20)-1),0)</f>
        <v>-0.3188529393</v>
      </c>
      <c r="D20" s="26">
        <f>SUM(D21,D22,D24)</f>
        <v>5120506</v>
      </c>
      <c r="E20" s="27">
        <f t="shared" ref="E20:E39" si="13">IFERROR(SUM((F20/D20)-1),0)</f>
        <v>0.01078428577</v>
      </c>
      <c r="F20" s="26">
        <f>SUM(F21,F22,F24)</f>
        <v>5175727</v>
      </c>
      <c r="G20" s="27">
        <f t="shared" ref="G20:G39" si="14">IFERROR(SUM((H20/F20)-1),0)</f>
        <v>-0.002878436208</v>
      </c>
      <c r="H20" s="26">
        <f>SUM(H21,H22,H24)</f>
        <v>5160829</v>
      </c>
      <c r="I20" s="27">
        <f t="shared" ref="I20:I39" si="15">IFERROR(SUM((J20/H20)-1),0)</f>
        <v>0.1644683441</v>
      </c>
      <c r="J20" s="26">
        <f>SUM(J21,J22,J24)</f>
        <v>6009622</v>
      </c>
      <c r="K20" s="27">
        <f t="shared" ref="K20:K39" si="16">IFERROR(SUM((L20/J20)-1),0)</f>
        <v>-0.1136351005</v>
      </c>
      <c r="L20" s="26">
        <f>SUM(L21,L22,L24)</f>
        <v>5326718</v>
      </c>
      <c r="M20" s="27">
        <f t="shared" ref="M20:M39" si="17">IFERROR(SUM((N20/L20)-1),0)</f>
        <v>0.2196466943</v>
      </c>
      <c r="N20" s="26">
        <f>SUM(N21,N22,N24)</f>
        <v>6496714</v>
      </c>
      <c r="O20" s="27">
        <f t="shared" ref="O20:O39" si="18">IFERROR(SUM((P20/N20)-1),0)</f>
        <v>-0.1277034821</v>
      </c>
      <c r="P20" s="26">
        <f>SUM(P21,P22,P24)</f>
        <v>5667061</v>
      </c>
      <c r="Q20" s="27">
        <f t="shared" ref="Q20:Q39" si="19">IFERROR(SUM((R20/P20)-1),0)</f>
        <v>-0.08932884259</v>
      </c>
      <c r="R20" s="26">
        <f>SUM(R21,R22,R24)</f>
        <v>5160829</v>
      </c>
      <c r="S20" s="27">
        <f t="shared" ref="S20:S39" si="20">IFERROR(SUM((T20/R20)-1),0)</f>
        <v>0</v>
      </c>
      <c r="T20" s="26">
        <f>SUM(T21,T22,T24)</f>
        <v>5160829</v>
      </c>
      <c r="U20" s="27">
        <f t="shared" ref="U20:U39" si="21">IFERROR(SUM((V20/T20)-1),0)</f>
        <v>0</v>
      </c>
      <c r="V20" s="26">
        <f>SUM(V21,V22,V24)</f>
        <v>5160829</v>
      </c>
      <c r="W20" s="27">
        <f t="shared" ref="W20:W39" si="22">IFERROR(SUM((X20/V20)-1),0)</f>
        <v>0</v>
      </c>
      <c r="X20" s="26">
        <f>SUM(X21,X22,X24)</f>
        <v>5160829</v>
      </c>
    </row>
    <row r="21">
      <c r="A21" s="4" t="s">
        <v>48</v>
      </c>
      <c r="B21" s="15">
        <v>4053076.0</v>
      </c>
      <c r="C21" s="13">
        <f t="shared" si="12"/>
        <v>-0.7601888047</v>
      </c>
      <c r="D21" s="15">
        <v>971973.0</v>
      </c>
      <c r="E21" s="13">
        <f t="shared" si="13"/>
        <v>0.03052245278</v>
      </c>
      <c r="F21" s="15">
        <v>1001640.0</v>
      </c>
      <c r="G21" s="13">
        <f t="shared" si="14"/>
        <v>0.4727327183</v>
      </c>
      <c r="H21" s="15">
        <v>1475148.0</v>
      </c>
      <c r="I21" s="13">
        <f t="shared" si="15"/>
        <v>0.005711291342</v>
      </c>
      <c r="J21" s="15">
        <v>1483573.0</v>
      </c>
      <c r="K21" s="13">
        <f t="shared" si="16"/>
        <v>-0.225507609</v>
      </c>
      <c r="L21" s="15">
        <v>1149016.0</v>
      </c>
      <c r="M21" s="13">
        <f t="shared" si="17"/>
        <v>1.144695113</v>
      </c>
      <c r="N21" s="15">
        <v>2464289.0</v>
      </c>
      <c r="O21" s="13">
        <f t="shared" si="18"/>
        <v>-0.3197871678</v>
      </c>
      <c r="P21" s="15">
        <v>1676241.0</v>
      </c>
      <c r="Q21" s="13">
        <f t="shared" si="19"/>
        <v>-0.1199666396</v>
      </c>
      <c r="R21" s="15">
        <v>1475148.0</v>
      </c>
      <c r="S21" s="13">
        <f t="shared" si="20"/>
        <v>0</v>
      </c>
      <c r="T21" s="15">
        <v>1475148.0</v>
      </c>
      <c r="U21" s="13">
        <f t="shared" si="21"/>
        <v>0</v>
      </c>
      <c r="V21" s="15">
        <v>1475148.0</v>
      </c>
      <c r="W21" s="13">
        <f t="shared" si="22"/>
        <v>0</v>
      </c>
      <c r="X21" s="15">
        <v>1475148.0</v>
      </c>
    </row>
    <row r="22">
      <c r="A22" s="25" t="s">
        <v>49</v>
      </c>
      <c r="B22" s="15">
        <v>0.0</v>
      </c>
      <c r="C22" s="13">
        <f t="shared" si="12"/>
        <v>0</v>
      </c>
      <c r="D22" s="15">
        <v>0.0</v>
      </c>
      <c r="E22" s="13">
        <f t="shared" si="13"/>
        <v>0</v>
      </c>
      <c r="F22" s="15">
        <v>0.0</v>
      </c>
      <c r="G22" s="13">
        <f t="shared" si="14"/>
        <v>0</v>
      </c>
      <c r="H22" s="15">
        <v>0.0</v>
      </c>
      <c r="I22" s="13">
        <f t="shared" si="15"/>
        <v>0</v>
      </c>
      <c r="J22" s="15">
        <v>0.0</v>
      </c>
      <c r="K22" s="13">
        <f t="shared" si="16"/>
        <v>0</v>
      </c>
      <c r="L22" s="15">
        <v>0.0</v>
      </c>
      <c r="M22" s="13">
        <f t="shared" si="17"/>
        <v>0</v>
      </c>
      <c r="N22" s="15">
        <v>0.0</v>
      </c>
      <c r="O22" s="13">
        <f t="shared" si="18"/>
        <v>0</v>
      </c>
      <c r="P22" s="15">
        <v>0.0</v>
      </c>
      <c r="Q22" s="13">
        <f t="shared" si="19"/>
        <v>0</v>
      </c>
      <c r="R22" s="15">
        <v>0.0</v>
      </c>
      <c r="S22" s="13">
        <f t="shared" si="20"/>
        <v>0</v>
      </c>
      <c r="T22" s="15">
        <v>0.0</v>
      </c>
      <c r="U22" s="13">
        <f t="shared" si="21"/>
        <v>0</v>
      </c>
      <c r="V22" s="15">
        <v>0.0</v>
      </c>
      <c r="W22" s="13">
        <f t="shared" si="22"/>
        <v>0</v>
      </c>
      <c r="X22" s="15">
        <v>0.0</v>
      </c>
    </row>
    <row r="23">
      <c r="A23" s="1" t="s">
        <v>50</v>
      </c>
      <c r="B23" s="30">
        <f>B22/B3</f>
        <v>0</v>
      </c>
      <c r="C23" s="31">
        <f t="shared" si="12"/>
        <v>0</v>
      </c>
      <c r="D23" s="30">
        <f>D22/D3</f>
        <v>0</v>
      </c>
      <c r="E23" s="31">
        <f t="shared" si="13"/>
        <v>0</v>
      </c>
      <c r="F23" s="30">
        <f>F22/F3</f>
        <v>0</v>
      </c>
      <c r="G23" s="31">
        <f t="shared" si="14"/>
        <v>0</v>
      </c>
      <c r="H23" s="30">
        <f>H22/H3</f>
        <v>0</v>
      </c>
      <c r="I23" s="31">
        <f t="shared" si="15"/>
        <v>0</v>
      </c>
      <c r="J23" s="30">
        <f>J22/J3</f>
        <v>0</v>
      </c>
      <c r="K23" s="31">
        <f t="shared" si="16"/>
        <v>0</v>
      </c>
      <c r="L23" s="30">
        <f>L22/L3</f>
        <v>0</v>
      </c>
      <c r="M23" s="31">
        <f t="shared" si="17"/>
        <v>0</v>
      </c>
      <c r="N23" s="30">
        <f>N22/N3</f>
        <v>0</v>
      </c>
      <c r="O23" s="31">
        <f t="shared" si="18"/>
        <v>0</v>
      </c>
      <c r="P23" s="30">
        <f>P22/P3</f>
        <v>0</v>
      </c>
      <c r="Q23" s="31">
        <f t="shared" si="19"/>
        <v>0</v>
      </c>
      <c r="R23" s="30">
        <f>R22/R3</f>
        <v>0</v>
      </c>
      <c r="S23" s="31">
        <f t="shared" si="20"/>
        <v>0</v>
      </c>
      <c r="T23" s="30">
        <f>T22/T3</f>
        <v>0</v>
      </c>
      <c r="U23" s="31">
        <f t="shared" si="21"/>
        <v>0</v>
      </c>
      <c r="V23" s="30">
        <f>V22/V3</f>
        <v>0</v>
      </c>
      <c r="W23" s="31">
        <f t="shared" si="22"/>
        <v>0</v>
      </c>
      <c r="X23" s="30">
        <f>X22/X3</f>
        <v>0</v>
      </c>
    </row>
    <row r="24">
      <c r="A24" s="4" t="s">
        <v>51</v>
      </c>
      <c r="B24" s="15">
        <v>3464399.0</v>
      </c>
      <c r="C24" s="13">
        <f t="shared" si="12"/>
        <v>0.1974755217</v>
      </c>
      <c r="D24" s="15">
        <v>4148533.0</v>
      </c>
      <c r="E24" s="13">
        <f t="shared" si="13"/>
        <v>0.006159767802</v>
      </c>
      <c r="F24" s="15">
        <v>4174087.0</v>
      </c>
      <c r="G24" s="13">
        <f t="shared" si="14"/>
        <v>-0.1170090609</v>
      </c>
      <c r="H24" s="15">
        <v>3685681.0</v>
      </c>
      <c r="I24" s="13">
        <f t="shared" si="15"/>
        <v>0.2280088809</v>
      </c>
      <c r="J24" s="15">
        <v>4526049.0</v>
      </c>
      <c r="K24" s="13">
        <f t="shared" si="16"/>
        <v>-0.07696492018</v>
      </c>
      <c r="L24" s="15">
        <v>4177702.0</v>
      </c>
      <c r="M24" s="13">
        <f t="shared" si="17"/>
        <v>-0.03477438075</v>
      </c>
      <c r="N24" s="15">
        <v>4032425.0</v>
      </c>
      <c r="O24" s="13">
        <f t="shared" si="18"/>
        <v>-0.01031761285</v>
      </c>
      <c r="P24" s="15">
        <v>3990820.0</v>
      </c>
      <c r="Q24" s="13">
        <f t="shared" si="19"/>
        <v>-0.07646022622</v>
      </c>
      <c r="R24" s="15">
        <v>3685681.0</v>
      </c>
      <c r="S24" s="13">
        <f t="shared" si="20"/>
        <v>0</v>
      </c>
      <c r="T24" s="15">
        <v>3685681.0</v>
      </c>
      <c r="U24" s="13">
        <f t="shared" si="21"/>
        <v>0</v>
      </c>
      <c r="V24" s="15">
        <v>3685681.0</v>
      </c>
      <c r="W24" s="13">
        <f t="shared" si="22"/>
        <v>0</v>
      </c>
      <c r="X24" s="15">
        <v>3685681.0</v>
      </c>
    </row>
    <row r="25">
      <c r="A25" s="1" t="s">
        <v>52</v>
      </c>
      <c r="B25" s="30">
        <f>B24/B3</f>
        <v>0.06202566306</v>
      </c>
      <c r="C25" s="31">
        <f t="shared" si="12"/>
        <v>-0.1248523231</v>
      </c>
      <c r="D25" s="30">
        <f>D24/D3</f>
        <v>0.05428161494</v>
      </c>
      <c r="E25" s="31">
        <f t="shared" si="13"/>
        <v>1.61554994</v>
      </c>
      <c r="F25" s="30">
        <f>F24/F3</f>
        <v>0.1419762747</v>
      </c>
      <c r="G25" s="31">
        <f t="shared" si="14"/>
        <v>-0.2040547909</v>
      </c>
      <c r="H25" s="30">
        <f>H24/H3</f>
        <v>0.1130053356</v>
      </c>
      <c r="I25" s="31">
        <f t="shared" si="15"/>
        <v>0.3411871494</v>
      </c>
      <c r="J25" s="30">
        <f>J24/J3</f>
        <v>0.151561304</v>
      </c>
      <c r="K25" s="31">
        <f t="shared" si="16"/>
        <v>-0.100657755</v>
      </c>
      <c r="L25" s="30">
        <f>L24/L3</f>
        <v>0.1363054834</v>
      </c>
      <c r="M25" s="31">
        <f t="shared" si="17"/>
        <v>-0.03267634658</v>
      </c>
      <c r="N25" s="30">
        <f>N24/N3</f>
        <v>0.1318515181</v>
      </c>
      <c r="O25" s="31">
        <f t="shared" si="18"/>
        <v>-0.4059058935</v>
      </c>
      <c r="P25" s="30">
        <f>P24/P3</f>
        <v>0.07833220985</v>
      </c>
      <c r="Q25" s="31">
        <f t="shared" si="19"/>
        <v>0.4426419967</v>
      </c>
      <c r="R25" s="30">
        <f>R24/R3</f>
        <v>0.1130053356</v>
      </c>
      <c r="S25" s="31">
        <f t="shared" si="20"/>
        <v>0</v>
      </c>
      <c r="T25" s="30">
        <f>T24/T3</f>
        <v>0.1130053356</v>
      </c>
      <c r="U25" s="31">
        <f t="shared" si="21"/>
        <v>0</v>
      </c>
      <c r="V25" s="30">
        <f>V24/V3</f>
        <v>0.1130053356</v>
      </c>
      <c r="W25" s="31">
        <f t="shared" si="22"/>
        <v>0</v>
      </c>
      <c r="X25" s="30">
        <f>X24/X3</f>
        <v>0.1130053356</v>
      </c>
    </row>
    <row r="26">
      <c r="A26" s="1" t="s">
        <v>54</v>
      </c>
      <c r="B26" s="30">
        <f>B20/B3</f>
        <v>0.13459084</v>
      </c>
      <c r="C26" s="31">
        <f t="shared" si="12"/>
        <v>-0.5021992041</v>
      </c>
      <c r="D26" s="30">
        <f>D20/D3</f>
        <v>0.06699942726</v>
      </c>
      <c r="E26" s="31">
        <f t="shared" si="13"/>
        <v>1.627571547</v>
      </c>
      <c r="F26" s="30">
        <f>F20/F3</f>
        <v>0.1760457887</v>
      </c>
      <c r="G26" s="31">
        <f t="shared" si="14"/>
        <v>-0.1011752257</v>
      </c>
      <c r="H26" s="30">
        <f>H20/H3</f>
        <v>0.1582343163</v>
      </c>
      <c r="I26" s="31">
        <f t="shared" si="15"/>
        <v>0.2717904597</v>
      </c>
      <c r="J26" s="30">
        <f>J20/J3</f>
        <v>0.2012408939</v>
      </c>
      <c r="K26" s="31">
        <f t="shared" si="16"/>
        <v>-0.1363866704</v>
      </c>
      <c r="L26" s="30">
        <f>L20/L3</f>
        <v>0.1737943184</v>
      </c>
      <c r="M26" s="31">
        <f t="shared" si="17"/>
        <v>0.2222977433</v>
      </c>
      <c r="N26" s="30">
        <f>N20/N3</f>
        <v>0.2124284032</v>
      </c>
      <c r="O26" s="31">
        <f t="shared" si="18"/>
        <v>-0.4763711802</v>
      </c>
      <c r="P26" s="30">
        <f>P20/P3</f>
        <v>0.1112336341</v>
      </c>
      <c r="Q26" s="31">
        <f t="shared" si="19"/>
        <v>0.4225402025</v>
      </c>
      <c r="R26" s="30">
        <f>R20/R3</f>
        <v>0.1582343163</v>
      </c>
      <c r="S26" s="31">
        <f t="shared" si="20"/>
        <v>0</v>
      </c>
      <c r="T26" s="30">
        <f>T20/T3</f>
        <v>0.1582343163</v>
      </c>
      <c r="U26" s="31">
        <f t="shared" si="21"/>
        <v>0</v>
      </c>
      <c r="V26" s="30">
        <f>V20/V3</f>
        <v>0.1582343163</v>
      </c>
      <c r="W26" s="31">
        <f t="shared" si="22"/>
        <v>0</v>
      </c>
      <c r="X26" s="30">
        <f>X20/X3</f>
        <v>0.1582343163</v>
      </c>
    </row>
    <row r="27">
      <c r="A27" s="36" t="s">
        <v>56</v>
      </c>
      <c r="B27" s="37">
        <f>B28/$B$3</f>
        <v>0.86540916</v>
      </c>
      <c r="C27" s="38">
        <f t="shared" si="12"/>
        <v>0.07810341725</v>
      </c>
      <c r="D27" s="37">
        <f>D28/$D$3</f>
        <v>0.9330005727</v>
      </c>
      <c r="E27" s="38">
        <f t="shared" si="13"/>
        <v>-0.1168770574</v>
      </c>
      <c r="F27" s="37">
        <f>F28/$F$3</f>
        <v>0.8239542113</v>
      </c>
      <c r="G27" s="38">
        <f t="shared" si="14"/>
        <v>0.02161706581</v>
      </c>
      <c r="H27" s="37">
        <f>H28/$H$3</f>
        <v>0.8417656837</v>
      </c>
      <c r="I27" s="38">
        <f t="shared" si="15"/>
        <v>-0.05109091331</v>
      </c>
      <c r="J27" s="37">
        <f>J28/$J$3</f>
        <v>0.7987591061</v>
      </c>
      <c r="K27" s="38">
        <f t="shared" si="16"/>
        <v>0.03436151809</v>
      </c>
      <c r="L27" s="37">
        <f>L28/$L$3</f>
        <v>0.8262056816</v>
      </c>
      <c r="M27" s="38">
        <f t="shared" si="17"/>
        <v>-0.04676085586</v>
      </c>
      <c r="N27" s="37">
        <f>N28/$N$3</f>
        <v>0.7875715968</v>
      </c>
      <c r="O27" s="38">
        <f t="shared" si="18"/>
        <v>0.1284896123</v>
      </c>
      <c r="P27" s="37">
        <f>P28/$P$3</f>
        <v>0.8887663659</v>
      </c>
      <c r="Q27" s="38">
        <f t="shared" si="19"/>
        <v>-0.05288305686</v>
      </c>
      <c r="R27" s="37">
        <f>R28/$R$3</f>
        <v>0.8417656837</v>
      </c>
      <c r="S27" s="38">
        <f t="shared" si="20"/>
        <v>0</v>
      </c>
      <c r="T27" s="37">
        <f>T28/$T$3</f>
        <v>0.8417656837</v>
      </c>
      <c r="U27" s="38">
        <f t="shared" si="21"/>
        <v>0</v>
      </c>
      <c r="V27" s="37">
        <f>V28/$V$3</f>
        <v>0.8417656837</v>
      </c>
      <c r="W27" s="38">
        <f t="shared" si="22"/>
        <v>0</v>
      </c>
      <c r="X27" s="37">
        <f>X28/$X$3</f>
        <v>0.8417656837</v>
      </c>
      <c r="Y27" s="13"/>
    </row>
    <row r="28">
      <c r="A28" s="28" t="s">
        <v>57</v>
      </c>
      <c r="B28" s="24">
        <f>B3-B20</f>
        <v>48336809</v>
      </c>
      <c r="C28" s="13">
        <f t="shared" si="12"/>
        <v>0.4751824019</v>
      </c>
      <c r="D28" s="24">
        <f>D3-D20</f>
        <v>71305610</v>
      </c>
      <c r="E28" s="13">
        <f t="shared" si="13"/>
        <v>-0.6602768842</v>
      </c>
      <c r="F28" s="24">
        <f>F3-F20</f>
        <v>24224164</v>
      </c>
      <c r="G28" s="13">
        <f t="shared" si="14"/>
        <v>0.1333425996</v>
      </c>
      <c r="H28" s="24">
        <f>H3-H20</f>
        <v>27454277</v>
      </c>
      <c r="I28" s="13">
        <f t="shared" si="15"/>
        <v>-0.1311661567</v>
      </c>
      <c r="J28" s="24">
        <f>J3-J20</f>
        <v>23853205</v>
      </c>
      <c r="K28" s="13">
        <f t="shared" si="16"/>
        <v>0.06161138514</v>
      </c>
      <c r="L28" s="24">
        <f>L3-L20</f>
        <v>25322834</v>
      </c>
      <c r="M28" s="13">
        <f t="shared" si="17"/>
        <v>-0.04882834204</v>
      </c>
      <c r="N28" s="24">
        <f>N3-N20</f>
        <v>24086362</v>
      </c>
      <c r="O28" s="13">
        <f t="shared" si="18"/>
        <v>0.8799147833</v>
      </c>
      <c r="P28" s="24">
        <f>P3-P20</f>
        <v>45280308</v>
      </c>
      <c r="Q28" s="13">
        <f t="shared" si="19"/>
        <v>-0.3936817523</v>
      </c>
      <c r="R28" s="24">
        <f>R3-R20</f>
        <v>27454277</v>
      </c>
      <c r="S28" s="13">
        <f t="shared" si="20"/>
        <v>0</v>
      </c>
      <c r="T28" s="24">
        <f>T3-T20</f>
        <v>27454277</v>
      </c>
      <c r="U28" s="13">
        <f t="shared" si="21"/>
        <v>0</v>
      </c>
      <c r="V28" s="24">
        <f>V3-V20</f>
        <v>27454277</v>
      </c>
      <c r="W28" s="13">
        <f t="shared" si="22"/>
        <v>0</v>
      </c>
      <c r="X28" s="24">
        <f>X3-X20</f>
        <v>27454277</v>
      </c>
    </row>
    <row r="29">
      <c r="A29" s="28" t="s">
        <v>58</v>
      </c>
      <c r="B29" s="39">
        <f>B28-ABS(B17)</f>
        <v>28309385</v>
      </c>
      <c r="C29" s="12">
        <f t="shared" si="12"/>
        <v>-0.1982755542</v>
      </c>
      <c r="D29" s="39">
        <f>D28-ABS(D17)</f>
        <v>22696326</v>
      </c>
      <c r="E29" s="12">
        <f t="shared" si="13"/>
        <v>-0.003188753986</v>
      </c>
      <c r="F29" s="39">
        <f>F28-ABS(F17)</f>
        <v>22623953</v>
      </c>
      <c r="G29" s="12">
        <f t="shared" si="14"/>
        <v>0.140590948</v>
      </c>
      <c r="H29" s="39">
        <f>H28-ABS(H17)</f>
        <v>25804676</v>
      </c>
      <c r="I29" s="12">
        <f t="shared" si="15"/>
        <v>-0.1470435048</v>
      </c>
      <c r="J29" s="39">
        <f>J28-ABS(J17)</f>
        <v>22010266</v>
      </c>
      <c r="K29" s="12">
        <f t="shared" si="16"/>
        <v>0.04708916285</v>
      </c>
      <c r="L29" s="39">
        <f>L28-ABS(L17)</f>
        <v>23046711</v>
      </c>
      <c r="M29" s="12">
        <f t="shared" si="17"/>
        <v>-0.06376172288</v>
      </c>
      <c r="N29" s="39">
        <f>N28-ABS(N17)</f>
        <v>21577213</v>
      </c>
      <c r="O29" s="12">
        <f t="shared" si="18"/>
        <v>0.2159776612</v>
      </c>
      <c r="P29" s="39">
        <f>P28-ABS(P17)</f>
        <v>26237409</v>
      </c>
      <c r="Q29" s="12">
        <f t="shared" si="19"/>
        <v>-0.01649297764</v>
      </c>
      <c r="R29" s="39">
        <f>R28-ABS(R17)</f>
        <v>25804676</v>
      </c>
      <c r="S29" s="12">
        <f t="shared" si="20"/>
        <v>0</v>
      </c>
      <c r="T29" s="39">
        <f>T28-ABS(T17)</f>
        <v>25804676</v>
      </c>
      <c r="U29" s="12">
        <f t="shared" si="21"/>
        <v>0</v>
      </c>
      <c r="V29" s="39">
        <f>V28-ABS(V17)</f>
        <v>25804676</v>
      </c>
      <c r="W29" s="12">
        <f t="shared" si="22"/>
        <v>0</v>
      </c>
      <c r="X29" s="39">
        <f>X28-ABS(X17)</f>
        <v>25804676</v>
      </c>
    </row>
    <row r="30">
      <c r="A30" s="1" t="s">
        <v>59</v>
      </c>
      <c r="B30" s="15">
        <f>(B38-B37)*B36</f>
        <v>13081750</v>
      </c>
      <c r="C30" s="13">
        <f t="shared" si="12"/>
        <v>2.553503851</v>
      </c>
      <c r="D30" s="15">
        <f>(D38-D37)*D36</f>
        <v>46486049</v>
      </c>
      <c r="E30" s="13">
        <f t="shared" si="13"/>
        <v>-1.146286642</v>
      </c>
      <c r="F30" s="15">
        <f>(F38-F37)*F36</f>
        <v>-6800288</v>
      </c>
      <c r="G30" s="13">
        <f t="shared" si="14"/>
        <v>-0.4749965001</v>
      </c>
      <c r="H30" s="15">
        <f>(H38-H37)*H36</f>
        <v>-3570175</v>
      </c>
      <c r="I30" s="13">
        <f t="shared" si="15"/>
        <v>1.008654198</v>
      </c>
      <c r="J30" s="15">
        <f>(J38-J37)*J36</f>
        <v>-7171247</v>
      </c>
      <c r="K30" s="13">
        <f t="shared" si="16"/>
        <v>-0.2049335353</v>
      </c>
      <c r="L30" s="15">
        <f>(L38-L37)*L36</f>
        <v>-5701618</v>
      </c>
      <c r="M30" s="13">
        <f t="shared" si="17"/>
        <v>1.601932118</v>
      </c>
      <c r="N30" s="15">
        <f>(N38-N37)*N36</f>
        <v>-14835223</v>
      </c>
      <c r="O30" s="13">
        <f t="shared" si="18"/>
        <v>-1.960946526</v>
      </c>
      <c r="P30" s="15">
        <f>(P38-P37)*P36</f>
        <v>14255856</v>
      </c>
      <c r="Q30" s="13">
        <f t="shared" si="19"/>
        <v>-1.250435681</v>
      </c>
      <c r="R30" s="15">
        <f>(R38-R37)*R36</f>
        <v>-3570175</v>
      </c>
      <c r="S30" s="13">
        <f t="shared" si="20"/>
        <v>0</v>
      </c>
      <c r="T30" s="15">
        <f>(T38-T37)*T36</f>
        <v>-3570175</v>
      </c>
      <c r="U30" s="13">
        <f t="shared" si="21"/>
        <v>0</v>
      </c>
      <c r="V30" s="15">
        <f>(V38-V37)*V36</f>
        <v>-3570175</v>
      </c>
      <c r="W30" s="13">
        <f t="shared" si="22"/>
        <v>0</v>
      </c>
      <c r="X30" s="15">
        <f>(X38-X37)*X36</f>
        <v>-3570175</v>
      </c>
    </row>
    <row r="31">
      <c r="A31" s="4" t="s">
        <v>60</v>
      </c>
      <c r="B31" s="40">
        <f>B30/B28</f>
        <v>0.2706374349</v>
      </c>
      <c r="C31" s="13">
        <f t="shared" si="12"/>
        <v>1.408857268</v>
      </c>
      <c r="D31" s="40">
        <f>D30/D28</f>
        <v>0.6519269522</v>
      </c>
      <c r="E31" s="13">
        <f t="shared" si="13"/>
        <v>-1.430605499</v>
      </c>
      <c r="F31" s="40">
        <f>F30/F28</f>
        <v>-0.2807233306</v>
      </c>
      <c r="G31" s="13">
        <f t="shared" si="14"/>
        <v>-0.5367654052</v>
      </c>
      <c r="H31" s="40">
        <f>H30/H28</f>
        <v>-0.1300407583</v>
      </c>
      <c r="I31" s="13">
        <f t="shared" si="15"/>
        <v>1.311896818</v>
      </c>
      <c r="J31" s="40">
        <f>J30/J28</f>
        <v>-0.3006408154</v>
      </c>
      <c r="K31" s="13">
        <f t="shared" si="16"/>
        <v>-0.251075793</v>
      </c>
      <c r="L31" s="40">
        <f>L30/L28</f>
        <v>-0.2251571842</v>
      </c>
      <c r="M31" s="13">
        <f t="shared" si="17"/>
        <v>1.735502153</v>
      </c>
      <c r="N31" s="40">
        <f>N30/N28</f>
        <v>-0.6159179622</v>
      </c>
      <c r="O31" s="13">
        <f t="shared" si="18"/>
        <v>-1.511164939</v>
      </c>
      <c r="P31" s="40">
        <f>P30/P28</f>
        <v>0.3148356676</v>
      </c>
      <c r="Q31" s="13">
        <f t="shared" si="19"/>
        <v>-1.413043285</v>
      </c>
      <c r="R31" s="40">
        <f>R30/R28</f>
        <v>-0.1300407583</v>
      </c>
      <c r="S31" s="13">
        <f t="shared" si="20"/>
        <v>0</v>
      </c>
      <c r="T31" s="40">
        <f>T30/T28</f>
        <v>-0.1300407583</v>
      </c>
      <c r="U31" s="13">
        <f t="shared" si="21"/>
        <v>0</v>
      </c>
      <c r="V31" s="40">
        <f>V30/V28</f>
        <v>-0.1300407583</v>
      </c>
      <c r="W31" s="13">
        <f t="shared" si="22"/>
        <v>0</v>
      </c>
      <c r="X31" s="40">
        <f>X30/X28</f>
        <v>-0.1300407583</v>
      </c>
    </row>
    <row r="32">
      <c r="A32" s="4" t="s">
        <v>61</v>
      </c>
      <c r="B32" s="41">
        <f>B42+B30</f>
        <v>192083255.6</v>
      </c>
      <c r="C32" s="13">
        <f t="shared" si="12"/>
        <v>0.1770031658</v>
      </c>
      <c r="D32" s="41">
        <f>D42+D30</f>
        <v>226082599.9</v>
      </c>
      <c r="E32" s="13">
        <f t="shared" si="13"/>
        <v>-0.2652942376</v>
      </c>
      <c r="F32" s="41">
        <f>F42+F30</f>
        <v>166104188.9</v>
      </c>
      <c r="G32" s="13">
        <f t="shared" si="14"/>
        <v>-0.05401180168</v>
      </c>
      <c r="H32" s="41">
        <f>H42+H30</f>
        <v>157132602.4</v>
      </c>
      <c r="I32" s="13">
        <f t="shared" si="15"/>
        <v>-0.1544513369</v>
      </c>
      <c r="J32" s="41">
        <f>J42+J30</f>
        <v>132863261.9</v>
      </c>
      <c r="K32" s="13">
        <f t="shared" si="16"/>
        <v>-0.1141970497</v>
      </c>
      <c r="L32" s="41">
        <f>L42+L30</f>
        <v>117690669.4</v>
      </c>
      <c r="M32" s="13">
        <f t="shared" si="17"/>
        <v>-0.2015622134</v>
      </c>
      <c r="N32" s="41">
        <f>N42+N30</f>
        <v>93968677.57</v>
      </c>
      <c r="O32" s="13">
        <f t="shared" si="18"/>
        <v>0.6450605575</v>
      </c>
      <c r="P32" s="41">
        <f>P42+P30</f>
        <v>154584165.1</v>
      </c>
      <c r="Q32" s="13">
        <f t="shared" si="19"/>
        <v>-0.1153160221</v>
      </c>
      <c r="R32" s="41">
        <f>R42+R30</f>
        <v>136758134.1</v>
      </c>
      <c r="S32" s="13">
        <f t="shared" si="20"/>
        <v>0</v>
      </c>
      <c r="T32" s="41">
        <f>T42+T30</f>
        <v>136758134.1</v>
      </c>
      <c r="U32" s="13">
        <f t="shared" si="21"/>
        <v>-0.1238392278</v>
      </c>
      <c r="V32" s="41">
        <f>V42+V30</f>
        <v>119822112.4</v>
      </c>
      <c r="W32" s="13">
        <f t="shared" si="22"/>
        <v>0</v>
      </c>
      <c r="X32" s="41">
        <f>X42+X30</f>
        <v>119822112.4</v>
      </c>
      <c r="Y32" s="13"/>
      <c r="Z32" s="22"/>
    </row>
    <row r="33">
      <c r="A33" s="4" t="s">
        <v>62</v>
      </c>
      <c r="B33" s="42">
        <f>B32/B36</f>
        <v>6.810485586</v>
      </c>
      <c r="C33" s="13">
        <f t="shared" si="12"/>
        <v>0.1770031658</v>
      </c>
      <c r="D33" s="42">
        <f>D32/D36</f>
        <v>8.015963096</v>
      </c>
      <c r="E33" s="13">
        <f t="shared" si="13"/>
        <v>-0.2652942376</v>
      </c>
      <c r="F33" s="42">
        <f>F32/F36</f>
        <v>5.889374278</v>
      </c>
      <c r="G33" s="13">
        <f t="shared" si="14"/>
        <v>-0.05401180168</v>
      </c>
      <c r="H33" s="42">
        <f>H32/H36</f>
        <v>5.571278562</v>
      </c>
      <c r="I33" s="13">
        <f t="shared" si="15"/>
        <v>-0.1544513369</v>
      </c>
      <c r="J33" s="42">
        <f>J32/J36</f>
        <v>4.71078714</v>
      </c>
      <c r="K33" s="13">
        <f t="shared" si="16"/>
        <v>-0.1141970497</v>
      </c>
      <c r="L33" s="42">
        <f>L32/L36</f>
        <v>4.172829147</v>
      </c>
      <c r="M33" s="13">
        <f t="shared" si="17"/>
        <v>-0.2015622134</v>
      </c>
      <c r="N33" s="42">
        <f>N32/N36</f>
        <v>3.331744468</v>
      </c>
      <c r="O33" s="13">
        <f t="shared" si="18"/>
        <v>0.6450605575</v>
      </c>
      <c r="P33" s="42">
        <f>P32/P36</f>
        <v>5.480921412</v>
      </c>
      <c r="Q33" s="13">
        <f t="shared" si="19"/>
        <v>-0.1153160221</v>
      </c>
      <c r="R33" s="42">
        <f>R32/R36</f>
        <v>4.848883357</v>
      </c>
      <c r="S33" s="13">
        <f t="shared" si="20"/>
        <v>0</v>
      </c>
      <c r="T33" s="42">
        <f>T32/T36</f>
        <v>4.848883357</v>
      </c>
      <c r="U33" s="13">
        <f t="shared" si="21"/>
        <v>-0.1238392278</v>
      </c>
      <c r="V33" s="42">
        <f>V32/V36</f>
        <v>4.248401387</v>
      </c>
      <c r="W33" s="13">
        <f t="shared" si="22"/>
        <v>0</v>
      </c>
      <c r="X33" s="42">
        <f>X32/X36</f>
        <v>4.248401387</v>
      </c>
      <c r="Y33" s="13"/>
      <c r="Z33" s="13"/>
    </row>
    <row r="34">
      <c r="A34" s="28" t="s">
        <v>63</v>
      </c>
      <c r="B34" s="43">
        <v>3.5255059E7</v>
      </c>
      <c r="C34" s="12">
        <f t="shared" si="12"/>
        <v>-0.2960000152</v>
      </c>
      <c r="D34" s="15">
        <v>2.4819561E7</v>
      </c>
      <c r="E34" s="12">
        <f t="shared" si="13"/>
        <v>0.2500000302</v>
      </c>
      <c r="F34" s="15">
        <v>3.1024452E7</v>
      </c>
      <c r="G34" s="12">
        <f t="shared" si="14"/>
        <v>0</v>
      </c>
      <c r="H34" s="15">
        <v>3.1024452E7</v>
      </c>
      <c r="I34" s="12">
        <f t="shared" si="15"/>
        <v>0</v>
      </c>
      <c r="J34" s="15">
        <v>3.1024452E7</v>
      </c>
      <c r="K34" s="12">
        <f t="shared" si="16"/>
        <v>0</v>
      </c>
      <c r="L34" s="15">
        <v>3.1024452E7</v>
      </c>
      <c r="M34" s="12">
        <f t="shared" si="17"/>
        <v>0.2545454469</v>
      </c>
      <c r="N34" s="15">
        <v>3.8921585E7</v>
      </c>
      <c r="O34" s="12">
        <f t="shared" si="18"/>
        <v>-0.2028985459</v>
      </c>
      <c r="P34" s="15">
        <v>3.1024452E7</v>
      </c>
      <c r="Q34" s="12">
        <f t="shared" si="19"/>
        <v>0</v>
      </c>
      <c r="R34" s="15">
        <v>3.1024452E7</v>
      </c>
      <c r="S34" s="12">
        <f t="shared" si="20"/>
        <v>0</v>
      </c>
      <c r="T34" s="15">
        <v>3.1024452E7</v>
      </c>
      <c r="U34" s="12">
        <f t="shared" si="21"/>
        <v>0</v>
      </c>
      <c r="V34" s="15">
        <v>3.1024452E7</v>
      </c>
      <c r="W34" s="12">
        <f t="shared" si="22"/>
        <v>0</v>
      </c>
      <c r="X34" s="15">
        <v>3.1024452E7</v>
      </c>
    </row>
    <row r="35">
      <c r="A35" s="1" t="s">
        <v>64</v>
      </c>
      <c r="B35" s="40">
        <f>B34/B28</f>
        <v>0.7293625651</v>
      </c>
      <c r="C35" s="13">
        <f t="shared" si="12"/>
        <v>-0.52277089</v>
      </c>
      <c r="D35" s="40">
        <f>D34/D28</f>
        <v>0.3480730478</v>
      </c>
      <c r="E35" s="13">
        <f t="shared" si="13"/>
        <v>2.679467108</v>
      </c>
      <c r="F35" s="40">
        <f>F34/F28</f>
        <v>1.280723331</v>
      </c>
      <c r="G35" s="13">
        <f t="shared" si="14"/>
        <v>-0.117654273</v>
      </c>
      <c r="H35" s="40">
        <f>H34/H28</f>
        <v>1.130040758</v>
      </c>
      <c r="I35" s="13">
        <f t="shared" si="15"/>
        <v>0.1509680565</v>
      </c>
      <c r="J35" s="40">
        <f>J34/J28</f>
        <v>1.300640815</v>
      </c>
      <c r="K35" s="13">
        <f t="shared" si="16"/>
        <v>-0.05803572381</v>
      </c>
      <c r="L35" s="40">
        <f>L34/L28</f>
        <v>1.225157184</v>
      </c>
      <c r="M35" s="13">
        <f t="shared" si="17"/>
        <v>0.3189474649</v>
      </c>
      <c r="N35" s="40">
        <f>N34/N28</f>
        <v>1.615917962</v>
      </c>
      <c r="O35" s="13">
        <f t="shared" si="18"/>
        <v>-0.5759906453</v>
      </c>
      <c r="P35" s="40">
        <f>P34/P28</f>
        <v>0.6851643324</v>
      </c>
      <c r="Q35" s="13">
        <f t="shared" si="19"/>
        <v>0.6492988688</v>
      </c>
      <c r="R35" s="40">
        <f>R34/R28</f>
        <v>1.130040758</v>
      </c>
      <c r="S35" s="13">
        <f t="shared" si="20"/>
        <v>0</v>
      </c>
      <c r="T35" s="40">
        <f>T34/T28</f>
        <v>1.130040758</v>
      </c>
      <c r="U35" s="13">
        <f t="shared" si="21"/>
        <v>0</v>
      </c>
      <c r="V35" s="40">
        <f>V34/V28</f>
        <v>1.130040758</v>
      </c>
      <c r="W35" s="13">
        <f t="shared" si="22"/>
        <v>0</v>
      </c>
      <c r="X35" s="40">
        <f>X34/X28</f>
        <v>1.130040758</v>
      </c>
    </row>
    <row r="36">
      <c r="A36" s="4" t="s">
        <v>65</v>
      </c>
      <c r="B36" s="45">
        <v>2.8204047E7</v>
      </c>
      <c r="C36" s="12">
        <f t="shared" si="12"/>
        <v>0</v>
      </c>
      <c r="D36" s="45">
        <v>2.8204047E7</v>
      </c>
      <c r="E36" s="12">
        <f t="shared" si="13"/>
        <v>0</v>
      </c>
      <c r="F36" s="45">
        <v>2.8204047E7</v>
      </c>
      <c r="G36" s="12">
        <f t="shared" si="14"/>
        <v>0</v>
      </c>
      <c r="H36" s="45">
        <v>2.8204047E7</v>
      </c>
      <c r="I36" s="12">
        <f t="shared" si="15"/>
        <v>0</v>
      </c>
      <c r="J36" s="45">
        <v>2.8204047E7</v>
      </c>
      <c r="K36" s="12">
        <f t="shared" si="16"/>
        <v>0</v>
      </c>
      <c r="L36" s="45">
        <v>2.8204047E7</v>
      </c>
      <c r="M36" s="12">
        <f t="shared" si="17"/>
        <v>0</v>
      </c>
      <c r="N36" s="45">
        <v>2.8204047E7</v>
      </c>
      <c r="O36" s="12">
        <f t="shared" si="18"/>
        <v>0</v>
      </c>
      <c r="P36" s="45">
        <v>2.8204047E7</v>
      </c>
      <c r="Q36" s="12">
        <f t="shared" si="19"/>
        <v>0</v>
      </c>
      <c r="R36" s="45">
        <v>2.8204047E7</v>
      </c>
      <c r="S36" s="12">
        <f t="shared" si="20"/>
        <v>0</v>
      </c>
      <c r="T36" s="45">
        <v>2.8204047E7</v>
      </c>
      <c r="U36" s="12">
        <f t="shared" si="21"/>
        <v>0</v>
      </c>
      <c r="V36" s="45">
        <v>2.8204047E7</v>
      </c>
      <c r="W36" s="12">
        <f t="shared" si="22"/>
        <v>0</v>
      </c>
      <c r="X36" s="45">
        <v>2.8204047E7</v>
      </c>
    </row>
    <row r="37">
      <c r="A37" s="28" t="s">
        <v>66</v>
      </c>
      <c r="B37" s="49">
        <f>B34/B36</f>
        <v>1.250000009</v>
      </c>
      <c r="C37" s="13">
        <f t="shared" si="12"/>
        <v>-0.2960000152</v>
      </c>
      <c r="D37" s="49">
        <f>D34/D36</f>
        <v>0.8799999872</v>
      </c>
      <c r="E37" s="13">
        <f t="shared" si="13"/>
        <v>0.2500000302</v>
      </c>
      <c r="F37" s="49">
        <f>F34/F36</f>
        <v>1.100000011</v>
      </c>
      <c r="G37" s="13">
        <f t="shared" si="14"/>
        <v>0</v>
      </c>
      <c r="H37" s="49">
        <f>H34/H36</f>
        <v>1.100000011</v>
      </c>
      <c r="I37" s="13">
        <f t="shared" si="15"/>
        <v>0</v>
      </c>
      <c r="J37" s="49">
        <f>J34/J36</f>
        <v>1.100000011</v>
      </c>
      <c r="K37" s="13">
        <f t="shared" si="16"/>
        <v>0</v>
      </c>
      <c r="L37" s="49">
        <f>L34/L36</f>
        <v>1.100000011</v>
      </c>
      <c r="M37" s="13">
        <f t="shared" si="17"/>
        <v>0.2545454469</v>
      </c>
      <c r="N37" s="49">
        <f>N34/N36</f>
        <v>1.380000005</v>
      </c>
      <c r="O37" s="13">
        <f t="shared" si="18"/>
        <v>-0.2028985459</v>
      </c>
      <c r="P37" s="49">
        <f>P34/P36</f>
        <v>1.100000011</v>
      </c>
      <c r="Q37" s="13">
        <f t="shared" si="19"/>
        <v>0</v>
      </c>
      <c r="R37" s="49">
        <f>R34/R36</f>
        <v>1.100000011</v>
      </c>
      <c r="S37" s="13">
        <f t="shared" si="20"/>
        <v>0</v>
      </c>
      <c r="T37" s="49">
        <f>T34/T36</f>
        <v>1.100000011</v>
      </c>
      <c r="U37" s="13">
        <f t="shared" si="21"/>
        <v>0</v>
      </c>
      <c r="V37" s="49">
        <f>V34/V36</f>
        <v>1.100000011</v>
      </c>
      <c r="W37" s="13">
        <f t="shared" si="22"/>
        <v>0</v>
      </c>
      <c r="X37" s="49">
        <f>X34/X36</f>
        <v>1.100000011</v>
      </c>
    </row>
    <row r="38">
      <c r="A38" s="28" t="s">
        <v>67</v>
      </c>
      <c r="B38" s="24">
        <f>B28/B36</f>
        <v>1.713825289</v>
      </c>
      <c r="C38" s="13">
        <f t="shared" si="12"/>
        <v>0.4751824019</v>
      </c>
      <c r="D38" s="24">
        <f>D28/D36</f>
        <v>2.528204906</v>
      </c>
      <c r="E38" s="13">
        <f t="shared" si="13"/>
        <v>-0.6602768842</v>
      </c>
      <c r="F38" s="24">
        <f>F28/F36</f>
        <v>0.858889648</v>
      </c>
      <c r="G38" s="13">
        <f t="shared" si="14"/>
        <v>0.1333425996</v>
      </c>
      <c r="H38" s="24">
        <f>H28/H36</f>
        <v>0.9734162264</v>
      </c>
      <c r="I38" s="13">
        <f t="shared" si="15"/>
        <v>-0.1311661567</v>
      </c>
      <c r="J38" s="24">
        <f>J28/J36</f>
        <v>0.8457369611</v>
      </c>
      <c r="K38" s="13">
        <f t="shared" si="16"/>
        <v>0.06161138514</v>
      </c>
      <c r="L38" s="24">
        <f>L28/L36</f>
        <v>0.8978439867</v>
      </c>
      <c r="M38" s="13">
        <f t="shared" si="17"/>
        <v>-0.04882834204</v>
      </c>
      <c r="N38" s="24">
        <f>N28/N36</f>
        <v>0.8540037534</v>
      </c>
      <c r="O38" s="13">
        <f t="shared" si="18"/>
        <v>0.8799147833</v>
      </c>
      <c r="P38" s="24">
        <f>P28/P36</f>
        <v>1.605454281</v>
      </c>
      <c r="Q38" s="13">
        <f t="shared" si="19"/>
        <v>-0.3936817523</v>
      </c>
      <c r="R38" s="24">
        <f>R28/R36</f>
        <v>0.9734162264</v>
      </c>
      <c r="S38" s="13">
        <f t="shared" si="20"/>
        <v>0</v>
      </c>
      <c r="T38" s="24">
        <f>T28/T36</f>
        <v>0.9734162264</v>
      </c>
      <c r="U38" s="13">
        <f t="shared" si="21"/>
        <v>0</v>
      </c>
      <c r="V38" s="24">
        <f>V28/V36</f>
        <v>0.9734162264</v>
      </c>
      <c r="W38" s="13">
        <f t="shared" si="22"/>
        <v>0</v>
      </c>
      <c r="X38" s="24">
        <f>X28/X36</f>
        <v>0.9734162264</v>
      </c>
    </row>
    <row r="39">
      <c r="A39" s="4" t="s">
        <v>68</v>
      </c>
      <c r="B39" s="51">
        <f>B29/B36</f>
        <v>1.003734854</v>
      </c>
      <c r="C39" s="13">
        <f t="shared" si="12"/>
        <v>-0.1982755542</v>
      </c>
      <c r="D39" s="24">
        <f>D29/D36</f>
        <v>0.8047187696</v>
      </c>
      <c r="E39" s="13">
        <f t="shared" si="13"/>
        <v>-0.003188753986</v>
      </c>
      <c r="F39" s="24">
        <f>F29/F36</f>
        <v>0.8021527194</v>
      </c>
      <c r="G39" s="13">
        <f t="shared" si="14"/>
        <v>0.140590948</v>
      </c>
      <c r="H39" s="24">
        <f>H29/H36</f>
        <v>0.9149281307</v>
      </c>
      <c r="I39" s="13">
        <f t="shared" si="15"/>
        <v>-0.1470435048</v>
      </c>
      <c r="J39" s="24">
        <f>J29/J36</f>
        <v>0.7803938917</v>
      </c>
      <c r="K39" s="13">
        <f t="shared" si="16"/>
        <v>0.04708916285</v>
      </c>
      <c r="L39" s="24">
        <f>L29/L36</f>
        <v>0.8171419868</v>
      </c>
      <c r="M39" s="13">
        <f t="shared" si="17"/>
        <v>-0.06376172288</v>
      </c>
      <c r="N39" s="24">
        <f>N29/N36</f>
        <v>0.7650396058</v>
      </c>
      <c r="O39" s="13">
        <f t="shared" si="18"/>
        <v>0.2159776612</v>
      </c>
      <c r="P39" s="24">
        <f>P29/P36</f>
        <v>0.9302710707</v>
      </c>
      <c r="Q39" s="13">
        <f t="shared" si="19"/>
        <v>-0.01649297764</v>
      </c>
      <c r="R39" s="24">
        <f>R29/R36</f>
        <v>0.9149281307</v>
      </c>
      <c r="S39" s="13">
        <f t="shared" si="20"/>
        <v>0</v>
      </c>
      <c r="T39" s="24">
        <f>T29/T36</f>
        <v>0.9149281307</v>
      </c>
      <c r="U39" s="13">
        <f t="shared" si="21"/>
        <v>0</v>
      </c>
      <c r="V39" s="24">
        <f>V29/V36</f>
        <v>0.9149281307</v>
      </c>
      <c r="W39" s="13">
        <f t="shared" si="22"/>
        <v>0</v>
      </c>
      <c r="X39" s="24">
        <f>X29/X36</f>
        <v>0.9149281307</v>
      </c>
    </row>
    <row r="40">
      <c r="A40" s="52"/>
      <c r="B40" s="2" t="s">
        <v>1</v>
      </c>
      <c r="C40" s="3">
        <v>46036.0</v>
      </c>
      <c r="D40" s="2" t="s">
        <v>1</v>
      </c>
      <c r="E40" s="3">
        <v>46065.0</v>
      </c>
      <c r="F40" s="2" t="s">
        <v>1</v>
      </c>
      <c r="G40" s="3">
        <v>46094.0</v>
      </c>
      <c r="H40" s="2" t="s">
        <v>1</v>
      </c>
      <c r="I40" s="3">
        <v>46126.0</v>
      </c>
      <c r="J40" s="2" t="s">
        <v>1</v>
      </c>
      <c r="K40" s="3">
        <v>46157.0</v>
      </c>
      <c r="L40" s="2" t="s">
        <v>1</v>
      </c>
      <c r="M40" s="3">
        <v>46188.0</v>
      </c>
      <c r="N40" s="2" t="s">
        <v>1</v>
      </c>
      <c r="O40" s="3">
        <v>46195.0</v>
      </c>
      <c r="P40" s="2" t="s">
        <v>2</v>
      </c>
      <c r="Q40" s="3">
        <v>46195.0</v>
      </c>
      <c r="R40" s="2" t="s">
        <v>3</v>
      </c>
      <c r="S40" s="3">
        <v>46195.0</v>
      </c>
      <c r="T40" s="2" t="s">
        <v>3</v>
      </c>
      <c r="U40" s="3">
        <v>46195.0</v>
      </c>
      <c r="V40" s="2" t="s">
        <v>3</v>
      </c>
      <c r="W40" s="3">
        <v>46195.0</v>
      </c>
      <c r="X40" s="2" t="s">
        <v>3</v>
      </c>
      <c r="Y40" s="3">
        <v>46195.0</v>
      </c>
    </row>
    <row r="41">
      <c r="A41" s="1" t="s">
        <v>69</v>
      </c>
      <c r="B41" s="1" t="s">
        <v>5</v>
      </c>
      <c r="C41" s="53"/>
      <c r="D41" s="54" t="s">
        <v>6</v>
      </c>
      <c r="E41" s="55"/>
      <c r="F41" s="54" t="s">
        <v>7</v>
      </c>
      <c r="G41" s="55"/>
      <c r="H41" s="54" t="s">
        <v>8</v>
      </c>
      <c r="I41" s="55"/>
      <c r="J41" s="54" t="s">
        <v>9</v>
      </c>
      <c r="K41" s="55"/>
      <c r="L41" s="54" t="s">
        <v>10</v>
      </c>
      <c r="M41" s="55"/>
      <c r="N41" s="54" t="s">
        <v>11</v>
      </c>
      <c r="O41" s="55"/>
      <c r="P41" s="1" t="s">
        <v>12</v>
      </c>
      <c r="Q41" s="53"/>
      <c r="R41" s="1" t="s">
        <v>13</v>
      </c>
      <c r="S41" s="53"/>
      <c r="T41" s="1" t="s">
        <v>14</v>
      </c>
      <c r="U41" s="53"/>
      <c r="V41" s="1" t="s">
        <v>15</v>
      </c>
      <c r="W41" s="53"/>
      <c r="X41" s="1" t="s">
        <v>16</v>
      </c>
      <c r="Y41" s="13"/>
    </row>
    <row r="42">
      <c r="A42" s="4" t="s">
        <v>61</v>
      </c>
      <c r="B42" s="56">
        <v>1.7900150557E8</v>
      </c>
      <c r="C42" s="13">
        <f t="shared" ref="C42:C45" si="23">IFERROR(SUM((D42/B42)-1),0)</f>
        <v>0.003324247682</v>
      </c>
      <c r="D42" s="56">
        <v>1.7959655091E8</v>
      </c>
      <c r="E42" s="13">
        <f t="shared" ref="E42:E45" si="24">IFERROR(SUM((F42/D42)-1),0)</f>
        <v>-0.03726170656</v>
      </c>
      <c r="F42" s="56">
        <v>1.7290447693E8</v>
      </c>
      <c r="G42" s="13">
        <f t="shared" ref="G42:G45" si="25">IFERROR(SUM((H42/F42)-1),0)</f>
        <v>-0.07056902011</v>
      </c>
      <c r="H42" s="56">
        <v>1.6070277742E8</v>
      </c>
      <c r="I42" s="13">
        <f t="shared" ref="I42:I45" si="26">IFERROR(SUM((J42/H42)-1),0)</f>
        <v>-0.1286117691</v>
      </c>
      <c r="J42" s="56">
        <v>1.4003450891E8</v>
      </c>
      <c r="K42" s="13">
        <f t="shared" ref="K42:K45" si="27">IFERROR(SUM((L42/J42)-1),0)</f>
        <v>-0.1188437168</v>
      </c>
      <c r="L42" s="56">
        <v>1.2339228739E8</v>
      </c>
      <c r="M42" s="13">
        <f t="shared" ref="M42:M45" si="28">IFERROR(SUM((N42/L42)-1),0)</f>
        <v>-0.1182277039</v>
      </c>
      <c r="N42" s="56">
        <v>1.0880390057E8</v>
      </c>
      <c r="O42" s="13">
        <f t="shared" ref="O42:O45" si="29">IFERROR(SUM((P42/N42)-1),0)</f>
        <v>0.2897360147</v>
      </c>
      <c r="P42" s="56">
        <v>1.4032830911E8</v>
      </c>
      <c r="Q42" s="13">
        <f t="shared" ref="Q42:Q45" si="30">IFERROR(SUM((R42/P42)-1),0)</f>
        <v>0</v>
      </c>
      <c r="R42" s="56">
        <v>1.4032830911E8</v>
      </c>
      <c r="S42" s="13">
        <f t="shared" ref="S42:S45" si="31">IFERROR(SUM((T42/R42)-1),0)</f>
        <v>0</v>
      </c>
      <c r="T42" s="56">
        <v>1.4032830911E8</v>
      </c>
      <c r="U42" s="13">
        <f t="shared" ref="U42:U45" si="32">IFERROR(SUM((V42/T42)-1),0)</f>
        <v>-0.1206885612</v>
      </c>
      <c r="V42" s="56">
        <v>1.2339228739E8</v>
      </c>
      <c r="W42" s="13">
        <f t="shared" ref="W42:W45" si="33">IFERROR(SUM((X42/V42)-1),0)</f>
        <v>0</v>
      </c>
      <c r="X42" s="56">
        <v>1.2339228739E8</v>
      </c>
      <c r="Y42" s="13"/>
    </row>
    <row r="43">
      <c r="A43" s="4" t="s">
        <v>70</v>
      </c>
      <c r="B43" s="58">
        <v>4.63529785248E9</v>
      </c>
      <c r="C43" s="13">
        <f t="shared" si="23"/>
        <v>-0.02051702757</v>
      </c>
      <c r="D43" s="58">
        <v>4.54019531863E9</v>
      </c>
      <c r="E43" s="13">
        <f t="shared" si="24"/>
        <v>0.002187902948</v>
      </c>
      <c r="F43" s="58">
        <v>4.55012882535E9</v>
      </c>
      <c r="G43" s="13">
        <f t="shared" si="25"/>
        <v>0.0002668145401</v>
      </c>
      <c r="H43" s="58">
        <v>4.55134286588E9</v>
      </c>
      <c r="I43" s="13">
        <f t="shared" si="26"/>
        <v>0.003104661691</v>
      </c>
      <c r="J43" s="58">
        <v>4.56547324572E9</v>
      </c>
      <c r="K43" s="13">
        <f t="shared" si="27"/>
        <v>0.001412369867</v>
      </c>
      <c r="L43" s="58">
        <v>4.57192138256E9</v>
      </c>
      <c r="M43" s="13">
        <f t="shared" si="28"/>
        <v>0.006371779165</v>
      </c>
      <c r="N43" s="58">
        <v>4.60105265597E9</v>
      </c>
      <c r="O43" s="13">
        <f t="shared" si="29"/>
        <v>0.00112693213</v>
      </c>
      <c r="P43" s="58">
        <v>4.60623773004E9</v>
      </c>
      <c r="Q43" s="13">
        <f t="shared" si="30"/>
        <v>0</v>
      </c>
      <c r="R43" s="58">
        <v>4.60623773004E9</v>
      </c>
      <c r="S43" s="13">
        <f t="shared" si="31"/>
        <v>0</v>
      </c>
      <c r="T43" s="58">
        <v>4.60623773004E9</v>
      </c>
      <c r="U43" s="13">
        <f t="shared" si="32"/>
        <v>-0.007449973165</v>
      </c>
      <c r="V43" s="58">
        <v>4.57192138256E9</v>
      </c>
      <c r="W43" s="13">
        <f t="shared" si="33"/>
        <v>0</v>
      </c>
      <c r="X43" s="58">
        <v>4.57192138256E9</v>
      </c>
      <c r="Y43" s="13"/>
    </row>
    <row r="44">
      <c r="A44" s="4" t="s">
        <v>71</v>
      </c>
      <c r="B44" s="58">
        <v>2.3065218876E8</v>
      </c>
      <c r="C44" s="13">
        <f t="shared" si="23"/>
        <v>0.4485552117</v>
      </c>
      <c r="D44" s="58">
        <v>3.3411243011E8</v>
      </c>
      <c r="E44" s="13">
        <f t="shared" si="24"/>
        <v>0.00628151727</v>
      </c>
      <c r="F44" s="58">
        <v>3.3621116311E8</v>
      </c>
      <c r="G44" s="13">
        <f t="shared" si="25"/>
        <v>-0.01219851001</v>
      </c>
      <c r="H44" s="58">
        <v>3.3210988787E8</v>
      </c>
      <c r="I44" s="13">
        <f t="shared" si="26"/>
        <v>-0.00006833150963</v>
      </c>
      <c r="J44" s="58">
        <v>3.320871943E8</v>
      </c>
      <c r="K44" s="13">
        <f t="shared" si="27"/>
        <v>-0.0009126959883</v>
      </c>
      <c r="L44" s="58">
        <v>3.3178409965E8</v>
      </c>
      <c r="M44" s="13">
        <f t="shared" si="28"/>
        <v>-0.001657227458</v>
      </c>
      <c r="N44" s="58">
        <v>3.3123425793E8</v>
      </c>
      <c r="O44" s="13">
        <f t="shared" si="29"/>
        <v>-0.1579406668</v>
      </c>
      <c r="P44" s="58">
        <v>2.7891889835E8</v>
      </c>
      <c r="Q44" s="13">
        <f t="shared" si="30"/>
        <v>0</v>
      </c>
      <c r="R44" s="58">
        <v>2.7891889835E8</v>
      </c>
      <c r="S44" s="13">
        <f t="shared" si="31"/>
        <v>0</v>
      </c>
      <c r="T44" s="58">
        <v>2.7891889835E8</v>
      </c>
      <c r="U44" s="13">
        <f t="shared" si="32"/>
        <v>0.1895361039</v>
      </c>
      <c r="V44" s="58">
        <v>3.3178409965E8</v>
      </c>
      <c r="W44" s="13">
        <f t="shared" si="33"/>
        <v>0</v>
      </c>
      <c r="X44" s="58">
        <v>3.3178409965E8</v>
      </c>
      <c r="Y44" s="13"/>
    </row>
    <row r="45">
      <c r="A45" s="59" t="s">
        <v>72</v>
      </c>
      <c r="B45" s="24">
        <f>SUM(B42:B44)</f>
        <v>5044951547</v>
      </c>
      <c r="C45" s="13">
        <f t="shared" si="23"/>
        <v>0.001774596397</v>
      </c>
      <c r="D45" s="24">
        <f>SUM(D42:D44)</f>
        <v>5053904300</v>
      </c>
      <c r="E45" s="13">
        <f t="shared" si="24"/>
        <v>0.001056641642</v>
      </c>
      <c r="F45" s="24">
        <f>SUM(F42:F44)</f>
        <v>5059244465</v>
      </c>
      <c r="G45" s="13">
        <f t="shared" si="25"/>
        <v>-0.002982448135</v>
      </c>
      <c r="H45" s="24">
        <f>SUM(H42:H44)</f>
        <v>5044155531</v>
      </c>
      <c r="I45" s="13">
        <f t="shared" si="26"/>
        <v>-0.001300630442</v>
      </c>
      <c r="J45" s="24">
        <f>SUM(J42:J44)</f>
        <v>5037594949</v>
      </c>
      <c r="K45" s="13">
        <f t="shared" si="27"/>
        <v>-0.002083768035</v>
      </c>
      <c r="L45" s="24">
        <f>SUM(L42:L44)</f>
        <v>5027097770</v>
      </c>
      <c r="M45" s="13">
        <f t="shared" si="28"/>
        <v>0.002783523518</v>
      </c>
      <c r="N45" s="24">
        <f>SUM(N42:N44)</f>
        <v>5041090814</v>
      </c>
      <c r="O45" s="13">
        <f t="shared" si="29"/>
        <v>-0.003095734147</v>
      </c>
      <c r="P45" s="24">
        <f>SUM(P42:P44)</f>
        <v>5025484938</v>
      </c>
      <c r="Q45" s="13">
        <f t="shared" si="30"/>
        <v>0</v>
      </c>
      <c r="R45" s="24">
        <f>SUM(R42:R44)</f>
        <v>5025484938</v>
      </c>
      <c r="S45" s="13">
        <f t="shared" si="31"/>
        <v>0</v>
      </c>
      <c r="T45" s="24">
        <f>SUM(T42:T44)</f>
        <v>5025484938</v>
      </c>
      <c r="U45" s="13">
        <f t="shared" si="32"/>
        <v>0.0003209306405</v>
      </c>
      <c r="V45" s="24">
        <f>SUM(V42:V44)</f>
        <v>5027097770</v>
      </c>
      <c r="W45" s="13">
        <f t="shared" si="33"/>
        <v>0</v>
      </c>
      <c r="X45" s="24">
        <f>SUM(X42:X44)</f>
        <v>5027097770</v>
      </c>
    </row>
    <row r="46">
      <c r="Y46" s="13"/>
    </row>
    <row r="47">
      <c r="A47" s="25" t="s">
        <v>73</v>
      </c>
      <c r="B47" s="15">
        <v>2.7935966121E8</v>
      </c>
      <c r="C47" s="13">
        <f t="shared" ref="C47:C57" si="34">IFERROR(SUM((D47/B47)-1),0)</f>
        <v>-0.005912001764</v>
      </c>
      <c r="D47" s="15">
        <v>2.777080864E8</v>
      </c>
      <c r="E47" s="13">
        <f t="shared" ref="E47:E57" si="35">IFERROR(SUM((F47/D47)-1),0)</f>
        <v>-0.005661227047</v>
      </c>
      <c r="F47" s="15">
        <v>2.7613591787E8</v>
      </c>
      <c r="G47" s="13">
        <f t="shared" ref="G47:G57" si="36">IFERROR(SUM((H47/F47)-1),0)</f>
        <v>-0.002190779362</v>
      </c>
      <c r="H47" s="15">
        <v>2.75530965E8</v>
      </c>
      <c r="I47" s="13">
        <f t="shared" ref="I47:I57" si="37">IFERROR(SUM((J47/H47)-1),0)</f>
        <v>-0.0008613836561</v>
      </c>
      <c r="J47" s="15">
        <v>2.7529362713E8</v>
      </c>
      <c r="K47" s="13">
        <f t="shared" ref="K47:K57" si="38">IFERROR(SUM((L47/J47)-1),0)</f>
        <v>-0.000351820894</v>
      </c>
      <c r="L47" s="15">
        <v>2.7519677308E8</v>
      </c>
      <c r="M47" s="13">
        <f t="shared" ref="M47:M57" si="39">IFERROR(SUM((N47/L47)-1),0)</f>
        <v>-0.002544483869</v>
      </c>
      <c r="N47" s="15">
        <v>2.7449653933E8</v>
      </c>
      <c r="O47" s="13">
        <f t="shared" ref="O47:O57" si="40">IFERROR(SUM((P47/N47)-1),0)</f>
        <v>-0.004533059298</v>
      </c>
      <c r="P47" s="15">
        <v>2.7325223024E8</v>
      </c>
      <c r="Q47" s="13">
        <f t="shared" ref="Q47:Q57" si="41">IFERROR(SUM((R47/P47)-1),0)</f>
        <v>0</v>
      </c>
      <c r="R47" s="15">
        <v>2.7325223024E8</v>
      </c>
      <c r="S47" s="13">
        <f t="shared" ref="S47:S57" si="42">IFERROR(SUM((T47/R47)-1),0)</f>
        <v>0</v>
      </c>
      <c r="T47" s="15">
        <v>2.7325223024E8</v>
      </c>
      <c r="U47" s="13">
        <f t="shared" ref="U47:U57" si="43">IFERROR(SUM((V47/T47)-1),0)</f>
        <v>0.007116292659</v>
      </c>
      <c r="V47" s="15">
        <v>2.7519677308E8</v>
      </c>
      <c r="W47" s="13">
        <f t="shared" ref="W47:W55" si="44">IFERROR(SUM((X47/V47)-1),0)</f>
        <v>0</v>
      </c>
      <c r="X47" s="15">
        <v>2.7519677308E8</v>
      </c>
      <c r="Y47" s="13"/>
    </row>
    <row r="48">
      <c r="A48" s="25" t="s">
        <v>74</v>
      </c>
      <c r="B48" s="15">
        <v>8941052.34</v>
      </c>
      <c r="C48" s="13">
        <f t="shared" si="34"/>
        <v>0.8886863523</v>
      </c>
      <c r="D48" s="15">
        <v>1.688684353E7</v>
      </c>
      <c r="E48" s="13">
        <f t="shared" si="35"/>
        <v>0.06746118705</v>
      </c>
      <c r="F48" s="15">
        <v>1.802605004E7</v>
      </c>
      <c r="G48" s="13">
        <f t="shared" si="36"/>
        <v>-0.1468768435</v>
      </c>
      <c r="H48" s="15">
        <v>1.537844071E7</v>
      </c>
      <c r="I48" s="13">
        <f t="shared" si="37"/>
        <v>-1</v>
      </c>
      <c r="J48" s="15">
        <v>0.0</v>
      </c>
      <c r="K48" s="13">
        <f t="shared" si="38"/>
        <v>0</v>
      </c>
      <c r="L48" s="15">
        <v>0.0</v>
      </c>
      <c r="M48" s="13">
        <f t="shared" si="39"/>
        <v>0</v>
      </c>
      <c r="N48" s="15">
        <v>0.0</v>
      </c>
      <c r="O48" s="13">
        <f t="shared" si="40"/>
        <v>0</v>
      </c>
      <c r="P48" s="15">
        <v>0.0</v>
      </c>
      <c r="Q48" s="13">
        <f t="shared" si="41"/>
        <v>0</v>
      </c>
      <c r="R48" s="15">
        <v>0.0</v>
      </c>
      <c r="S48" s="13">
        <f t="shared" si="42"/>
        <v>0</v>
      </c>
      <c r="T48" s="15">
        <v>0.0</v>
      </c>
      <c r="U48" s="13">
        <f t="shared" si="43"/>
        <v>0</v>
      </c>
      <c r="V48" s="15">
        <v>0.0</v>
      </c>
      <c r="W48" s="13">
        <f t="shared" si="44"/>
        <v>0</v>
      </c>
      <c r="X48" s="15">
        <v>0.0</v>
      </c>
      <c r="Y48" s="6"/>
    </row>
    <row r="49">
      <c r="A49" s="25" t="s">
        <v>75</v>
      </c>
      <c r="B49" s="26">
        <f>SUM(B47:B48)</f>
        <v>288300713.6</v>
      </c>
      <c r="C49" s="27">
        <f t="shared" si="34"/>
        <v>0.0218321221</v>
      </c>
      <c r="D49" s="26">
        <f>SUM(D47:D48)</f>
        <v>294594929.9</v>
      </c>
      <c r="E49" s="27">
        <f t="shared" si="35"/>
        <v>-0.001469685918</v>
      </c>
      <c r="F49" s="26">
        <f>SUM(F47:F48)</f>
        <v>294161967.9</v>
      </c>
      <c r="G49" s="27">
        <f t="shared" si="36"/>
        <v>-0.01105704528</v>
      </c>
      <c r="H49" s="26">
        <f>SUM(H47:H48)</f>
        <v>290909405.7</v>
      </c>
      <c r="I49" s="27">
        <f t="shared" si="37"/>
        <v>-0.05367918078</v>
      </c>
      <c r="J49" s="26">
        <f>SUM(J47:J48)</f>
        <v>275293627.1</v>
      </c>
      <c r="K49" s="27">
        <f t="shared" si="38"/>
        <v>-0.000351820894</v>
      </c>
      <c r="L49" s="26">
        <f>SUM(L47:L48)</f>
        <v>275196773.1</v>
      </c>
      <c r="M49" s="27">
        <f t="shared" si="39"/>
        <v>-0.002544483869</v>
      </c>
      <c r="N49" s="26">
        <f>SUM(N47:N48)</f>
        <v>274496539.3</v>
      </c>
      <c r="O49" s="27">
        <f t="shared" si="40"/>
        <v>-0.004533059298</v>
      </c>
      <c r="P49" s="26">
        <f>SUM(P47:P48)</f>
        <v>273252230.2</v>
      </c>
      <c r="Q49" s="27">
        <f t="shared" si="41"/>
        <v>0</v>
      </c>
      <c r="R49" s="26">
        <f>SUM(R47:R48)</f>
        <v>273252230.2</v>
      </c>
      <c r="S49" s="27">
        <f t="shared" si="42"/>
        <v>0</v>
      </c>
      <c r="T49" s="26">
        <f>SUM(T47:T48)</f>
        <v>273252230.2</v>
      </c>
      <c r="U49" s="27">
        <f t="shared" si="43"/>
        <v>0.007116292659</v>
      </c>
      <c r="V49" s="26">
        <f>SUM(V47:V48)</f>
        <v>275196773.1</v>
      </c>
      <c r="W49" s="27">
        <f t="shared" si="44"/>
        <v>0</v>
      </c>
      <c r="X49" s="26">
        <f>SUM(X47:X48)</f>
        <v>275196773.1</v>
      </c>
      <c r="Y49" s="13"/>
    </row>
    <row r="50">
      <c r="A50" s="1" t="s">
        <v>76</v>
      </c>
      <c r="B50" s="62">
        <f>B21/B62</f>
        <v>0.0008758999418</v>
      </c>
      <c r="C50" s="31">
        <f t="shared" si="34"/>
        <v>-0.7609965344</v>
      </c>
      <c r="D50" s="62">
        <f>D21/D62</f>
        <v>0.0002093431216</v>
      </c>
      <c r="E50" s="31">
        <f t="shared" si="35"/>
        <v>0.03450083739</v>
      </c>
      <c r="F50" s="62">
        <f>F21/F62</f>
        <v>0.0002165656346</v>
      </c>
      <c r="G50" s="31">
        <f t="shared" si="36"/>
        <v>0.4765644568</v>
      </c>
      <c r="H50" s="62">
        <f>H21/H62</f>
        <v>0.0003197731186</v>
      </c>
      <c r="I50" s="31">
        <f t="shared" si="37"/>
        <v>0.003775514416</v>
      </c>
      <c r="J50" s="62">
        <f>J21/J62</f>
        <v>0.0003209804266</v>
      </c>
      <c r="K50" s="31">
        <f t="shared" si="38"/>
        <v>-0.2238365616</v>
      </c>
      <c r="L50" s="62">
        <f>L21/L62</f>
        <v>0.0002491332715</v>
      </c>
      <c r="M50" s="31">
        <f t="shared" si="39"/>
        <v>1.141193402</v>
      </c>
      <c r="N50" s="62">
        <f>N21/N62</f>
        <v>0.0005334425173</v>
      </c>
      <c r="O50" s="31">
        <f t="shared" si="40"/>
        <v>-0.3191171981</v>
      </c>
      <c r="P50" s="62">
        <f>P21/P62</f>
        <v>0.0003632118358</v>
      </c>
      <c r="Q50" s="31">
        <f t="shared" si="41"/>
        <v>-0.120024822</v>
      </c>
      <c r="R50" s="62">
        <f>R21/R62</f>
        <v>0.0003196173998</v>
      </c>
      <c r="S50" s="31">
        <f t="shared" si="42"/>
        <v>0</v>
      </c>
      <c r="T50" s="62">
        <f>T21/T62</f>
        <v>0.0003196173998</v>
      </c>
      <c r="U50" s="31">
        <f t="shared" si="43"/>
        <v>0.0006092348641</v>
      </c>
      <c r="V50" s="62">
        <f>V21/V62</f>
        <v>0.0003198121219</v>
      </c>
      <c r="W50" s="31">
        <f t="shared" si="44"/>
        <v>0</v>
      </c>
      <c r="X50" s="62">
        <f>X21/X62</f>
        <v>0.0003198121219</v>
      </c>
      <c r="Y50" s="13"/>
    </row>
    <row r="51">
      <c r="A51" s="1" t="s">
        <v>77</v>
      </c>
      <c r="B51" s="31">
        <f>B49/B45</f>
        <v>0.05714637908</v>
      </c>
      <c r="C51" s="31">
        <f t="shared" si="34"/>
        <v>0.02002199474</v>
      </c>
      <c r="D51" s="31">
        <f>D49/D45</f>
        <v>0.05829056358</v>
      </c>
      <c r="E51" s="31">
        <f t="shared" si="35"/>
        <v>-0.002523660955</v>
      </c>
      <c r="F51" s="31">
        <f>F49/F45</f>
        <v>0.05814345797</v>
      </c>
      <c r="G51" s="31">
        <f t="shared" si="36"/>
        <v>-0.008098751255</v>
      </c>
      <c r="H51" s="31">
        <f>H49/H45</f>
        <v>0.05767256856</v>
      </c>
      <c r="I51" s="31">
        <f t="shared" si="37"/>
        <v>-0.0524467642</v>
      </c>
      <c r="J51" s="31">
        <f>J49/J45</f>
        <v>0.05464782896</v>
      </c>
      <c r="K51" s="31">
        <f t="shared" si="38"/>
        <v>0.001735563654</v>
      </c>
      <c r="L51" s="31">
        <f>L49/L45</f>
        <v>0.05474267374</v>
      </c>
      <c r="M51" s="31">
        <f t="shared" si="39"/>
        <v>-0.005313217921</v>
      </c>
      <c r="N51" s="31">
        <f>N49/N45</f>
        <v>0.05445181399</v>
      </c>
      <c r="O51" s="31">
        <f t="shared" si="40"/>
        <v>-0.001441788546</v>
      </c>
      <c r="P51" s="31">
        <f>P49/P45</f>
        <v>0.05437330599</v>
      </c>
      <c r="Q51" s="31">
        <f t="shared" si="41"/>
        <v>0</v>
      </c>
      <c r="R51" s="31">
        <f>R49/R45</f>
        <v>0.05437330599</v>
      </c>
      <c r="S51" s="31">
        <f t="shared" si="42"/>
        <v>0</v>
      </c>
      <c r="T51" s="31">
        <f>T49/T45</f>
        <v>0.05437330599</v>
      </c>
      <c r="U51" s="31">
        <f t="shared" si="43"/>
        <v>0.006793181878</v>
      </c>
      <c r="V51" s="31">
        <f>V49/V45</f>
        <v>0.05474267374</v>
      </c>
      <c r="W51" s="31">
        <f t="shared" si="44"/>
        <v>0</v>
      </c>
      <c r="X51" s="31">
        <f>X49/X45</f>
        <v>0.05474267374</v>
      </c>
      <c r="Y51" s="13"/>
    </row>
    <row r="52">
      <c r="A52" s="1" t="s">
        <v>78</v>
      </c>
      <c r="B52" s="31">
        <f>B49/B62</f>
        <v>0.06230393366</v>
      </c>
      <c r="C52" s="31">
        <f t="shared" si="34"/>
        <v>0.01839039726</v>
      </c>
      <c r="D52" s="31">
        <f>D49/D62</f>
        <v>0.06344972775</v>
      </c>
      <c r="E52" s="31">
        <f t="shared" si="35"/>
        <v>0.0023851914</v>
      </c>
      <c r="F52" s="31">
        <f>F49/F62</f>
        <v>0.06360106749</v>
      </c>
      <c r="G52" s="31">
        <f t="shared" si="36"/>
        <v>-0.008484025261</v>
      </c>
      <c r="H52" s="31">
        <f>H49/H62</f>
        <v>0.06306147443</v>
      </c>
      <c r="I52" s="31">
        <f t="shared" si="37"/>
        <v>-0.05550064388</v>
      </c>
      <c r="J52" s="31">
        <f>J49/J62</f>
        <v>0.05956152199</v>
      </c>
      <c r="K52" s="31">
        <f t="shared" si="38"/>
        <v>0.001805023357</v>
      </c>
      <c r="L52" s="31">
        <f>L49/L62</f>
        <v>0.05966903193</v>
      </c>
      <c r="M52" s="31">
        <f t="shared" si="39"/>
        <v>-0.004173060795</v>
      </c>
      <c r="N52" s="31">
        <f>N49/N62</f>
        <v>0.05942002944</v>
      </c>
      <c r="O52" s="31">
        <f t="shared" si="40"/>
        <v>-0.003552582778</v>
      </c>
      <c r="P52" s="31">
        <f>P49/P62</f>
        <v>0.05920893486</v>
      </c>
      <c r="Q52" s="31">
        <f t="shared" si="41"/>
        <v>-0.00006611386367</v>
      </c>
      <c r="R52" s="31">
        <f>R49/R62</f>
        <v>0.05920502033</v>
      </c>
      <c r="S52" s="31">
        <f t="shared" si="42"/>
        <v>0</v>
      </c>
      <c r="T52" s="31">
        <f>T49/T62</f>
        <v>0.05920502033</v>
      </c>
      <c r="U52" s="31">
        <f t="shared" si="43"/>
        <v>0.007729863016</v>
      </c>
      <c r="V52" s="31">
        <f>V49/V62</f>
        <v>0.05966266703</v>
      </c>
      <c r="W52" s="31">
        <f t="shared" si="44"/>
        <v>0</v>
      </c>
      <c r="X52" s="31">
        <f>X49/X62</f>
        <v>0.05966266703</v>
      </c>
      <c r="Y52" s="13"/>
    </row>
    <row r="53">
      <c r="A53" s="4" t="s">
        <v>79</v>
      </c>
      <c r="B53" s="15">
        <f>B34</f>
        <v>35255059</v>
      </c>
      <c r="C53" s="13">
        <f t="shared" si="34"/>
        <v>-0.2960000152</v>
      </c>
      <c r="D53" s="15">
        <f>D34</f>
        <v>24819561</v>
      </c>
      <c r="E53" s="13">
        <f t="shared" si="35"/>
        <v>0.2500000302</v>
      </c>
      <c r="F53" s="15">
        <f>F34</f>
        <v>31024452</v>
      </c>
      <c r="G53" s="13">
        <f t="shared" si="36"/>
        <v>0</v>
      </c>
      <c r="H53" s="15">
        <f>H34</f>
        <v>31024452</v>
      </c>
      <c r="I53" s="13">
        <f t="shared" si="37"/>
        <v>0</v>
      </c>
      <c r="J53" s="15">
        <f>J34</f>
        <v>31024452</v>
      </c>
      <c r="K53" s="13">
        <f t="shared" si="38"/>
        <v>0</v>
      </c>
      <c r="L53" s="15">
        <f>L34</f>
        <v>31024452</v>
      </c>
      <c r="M53" s="13">
        <f t="shared" si="39"/>
        <v>0.2545454469</v>
      </c>
      <c r="N53" s="15">
        <f>N34</f>
        <v>38921585</v>
      </c>
      <c r="O53" s="13">
        <f t="shared" si="40"/>
        <v>-0.2028985459</v>
      </c>
      <c r="P53" s="15">
        <f>P34</f>
        <v>31024452</v>
      </c>
      <c r="Q53" s="13">
        <f t="shared" si="41"/>
        <v>0</v>
      </c>
      <c r="R53" s="15">
        <f>R34</f>
        <v>31024452</v>
      </c>
      <c r="S53" s="13">
        <f t="shared" si="42"/>
        <v>0</v>
      </c>
      <c r="T53" s="15">
        <f>T34</f>
        <v>31024452</v>
      </c>
      <c r="U53" s="13">
        <f t="shared" si="43"/>
        <v>0</v>
      </c>
      <c r="V53" s="15">
        <f>V34</f>
        <v>31024452</v>
      </c>
      <c r="W53" s="13">
        <f t="shared" si="44"/>
        <v>0</v>
      </c>
      <c r="X53" s="15">
        <f>X34</f>
        <v>31024452</v>
      </c>
      <c r="Y53" s="13"/>
    </row>
    <row r="54">
      <c r="A54" s="4" t="s">
        <v>80</v>
      </c>
      <c r="B54" s="15">
        <f>B24</f>
        <v>3464399</v>
      </c>
      <c r="C54" s="13">
        <f t="shared" si="34"/>
        <v>0.1974755217</v>
      </c>
      <c r="D54" s="15">
        <f>D24</f>
        <v>4148533</v>
      </c>
      <c r="E54" s="13">
        <f t="shared" si="35"/>
        <v>0.006159767802</v>
      </c>
      <c r="F54" s="15">
        <f>F24</f>
        <v>4174087</v>
      </c>
      <c r="G54" s="13">
        <f t="shared" si="36"/>
        <v>-0.1170090609</v>
      </c>
      <c r="H54" s="15">
        <f>H24</f>
        <v>3685681</v>
      </c>
      <c r="I54" s="13">
        <f t="shared" si="37"/>
        <v>0.2280088809</v>
      </c>
      <c r="J54" s="15">
        <f>J24</f>
        <v>4526049</v>
      </c>
      <c r="K54" s="13">
        <f t="shared" si="38"/>
        <v>-0.07696492018</v>
      </c>
      <c r="L54" s="15">
        <f>L24</f>
        <v>4177702</v>
      </c>
      <c r="M54" s="13">
        <f t="shared" si="39"/>
        <v>-0.03477438075</v>
      </c>
      <c r="N54" s="15">
        <f>N24</f>
        <v>4032425</v>
      </c>
      <c r="O54" s="13">
        <f t="shared" si="40"/>
        <v>-0.01031761285</v>
      </c>
      <c r="P54" s="15">
        <f>P24</f>
        <v>3990820</v>
      </c>
      <c r="Q54" s="13">
        <f t="shared" si="41"/>
        <v>-0.07646022622</v>
      </c>
      <c r="R54" s="15">
        <f>R24</f>
        <v>3685681</v>
      </c>
      <c r="S54" s="13">
        <f t="shared" si="42"/>
        <v>0</v>
      </c>
      <c r="T54" s="15">
        <f>T24</f>
        <v>3685681</v>
      </c>
      <c r="U54" s="13">
        <f t="shared" si="43"/>
        <v>0</v>
      </c>
      <c r="V54" s="15">
        <f>V24</f>
        <v>3685681</v>
      </c>
      <c r="W54" s="13">
        <f t="shared" si="44"/>
        <v>0</v>
      </c>
      <c r="X54" s="15">
        <f>X24</f>
        <v>3685681</v>
      </c>
      <c r="Y54" s="13"/>
    </row>
    <row r="55">
      <c r="A55" s="1" t="s">
        <v>81</v>
      </c>
      <c r="B55" s="62">
        <f>IFERROR(B54/B29,0)</f>
        <v>0.1223763427</v>
      </c>
      <c r="C55" s="31">
        <f t="shared" si="34"/>
        <v>0.4936248084</v>
      </c>
      <c r="D55" s="62">
        <f>IFERROR(D54/D29,0)</f>
        <v>0.1827843414</v>
      </c>
      <c r="E55" s="31">
        <f t="shared" si="35"/>
        <v>0.009378427286</v>
      </c>
      <c r="F55" s="62">
        <f>IFERROR(F54/F29,0)</f>
        <v>0.184498571</v>
      </c>
      <c r="G55" s="31">
        <f t="shared" si="36"/>
        <v>-0.2258478461</v>
      </c>
      <c r="H55" s="62">
        <f>IFERROR(H54/H29,0)</f>
        <v>0.1428299662</v>
      </c>
      <c r="I55" s="31">
        <f t="shared" si="37"/>
        <v>0.439708693</v>
      </c>
      <c r="J55" s="62">
        <f>IFERROR(J54/J29,0)</f>
        <v>0.2056335439</v>
      </c>
      <c r="K55" s="31">
        <f t="shared" si="38"/>
        <v>-0.1184751857</v>
      </c>
      <c r="L55" s="62">
        <f>IFERROR(L54/L29,0)</f>
        <v>0.1812710716</v>
      </c>
      <c r="M55" s="31">
        <f t="shared" si="39"/>
        <v>0.03096150076</v>
      </c>
      <c r="N55" s="62">
        <f>IFERROR(N54/N29,0)</f>
        <v>0.186883496</v>
      </c>
      <c r="O55" s="31">
        <f t="shared" si="40"/>
        <v>-0.1861015061</v>
      </c>
      <c r="P55" s="62">
        <f>IFERROR(P54/P29,0)</f>
        <v>0.152104196</v>
      </c>
      <c r="Q55" s="31">
        <f t="shared" si="41"/>
        <v>-0.06097287281</v>
      </c>
      <c r="R55" s="62">
        <f>IFERROR(R54/R29,0)</f>
        <v>0.1428299662</v>
      </c>
      <c r="S55" s="31">
        <f t="shared" si="42"/>
        <v>0</v>
      </c>
      <c r="T55" s="62">
        <f>IFERROR(T54/T29,0)</f>
        <v>0.1428299662</v>
      </c>
      <c r="U55" s="31">
        <f t="shared" si="43"/>
        <v>0</v>
      </c>
      <c r="V55" s="62">
        <f>IFERROR(V54/V29,0)</f>
        <v>0.1428299662</v>
      </c>
      <c r="W55" s="31">
        <f t="shared" si="44"/>
        <v>0</v>
      </c>
      <c r="X55" s="62">
        <f>IFERROR(X54/X29,0)</f>
        <v>0.1428299662</v>
      </c>
      <c r="Y55" s="13"/>
    </row>
    <row r="56">
      <c r="A56" s="25" t="s">
        <v>82</v>
      </c>
      <c r="B56" s="63">
        <f>IFERROR(B54/(B78*B36),0)*12</f>
        <v>0.009583880401</v>
      </c>
      <c r="C56" s="27">
        <f t="shared" si="34"/>
        <v>0.1121481597</v>
      </c>
      <c r="D56" s="63">
        <f>IFERROR(D54/(D78*D36),0)*12</f>
        <v>0.01065869495</v>
      </c>
      <c r="E56" s="27">
        <f t="shared" si="35"/>
        <v>-0.0114502667</v>
      </c>
      <c r="F56" s="63">
        <f>IFERROR(F54/(F78*F36),0)*12</f>
        <v>0.01053665005</v>
      </c>
      <c r="G56" s="27">
        <f t="shared" si="36"/>
        <v>-0.1140128421</v>
      </c>
      <c r="H56" s="63">
        <f>IFERROR(H54/(H78*H36),0)*12</f>
        <v>0.009335336632</v>
      </c>
      <c r="I56" s="27">
        <f t="shared" si="37"/>
        <v>0.228740361</v>
      </c>
      <c r="J56" s="63">
        <f>IFERROR(J54/(J78*J36),0)*12</f>
        <v>0.0114707049</v>
      </c>
      <c r="K56" s="27">
        <f t="shared" si="38"/>
        <v>-0.04658137451</v>
      </c>
      <c r="L56" s="63">
        <f>IFERROR(L54/(L78*L36),0)*12</f>
        <v>0.0109363837</v>
      </c>
      <c r="M56" s="27">
        <f t="shared" si="39"/>
        <v>0.01994746699</v>
      </c>
      <c r="N56" s="63">
        <f>IFERROR(N54/(N78*N36),0)*12</f>
        <v>0.01115453686</v>
      </c>
      <c r="O56" s="27">
        <f t="shared" si="40"/>
        <v>-0.03503614601</v>
      </c>
      <c r="P56" s="63">
        <f>IFERROR(P54/(P78*P36),0)*12</f>
        <v>0.01076372487</v>
      </c>
      <c r="Q56" s="27">
        <f t="shared" si="41"/>
        <v>-0.05280281312</v>
      </c>
      <c r="R56" s="63">
        <f>IFERROR(R54/(R78*R36),0)*12</f>
        <v>0.01019536992</v>
      </c>
      <c r="S56" s="27">
        <f t="shared" si="42"/>
        <v>0</v>
      </c>
      <c r="T56" s="63">
        <f>IFERROR(T54/(T78*T36),0)*12</f>
        <v>0.01019536992</v>
      </c>
      <c r="U56" s="27">
        <f t="shared" si="43"/>
        <v>0</v>
      </c>
      <c r="V56" s="63">
        <f>IFERROR(V54/(V78*V36),0)*12</f>
        <v>0.01019536992</v>
      </c>
      <c r="W56" s="27">
        <f>IFERROR(SUM((X56/V60)-1),0)</f>
        <v>-0.886560453</v>
      </c>
      <c r="X56" s="63">
        <f>IFERROR(X54/(X78*X36),0)*12</f>
        <v>0.01019536992</v>
      </c>
    </row>
    <row r="57">
      <c r="A57" s="65" t="s">
        <v>83</v>
      </c>
      <c r="B57" s="67">
        <v>9.06037472E7</v>
      </c>
      <c r="C57" s="68">
        <f t="shared" si="34"/>
        <v>-0.035633093</v>
      </c>
      <c r="D57" s="67">
        <v>8.737525545E7</v>
      </c>
      <c r="E57" s="68">
        <f t="shared" si="35"/>
        <v>0.1991199721</v>
      </c>
      <c r="F57" s="67">
        <v>1.0477341388E8</v>
      </c>
      <c r="G57" s="68">
        <f t="shared" si="36"/>
        <v>0.006245516546</v>
      </c>
      <c r="H57" s="67">
        <v>1.0542777797E8</v>
      </c>
      <c r="I57" s="68">
        <f t="shared" si="37"/>
        <v>-0.006464442039</v>
      </c>
      <c r="J57" s="67">
        <v>1.0474624621E8</v>
      </c>
      <c r="K57" s="68">
        <f t="shared" si="38"/>
        <v>-0.0009641972257</v>
      </c>
      <c r="L57" s="67">
        <v>1.0464525017E8</v>
      </c>
      <c r="M57" s="68">
        <f t="shared" si="39"/>
        <v>-0.005744522556</v>
      </c>
      <c r="N57" s="67">
        <v>1.0404411317E8</v>
      </c>
      <c r="O57" s="68">
        <f t="shared" si="40"/>
        <v>-0.01804307618</v>
      </c>
      <c r="P57" s="67">
        <v>1.0216683731E8</v>
      </c>
      <c r="Q57" s="68">
        <f t="shared" si="41"/>
        <v>0</v>
      </c>
      <c r="R57" s="67">
        <v>1.0216683731E8</v>
      </c>
      <c r="S57" s="68">
        <f t="shared" si="42"/>
        <v>0</v>
      </c>
      <c r="T57" s="67">
        <v>1.0216683731E8</v>
      </c>
      <c r="U57" s="68">
        <f t="shared" si="43"/>
        <v>0.02425848666</v>
      </c>
      <c r="V57" s="67">
        <v>1.0464525017E8</v>
      </c>
      <c r="W57" s="68">
        <f>IFERROR(SUM((X57/V57)-1),0)</f>
        <v>0</v>
      </c>
      <c r="X57" s="67">
        <v>1.0464525017E8</v>
      </c>
      <c r="Y57" s="13"/>
    </row>
    <row r="58">
      <c r="B58" s="64"/>
      <c r="C58" s="13"/>
      <c r="D58" s="64"/>
      <c r="E58" s="13"/>
      <c r="F58" s="64"/>
      <c r="G58" s="13"/>
      <c r="H58" s="64"/>
      <c r="I58" s="13"/>
      <c r="J58" s="64"/>
      <c r="K58" s="13"/>
      <c r="L58" s="64"/>
      <c r="M58" s="13"/>
      <c r="N58" s="64"/>
      <c r="O58" s="13"/>
      <c r="P58" s="64"/>
      <c r="Q58" s="13"/>
      <c r="R58" s="64"/>
      <c r="S58" s="13"/>
      <c r="T58" s="64"/>
      <c r="U58" s="13"/>
      <c r="V58" s="64"/>
      <c r="W58" s="13"/>
      <c r="X58" s="64"/>
      <c r="Y58" s="13"/>
    </row>
    <row r="59">
      <c r="A59" s="25" t="s">
        <v>84</v>
      </c>
      <c r="B59" s="24">
        <f>SUM(B53,B49,B54,B57)</f>
        <v>417623918.8</v>
      </c>
      <c r="C59" s="13">
        <f t="shared" ref="C59:C62" si="45">IFERROR(SUM((D59/B59)-1),0)</f>
        <v>-0.01600875589</v>
      </c>
      <c r="D59" s="24">
        <f>SUM(D53,D49,D54,D57)</f>
        <v>410938279.4</v>
      </c>
      <c r="E59" s="13">
        <f t="shared" ref="E59:E62" si="46">IFERROR(SUM((F59/D59)-1),0)</f>
        <v>0.05644556026</v>
      </c>
      <c r="F59" s="24">
        <f>SUM(F53,F49,F54,F57)</f>
        <v>434133920.8</v>
      </c>
      <c r="G59" s="13">
        <f t="shared" ref="G59:G62" si="47">IFERROR(SUM((H59/F59)-1),0)</f>
        <v>-0.007109797144</v>
      </c>
      <c r="H59" s="24">
        <f>SUM(H53,H49,H54,H57)</f>
        <v>431047316.7</v>
      </c>
      <c r="I59" s="13">
        <f t="shared" ref="I59:I62" si="48">IFERROR(SUM((J59/H59)-1),0)</f>
        <v>-0.03585903854</v>
      </c>
      <c r="J59" s="24">
        <f>SUM(J53,J49,J54,J57)</f>
        <v>415590374.3</v>
      </c>
      <c r="K59" s="13">
        <f t="shared" ref="K59:K62" si="49">IFERROR(SUM((L59/J59)-1),0)</f>
        <v>-0.001314267904</v>
      </c>
      <c r="L59" s="24">
        <f>SUM(L53,L49,L54,L57)</f>
        <v>415044177.3</v>
      </c>
      <c r="M59" s="13">
        <f t="shared" ref="M59:M62" si="50">IFERROR(SUM((N59/L59)-1),0)</f>
        <v>0.01554168352</v>
      </c>
      <c r="N59" s="24">
        <f>SUM(N53,N49,N54,N57)</f>
        <v>421494662.5</v>
      </c>
      <c r="O59" s="13">
        <f t="shared" ref="O59:O62" si="51">IFERROR(SUM((P59/N59)-1),0)</f>
        <v>-0.02624071888</v>
      </c>
      <c r="P59" s="24">
        <f>SUM(P53,P49,P54,P57)</f>
        <v>410434339.6</v>
      </c>
      <c r="Q59" s="13">
        <f t="shared" ref="Q59:Q62" si="52">IFERROR(SUM((R59/P59)-1),0)</f>
        <v>-0.0007434538746</v>
      </c>
      <c r="R59" s="24">
        <f>SUM(R53,R49,R54,R57)</f>
        <v>410129200.6</v>
      </c>
      <c r="S59" s="13">
        <f t="shared" ref="S59:S62" si="53">IFERROR(SUM((T59/R59)-1),0)</f>
        <v>0</v>
      </c>
      <c r="T59" s="24">
        <f>SUM(T53,T49,T54,T57)</f>
        <v>410129200.6</v>
      </c>
      <c r="U59" s="13">
        <f t="shared" ref="U59:U62" si="54">IFERROR(SUM((V59/T59)-1),0)</f>
        <v>0.01078429845</v>
      </c>
      <c r="V59" s="24">
        <f>SUM(V53,V49,V54,V57)</f>
        <v>414552156.3</v>
      </c>
      <c r="W59" s="13">
        <f t="shared" ref="W59:W62" si="55">IFERROR(SUM((X59/V59)-1),0)</f>
        <v>0</v>
      </c>
      <c r="X59" s="24">
        <f>SUM(X53,X49,X54,X57)</f>
        <v>414552156.3</v>
      </c>
      <c r="Y59" s="13"/>
    </row>
    <row r="60">
      <c r="A60" s="4" t="s">
        <v>85</v>
      </c>
      <c r="B60" s="13">
        <f>(B45/B62)-1</f>
        <v>0.09025164249</v>
      </c>
      <c r="C60" s="13">
        <f t="shared" si="45"/>
        <v>-0.01932302546</v>
      </c>
      <c r="D60" s="13">
        <f>(D45/D62)-1</f>
        <v>0.0885077077</v>
      </c>
      <c r="E60" s="13">
        <f t="shared" si="46"/>
        <v>0.06052402234</v>
      </c>
      <c r="F60" s="13">
        <f>(F45/F62)-1</f>
        <v>0.09386455018</v>
      </c>
      <c r="G60" s="13">
        <f t="shared" si="47"/>
        <v>-0.004526507218</v>
      </c>
      <c r="H60" s="13">
        <f>(H45/H62)-1</f>
        <v>0.09343967161</v>
      </c>
      <c r="I60" s="13">
        <f t="shared" si="48"/>
        <v>-0.03771480156</v>
      </c>
      <c r="J60" s="13">
        <f>(J45/J62)-1</f>
        <v>0.08991561294</v>
      </c>
      <c r="K60" s="13">
        <f t="shared" si="49"/>
        <v>0.0008404997687</v>
      </c>
      <c r="L60" s="13">
        <f>(L45/L62)-1</f>
        <v>0.08999118699</v>
      </c>
      <c r="M60" s="13">
        <f t="shared" si="50"/>
        <v>0.01388357674</v>
      </c>
      <c r="N60" s="13">
        <f>(N45/N62)-1</f>
        <v>0.09124058654</v>
      </c>
      <c r="O60" s="13">
        <f t="shared" si="51"/>
        <v>-0.02528162313</v>
      </c>
      <c r="P60" s="13">
        <f>(P45/P62)-1</f>
        <v>0.08893387642</v>
      </c>
      <c r="Q60" s="13">
        <f t="shared" si="52"/>
        <v>-0.0008095185856</v>
      </c>
      <c r="R60" s="13">
        <f>(R45/R62)-1</f>
        <v>0.08886188279</v>
      </c>
      <c r="S60" s="13">
        <f t="shared" si="53"/>
        <v>0</v>
      </c>
      <c r="T60" s="13">
        <f>(T45/T62)-1</f>
        <v>0.08886188279</v>
      </c>
      <c r="U60" s="13">
        <f t="shared" si="54"/>
        <v>0.01140010348</v>
      </c>
      <c r="V60" s="13">
        <f>(V45/V62)-1</f>
        <v>0.08987491745</v>
      </c>
      <c r="W60" s="13">
        <f t="shared" si="55"/>
        <v>0</v>
      </c>
      <c r="X60" s="13">
        <f>(X45/X62)-1</f>
        <v>0.08987491745</v>
      </c>
    </row>
    <row r="61">
      <c r="A61" s="1" t="s">
        <v>86</v>
      </c>
      <c r="B61" s="69">
        <f>IFERROR(B29/B21,0)</f>
        <v>6.984666707</v>
      </c>
      <c r="C61" s="13">
        <f t="shared" si="45"/>
        <v>2.343148534</v>
      </c>
      <c r="D61" s="69">
        <f>IFERROR(D29/D21,0)</f>
        <v>23.35077826</v>
      </c>
      <c r="E61" s="13">
        <f t="shared" si="46"/>
        <v>-0.03271273389</v>
      </c>
      <c r="F61" s="69">
        <f>IFERROR(F29/F21,0)</f>
        <v>22.58691047</v>
      </c>
      <c r="G61" s="13">
        <f t="shared" si="47"/>
        <v>-0.2255275287</v>
      </c>
      <c r="H61" s="69">
        <f>IFERROR(H29/H21,0)</f>
        <v>17.49294037</v>
      </c>
      <c r="I61" s="13">
        <f t="shared" si="48"/>
        <v>-0.1518873234</v>
      </c>
      <c r="J61" s="69">
        <f>IFERROR(J29/J21,0)</f>
        <v>14.83598448</v>
      </c>
      <c r="K61" s="13">
        <f t="shared" si="49"/>
        <v>0.3519683021</v>
      </c>
      <c r="L61" s="69">
        <f>IFERROR(L29/L21,0)</f>
        <v>20.05778074</v>
      </c>
      <c r="M61" s="13">
        <f t="shared" si="50"/>
        <v>-0.5634632301</v>
      </c>
      <c r="N61" s="69">
        <f>IFERROR(N29/N21,0)</f>
        <v>8.755958818</v>
      </c>
      <c r="O61" s="13">
        <f t="shared" si="51"/>
        <v>0.7876429313</v>
      </c>
      <c r="P61" s="69">
        <f>IFERROR(P29/P21,0)</f>
        <v>15.65252789</v>
      </c>
      <c r="Q61" s="13">
        <f t="shared" si="52"/>
        <v>0.1175792494</v>
      </c>
      <c r="R61" s="69">
        <f>IFERROR(R29/R21,0)</f>
        <v>17.49294037</v>
      </c>
      <c r="S61" s="13">
        <f t="shared" si="53"/>
        <v>0</v>
      </c>
      <c r="T61" s="69">
        <f>IFERROR(T29/T21,0)</f>
        <v>17.49294037</v>
      </c>
      <c r="U61" s="13">
        <f t="shared" si="54"/>
        <v>0</v>
      </c>
      <c r="V61" s="69">
        <f>IFERROR(V29/V21,0)</f>
        <v>17.49294037</v>
      </c>
      <c r="W61" s="13">
        <f t="shared" si="55"/>
        <v>0</v>
      </c>
      <c r="X61" s="69">
        <f>IFERROR(X29/X21,0)</f>
        <v>17.49294037</v>
      </c>
    </row>
    <row r="62">
      <c r="A62" s="28" t="s">
        <v>87</v>
      </c>
      <c r="B62" s="22">
        <f>SUM(B45-B59)</f>
        <v>4627327628</v>
      </c>
      <c r="C62" s="13">
        <f t="shared" si="45"/>
        <v>0.00337957315</v>
      </c>
      <c r="D62" s="22">
        <f>SUM(D45-D59)</f>
        <v>4642966020</v>
      </c>
      <c r="E62" s="13">
        <f t="shared" si="46"/>
        <v>-0.003845704576</v>
      </c>
      <c r="F62" s="22">
        <f>SUM(F45-F59)</f>
        <v>4625110545</v>
      </c>
      <c r="G62" s="13">
        <f t="shared" si="47"/>
        <v>-0.002595036377</v>
      </c>
      <c r="H62" s="22">
        <f>SUM(H45-H59)</f>
        <v>4613108214</v>
      </c>
      <c r="I62" s="13">
        <f t="shared" si="48"/>
        <v>0.001928495861</v>
      </c>
      <c r="J62" s="22">
        <f>SUM(J45-J59)</f>
        <v>4622004575</v>
      </c>
      <c r="K62" s="13">
        <f t="shared" si="49"/>
        <v>-0.002152958111</v>
      </c>
      <c r="L62" s="22">
        <f>SUM(L45-L59)</f>
        <v>4612053592</v>
      </c>
      <c r="M62" s="13">
        <f t="shared" si="50"/>
        <v>0.001635401556</v>
      </c>
      <c r="N62" s="22">
        <f>SUM(N45-N59)</f>
        <v>4619596152</v>
      </c>
      <c r="O62" s="13">
        <f t="shared" si="51"/>
        <v>-0.0009839721635</v>
      </c>
      <c r="P62" s="22">
        <f>SUM(P45-P59)</f>
        <v>4615050598</v>
      </c>
      <c r="Q62" s="13">
        <f t="shared" si="52"/>
        <v>0.00006611823501</v>
      </c>
      <c r="R62" s="22">
        <f>SUM(R45-R59)</f>
        <v>4615355737</v>
      </c>
      <c r="S62" s="13">
        <f t="shared" si="53"/>
        <v>0</v>
      </c>
      <c r="T62" s="22">
        <f>SUM(T45-T59)</f>
        <v>4615355737</v>
      </c>
      <c r="U62" s="13">
        <f t="shared" si="54"/>
        <v>-0.000608863923</v>
      </c>
      <c r="V62" s="22">
        <f>SUM(V45-V59)</f>
        <v>4612545613</v>
      </c>
      <c r="W62" s="13">
        <f t="shared" si="55"/>
        <v>0</v>
      </c>
      <c r="X62" s="22">
        <f>SUM(X45-X59)</f>
        <v>4612545613</v>
      </c>
    </row>
    <row r="63">
      <c r="A63" s="52"/>
      <c r="B63" s="2" t="s">
        <v>1</v>
      </c>
      <c r="C63" s="3">
        <f>$C$1</f>
        <v>46027</v>
      </c>
      <c r="D63" s="2" t="s">
        <v>1</v>
      </c>
      <c r="E63" s="3">
        <f>$E$1</f>
        <v>46056</v>
      </c>
      <c r="F63" s="2" t="s">
        <v>1</v>
      </c>
      <c r="G63" s="3">
        <f>$G$1</f>
        <v>46083</v>
      </c>
      <c r="H63" s="2" t="s">
        <v>1</v>
      </c>
      <c r="I63" s="3">
        <f>$I$1</f>
        <v>46113</v>
      </c>
      <c r="J63" s="2" t="s">
        <v>1</v>
      </c>
      <c r="K63" s="3">
        <f>$K$1</f>
        <v>46147</v>
      </c>
      <c r="L63" s="2" t="s">
        <v>1</v>
      </c>
      <c r="M63" s="3">
        <f>$M$1</f>
        <v>46174</v>
      </c>
      <c r="N63" s="2" t="s">
        <v>2</v>
      </c>
      <c r="O63" s="3">
        <f>$O$1</f>
        <v>46205</v>
      </c>
      <c r="P63" s="2" t="s">
        <v>1</v>
      </c>
      <c r="Q63" s="3">
        <f>$Q$1</f>
        <v>46238</v>
      </c>
      <c r="R63" s="2" t="s">
        <v>3</v>
      </c>
      <c r="S63" s="3">
        <f>$S$1</f>
        <v>46195</v>
      </c>
      <c r="T63" s="2" t="s">
        <v>3</v>
      </c>
      <c r="U63" s="3">
        <f>$U$1</f>
        <v>46195</v>
      </c>
      <c r="V63" s="2" t="s">
        <v>3</v>
      </c>
      <c r="W63" s="3">
        <f>$W$1</f>
        <v>46195</v>
      </c>
      <c r="X63" s="2" t="s">
        <v>3</v>
      </c>
      <c r="Y63" s="3">
        <f>$Y$1</f>
        <v>46195</v>
      </c>
    </row>
    <row r="64">
      <c r="A64" s="1" t="s">
        <v>88</v>
      </c>
      <c r="B64" s="1" t="s">
        <v>5</v>
      </c>
      <c r="C64" s="53"/>
      <c r="D64" s="54" t="s">
        <v>6</v>
      </c>
      <c r="E64" s="55"/>
      <c r="F64" s="54" t="s">
        <v>7</v>
      </c>
      <c r="G64" s="55"/>
      <c r="H64" s="54" t="s">
        <v>8</v>
      </c>
      <c r="I64" s="55"/>
      <c r="J64" s="54" t="s">
        <v>9</v>
      </c>
      <c r="K64" s="55"/>
      <c r="L64" s="54" t="s">
        <v>10</v>
      </c>
      <c r="M64" s="55"/>
      <c r="N64" s="54" t="s">
        <v>11</v>
      </c>
      <c r="O64" s="55"/>
      <c r="P64" s="1" t="s">
        <v>12</v>
      </c>
      <c r="Q64" s="53"/>
      <c r="R64" s="1" t="s">
        <v>13</v>
      </c>
      <c r="S64" s="53"/>
      <c r="T64" s="1" t="s">
        <v>14</v>
      </c>
      <c r="U64" s="53"/>
      <c r="V64" s="1" t="s">
        <v>15</v>
      </c>
      <c r="W64" s="53"/>
      <c r="X64" s="1" t="s">
        <v>16</v>
      </c>
    </row>
    <row r="65">
      <c r="A65" s="4" t="s">
        <v>89</v>
      </c>
      <c r="B65" s="4">
        <v>20.0</v>
      </c>
      <c r="C65" s="13">
        <f t="shared" ref="C65:C70" si="56">IFERROR(SUM((D65/B65)-1),0)</f>
        <v>-0.05</v>
      </c>
      <c r="D65" s="4">
        <v>19.0</v>
      </c>
      <c r="E65" s="13">
        <f t="shared" ref="E65:E70" si="57">IFERROR(SUM((F65/D65)-1),0)</f>
        <v>0</v>
      </c>
      <c r="F65" s="4">
        <v>19.0</v>
      </c>
      <c r="G65" s="13">
        <f t="shared" ref="G65:G70" si="58">IFERROR(SUM((H65/F65)-1),0)</f>
        <v>0</v>
      </c>
      <c r="H65" s="4">
        <v>19.0</v>
      </c>
      <c r="I65" s="13">
        <f t="shared" ref="I65:I70" si="59">IFERROR(SUM((J65/H65)-1),0)</f>
        <v>0</v>
      </c>
      <c r="J65" s="4">
        <v>19.0</v>
      </c>
      <c r="K65" s="13">
        <f t="shared" ref="K65:K70" si="60">IFERROR(SUM((L65/J65)-1),0)</f>
        <v>0</v>
      </c>
      <c r="L65" s="4">
        <v>19.0</v>
      </c>
      <c r="M65" s="13">
        <f t="shared" ref="M65:M70" si="61">IFERROR(SUM((N65/L65)-1),0)</f>
        <v>0</v>
      </c>
      <c r="N65" s="4">
        <v>19.0</v>
      </c>
      <c r="O65" s="13">
        <f t="shared" ref="O65:O70" si="62">IFERROR(SUM((P65/N65)-1),0)</f>
        <v>0</v>
      </c>
      <c r="P65" s="4">
        <v>19.0</v>
      </c>
      <c r="Q65" s="13">
        <f t="shared" ref="Q65:Q70" si="63">IFERROR(SUM((R65/P65)-1),0)</f>
        <v>0</v>
      </c>
      <c r="R65" s="4">
        <v>19.0</v>
      </c>
      <c r="S65" s="13">
        <f t="shared" ref="S65:S70" si="64">IFERROR(SUM((T65/R65)-1),0)</f>
        <v>0</v>
      </c>
      <c r="T65" s="4">
        <v>19.0</v>
      </c>
      <c r="U65" s="13">
        <f t="shared" ref="U65:U70" si="65">IFERROR(SUM((V65/T65)-1),0)</f>
        <v>0</v>
      </c>
      <c r="V65" s="4">
        <v>19.0</v>
      </c>
      <c r="W65" s="13">
        <f t="shared" ref="W65:W70" si="66">IFERROR(SUM((X65/V65)-1),0)</f>
        <v>0</v>
      </c>
      <c r="X65" s="4">
        <v>19.0</v>
      </c>
    </row>
    <row r="66">
      <c r="A66" s="4" t="s">
        <v>90</v>
      </c>
      <c r="B66" s="15">
        <v>150.0</v>
      </c>
      <c r="C66" s="13">
        <f t="shared" si="56"/>
        <v>0</v>
      </c>
      <c r="D66" s="15">
        <v>150.0</v>
      </c>
      <c r="E66" s="13">
        <f t="shared" si="57"/>
        <v>0</v>
      </c>
      <c r="F66" s="15">
        <v>150.0</v>
      </c>
      <c r="G66" s="13">
        <f t="shared" si="58"/>
        <v>0</v>
      </c>
      <c r="H66" s="15">
        <v>150.0</v>
      </c>
      <c r="I66" s="13">
        <f t="shared" si="59"/>
        <v>0</v>
      </c>
      <c r="J66" s="15">
        <v>150.0</v>
      </c>
      <c r="K66" s="13">
        <f t="shared" si="60"/>
        <v>0</v>
      </c>
      <c r="L66" s="15">
        <v>150.0</v>
      </c>
      <c r="M66" s="13">
        <f t="shared" si="61"/>
        <v>0</v>
      </c>
      <c r="N66" s="15">
        <v>150.0</v>
      </c>
      <c r="O66" s="13">
        <f t="shared" si="62"/>
        <v>0</v>
      </c>
      <c r="P66" s="15">
        <v>150.0</v>
      </c>
      <c r="Q66" s="13">
        <f t="shared" si="63"/>
        <v>0</v>
      </c>
      <c r="R66" s="15">
        <v>150.0</v>
      </c>
      <c r="S66" s="13">
        <f t="shared" si="64"/>
        <v>0</v>
      </c>
      <c r="T66" s="15">
        <v>150.0</v>
      </c>
      <c r="U66" s="13">
        <f t="shared" si="65"/>
        <v>0</v>
      </c>
      <c r="V66" s="15">
        <v>150.0</v>
      </c>
      <c r="W66" s="13">
        <f t="shared" si="66"/>
        <v>0</v>
      </c>
      <c r="X66" s="15">
        <v>150.0</v>
      </c>
    </row>
    <row r="67">
      <c r="A67" s="4" t="s">
        <v>91</v>
      </c>
      <c r="B67" s="58">
        <v>714827.0</v>
      </c>
      <c r="C67" s="13">
        <f t="shared" si="56"/>
        <v>-0.08591169612</v>
      </c>
      <c r="D67" s="58">
        <v>653415.0</v>
      </c>
      <c r="E67" s="13">
        <f t="shared" si="57"/>
        <v>0</v>
      </c>
      <c r="F67" s="58">
        <v>653415.0</v>
      </c>
      <c r="G67" s="13">
        <f t="shared" si="58"/>
        <v>0</v>
      </c>
      <c r="H67" s="58">
        <v>653415.0</v>
      </c>
      <c r="I67" s="13">
        <f t="shared" si="59"/>
        <v>0</v>
      </c>
      <c r="J67" s="58">
        <v>653415.0</v>
      </c>
      <c r="K67" s="13">
        <f t="shared" si="60"/>
        <v>0</v>
      </c>
      <c r="L67" s="58">
        <v>653415.0</v>
      </c>
      <c r="M67" s="13">
        <f t="shared" si="61"/>
        <v>0</v>
      </c>
      <c r="N67" s="58">
        <v>653415.0</v>
      </c>
      <c r="O67" s="13">
        <f t="shared" si="62"/>
        <v>0</v>
      </c>
      <c r="P67" s="58">
        <v>653415.0</v>
      </c>
      <c r="Q67" s="13">
        <f t="shared" si="63"/>
        <v>0</v>
      </c>
      <c r="R67" s="58">
        <v>653415.0</v>
      </c>
      <c r="S67" s="13">
        <f t="shared" si="64"/>
        <v>0</v>
      </c>
      <c r="T67" s="58">
        <v>653415.0</v>
      </c>
      <c r="U67" s="13">
        <f t="shared" si="65"/>
        <v>0</v>
      </c>
      <c r="V67" s="58">
        <v>653415.0</v>
      </c>
      <c r="W67" s="13">
        <f t="shared" si="66"/>
        <v>0</v>
      </c>
      <c r="X67" s="58">
        <v>653415.0</v>
      </c>
    </row>
    <row r="68">
      <c r="A68" s="4" t="s">
        <v>92</v>
      </c>
      <c r="B68" s="15">
        <v>9.34</v>
      </c>
      <c r="C68" s="13">
        <f t="shared" si="56"/>
        <v>0.01070663812</v>
      </c>
      <c r="D68" s="15">
        <v>9.44</v>
      </c>
      <c r="E68" s="13">
        <f t="shared" si="57"/>
        <v>0</v>
      </c>
      <c r="F68" s="15">
        <v>9.44</v>
      </c>
      <c r="G68" s="13">
        <f t="shared" si="58"/>
        <v>0.001059322034</v>
      </c>
      <c r="H68" s="15">
        <v>9.45</v>
      </c>
      <c r="I68" s="13">
        <f t="shared" si="59"/>
        <v>-0.001058201058</v>
      </c>
      <c r="J68" s="15">
        <v>9.44</v>
      </c>
      <c r="K68" s="13">
        <f t="shared" si="60"/>
        <v>0.004237288136</v>
      </c>
      <c r="L68" s="15">
        <v>9.48</v>
      </c>
      <c r="M68" s="13">
        <f t="shared" si="61"/>
        <v>-0.002109704641</v>
      </c>
      <c r="N68" s="15">
        <v>9.46</v>
      </c>
      <c r="O68" s="13">
        <f t="shared" si="62"/>
        <v>-0.01268498943</v>
      </c>
      <c r="P68" s="15">
        <v>9.34</v>
      </c>
      <c r="Q68" s="13">
        <f t="shared" si="63"/>
        <v>0.01284796574</v>
      </c>
      <c r="R68" s="15">
        <v>9.46</v>
      </c>
      <c r="S68" s="13">
        <f t="shared" si="64"/>
        <v>0</v>
      </c>
      <c r="T68" s="15">
        <v>9.46</v>
      </c>
      <c r="U68" s="13">
        <f t="shared" si="65"/>
        <v>0</v>
      </c>
      <c r="V68" s="15">
        <v>9.46</v>
      </c>
      <c r="W68" s="13">
        <f t="shared" si="66"/>
        <v>0</v>
      </c>
      <c r="X68" s="15">
        <v>9.46</v>
      </c>
    </row>
    <row r="69">
      <c r="A69" s="5" t="s">
        <v>93</v>
      </c>
      <c r="B69" s="40">
        <f>B4</f>
        <v>0.0387</v>
      </c>
      <c r="C69" s="13">
        <f t="shared" si="56"/>
        <v>0.1111111111</v>
      </c>
      <c r="D69" s="40">
        <f>D4</f>
        <v>0.043</v>
      </c>
      <c r="E69" s="13">
        <f t="shared" si="57"/>
        <v>-0.02325581395</v>
      </c>
      <c r="F69" s="40">
        <f>F4</f>
        <v>0.042</v>
      </c>
      <c r="G69" s="13">
        <f t="shared" si="58"/>
        <v>0</v>
      </c>
      <c r="H69" s="40">
        <f>H4</f>
        <v>0.042</v>
      </c>
      <c r="I69" s="13">
        <f t="shared" si="59"/>
        <v>0</v>
      </c>
      <c r="J69" s="40">
        <f>J4</f>
        <v>0.042</v>
      </c>
      <c r="K69" s="13">
        <f t="shared" si="60"/>
        <v>-0.02619047619</v>
      </c>
      <c r="L69" s="40">
        <f>L4</f>
        <v>0.0409</v>
      </c>
      <c r="M69" s="13">
        <f t="shared" si="61"/>
        <v>-0.04645476773</v>
      </c>
      <c r="N69" s="40">
        <f>N4</f>
        <v>0.039</v>
      </c>
      <c r="O69" s="13">
        <f t="shared" si="62"/>
        <v>0.01282051282</v>
      </c>
      <c r="P69" s="40">
        <f>P4</f>
        <v>0.0395</v>
      </c>
      <c r="Q69" s="13">
        <f t="shared" si="63"/>
        <v>0.06329113924</v>
      </c>
      <c r="R69" s="40">
        <f>R4</f>
        <v>0.042</v>
      </c>
      <c r="S69" s="13">
        <f t="shared" si="64"/>
        <v>0</v>
      </c>
      <c r="T69" s="40">
        <f>T4</f>
        <v>0.042</v>
      </c>
      <c r="U69" s="13">
        <f t="shared" si="65"/>
        <v>0</v>
      </c>
      <c r="V69" s="40">
        <f>V4</f>
        <v>0.042</v>
      </c>
      <c r="W69" s="13">
        <f t="shared" si="66"/>
        <v>0</v>
      </c>
      <c r="X69" s="40">
        <f>X4</f>
        <v>0.042</v>
      </c>
    </row>
    <row r="70">
      <c r="A70" s="5" t="s">
        <v>96</v>
      </c>
      <c r="B70" s="15">
        <v>5.65</v>
      </c>
      <c r="C70" s="13">
        <f t="shared" si="56"/>
        <v>-0.01238938053</v>
      </c>
      <c r="D70" s="15">
        <v>5.58</v>
      </c>
      <c r="E70" s="13">
        <f t="shared" si="57"/>
        <v>0</v>
      </c>
      <c r="F70" s="15">
        <v>5.58</v>
      </c>
      <c r="G70" s="13">
        <f t="shared" si="58"/>
        <v>-0.02508960573</v>
      </c>
      <c r="H70" s="15">
        <v>5.44</v>
      </c>
      <c r="I70" s="13">
        <f t="shared" si="59"/>
        <v>-0.005514705882</v>
      </c>
      <c r="J70" s="15">
        <v>5.41</v>
      </c>
      <c r="K70" s="13">
        <f t="shared" si="60"/>
        <v>-0.003696857671</v>
      </c>
      <c r="L70" s="15">
        <v>5.39</v>
      </c>
      <c r="M70" s="13">
        <f t="shared" si="61"/>
        <v>-0.0853432282</v>
      </c>
      <c r="N70" s="15">
        <v>4.93</v>
      </c>
      <c r="O70" s="13">
        <f t="shared" si="62"/>
        <v>0.06288032454</v>
      </c>
      <c r="P70" s="15">
        <v>5.24</v>
      </c>
      <c r="Q70" s="13">
        <f t="shared" si="63"/>
        <v>-0.05916030534</v>
      </c>
      <c r="R70" s="15">
        <v>4.93</v>
      </c>
      <c r="S70" s="13">
        <f t="shared" si="64"/>
        <v>0</v>
      </c>
      <c r="T70" s="15">
        <v>4.93</v>
      </c>
      <c r="U70" s="13">
        <f t="shared" si="65"/>
        <v>0</v>
      </c>
      <c r="V70" s="15">
        <v>4.93</v>
      </c>
      <c r="W70" s="13">
        <f t="shared" si="66"/>
        <v>0</v>
      </c>
      <c r="X70" s="15">
        <v>4.93</v>
      </c>
    </row>
    <row r="71">
      <c r="A71" s="1" t="s">
        <v>99</v>
      </c>
      <c r="B71" s="53"/>
      <c r="C71" s="31"/>
      <c r="D71" s="78"/>
      <c r="E71" s="53"/>
      <c r="F71" s="78"/>
      <c r="G71" s="79"/>
      <c r="H71" s="78"/>
      <c r="I71" s="79"/>
      <c r="J71" s="78"/>
      <c r="K71" s="79"/>
      <c r="L71" s="78"/>
      <c r="M71" s="79"/>
      <c r="N71" s="78"/>
      <c r="O71" s="79"/>
      <c r="P71" s="78"/>
      <c r="Q71" s="79"/>
      <c r="R71" s="78"/>
      <c r="S71" s="79"/>
      <c r="T71" s="78"/>
      <c r="U71" s="79"/>
      <c r="V71" s="78"/>
      <c r="W71" s="79"/>
      <c r="X71" s="78"/>
    </row>
    <row r="72">
      <c r="A72" s="65" t="s">
        <v>101</v>
      </c>
      <c r="B72" s="65">
        <v>54.27</v>
      </c>
      <c r="C72" s="68">
        <f t="shared" ref="C72:C80" si="67">IFERROR(SUM((D72/B72)-1),0)</f>
        <v>-0.1310116086</v>
      </c>
      <c r="D72" s="65">
        <v>47.16</v>
      </c>
      <c r="E72" s="68">
        <f t="shared" ref="E72:E80" si="68">IFERROR(SUM((F72/D72)-1),0)</f>
        <v>0.00572519084</v>
      </c>
      <c r="F72" s="65">
        <v>47.43</v>
      </c>
      <c r="G72" s="68">
        <f t="shared" ref="G72:G80" si="69">IFERROR(SUM((H72/F72)-1),0)</f>
        <v>0</v>
      </c>
      <c r="H72" s="65">
        <v>47.43</v>
      </c>
      <c r="I72" s="68">
        <f t="shared" ref="I72:I80" si="70">IFERROR(SUM((J72/H72)-1),0)</f>
        <v>-0.003373392368</v>
      </c>
      <c r="J72" s="65">
        <v>47.27</v>
      </c>
      <c r="K72" s="68">
        <f t="shared" ref="K72:K80" si="71">IFERROR(SUM((L72/J72)-1),0)</f>
        <v>-0.006769621324</v>
      </c>
      <c r="L72" s="65">
        <v>46.95</v>
      </c>
      <c r="M72" s="68">
        <f t="shared" ref="M72:M80" si="72">IFERROR(SUM((N72/L72)-1),0)</f>
        <v>-0.004898828541</v>
      </c>
      <c r="N72" s="65">
        <v>46.72</v>
      </c>
      <c r="O72" s="68">
        <f t="shared" ref="O72:O80" si="73">IFERROR(SUM((P72/N72)-1),0)</f>
        <v>-0.02375856164</v>
      </c>
      <c r="P72" s="65">
        <v>45.61</v>
      </c>
      <c r="Q72" s="68">
        <f t="shared" ref="Q72:Q80" si="74">IFERROR(SUM((R72/P72)-1),0)</f>
        <v>0.02433676825</v>
      </c>
      <c r="R72" s="65">
        <v>46.72</v>
      </c>
      <c r="S72" s="68">
        <f t="shared" ref="S72:S80" si="75">IFERROR(SUM((T72/R72)-1),0)</f>
        <v>0</v>
      </c>
      <c r="T72" s="65">
        <v>46.72</v>
      </c>
      <c r="U72" s="68">
        <f t="shared" ref="U72:U80" si="76">IFERROR(SUM((V72/T72)-1),0)</f>
        <v>0</v>
      </c>
      <c r="V72" s="65">
        <v>46.72</v>
      </c>
      <c r="W72" s="68">
        <f t="shared" ref="W72:W80" si="77">IFERROR(SUM((X72/V72)-1),0)</f>
        <v>0</v>
      </c>
      <c r="X72" s="65">
        <v>46.72</v>
      </c>
    </row>
    <row r="73">
      <c r="A73" s="65" t="s">
        <v>102</v>
      </c>
      <c r="B73" s="67">
        <f>(100-B72)</f>
        <v>45.73</v>
      </c>
      <c r="C73" s="68">
        <f t="shared" si="67"/>
        <v>0.1554778045</v>
      </c>
      <c r="D73" s="67">
        <f>(100-D72)</f>
        <v>52.84</v>
      </c>
      <c r="E73" s="68">
        <f t="shared" si="68"/>
        <v>-0.005109765329</v>
      </c>
      <c r="F73" s="67">
        <f>(100-F72)</f>
        <v>52.57</v>
      </c>
      <c r="G73" s="68">
        <f t="shared" si="69"/>
        <v>0</v>
      </c>
      <c r="H73" s="67">
        <f>(100-H72)</f>
        <v>52.57</v>
      </c>
      <c r="I73" s="68">
        <f t="shared" si="70"/>
        <v>0.003043560966</v>
      </c>
      <c r="J73" s="67">
        <f>(100-J72)</f>
        <v>52.73</v>
      </c>
      <c r="K73" s="68">
        <f t="shared" si="71"/>
        <v>0.006068651621</v>
      </c>
      <c r="L73" s="67">
        <f>(100-L72)</f>
        <v>53.05</v>
      </c>
      <c r="M73" s="68">
        <f t="shared" si="72"/>
        <v>0.004335532516</v>
      </c>
      <c r="N73" s="67">
        <f>(100-N72)</f>
        <v>53.28</v>
      </c>
      <c r="O73" s="68">
        <f t="shared" si="73"/>
        <v>0.02083333333</v>
      </c>
      <c r="P73" s="67">
        <f>(100-P72)</f>
        <v>54.39</v>
      </c>
      <c r="Q73" s="68">
        <f t="shared" si="74"/>
        <v>-0.02040816327</v>
      </c>
      <c r="R73" s="67">
        <f>(100-R72)</f>
        <v>53.28</v>
      </c>
      <c r="S73" s="68">
        <f t="shared" si="75"/>
        <v>0</v>
      </c>
      <c r="T73" s="67">
        <f>(100-T72)</f>
        <v>53.28</v>
      </c>
      <c r="U73" s="68">
        <f t="shared" si="76"/>
        <v>0</v>
      </c>
      <c r="V73" s="67">
        <f>(100-V72)</f>
        <v>53.28</v>
      </c>
      <c r="W73" s="68">
        <f t="shared" si="77"/>
        <v>0</v>
      </c>
      <c r="X73" s="67">
        <f>(100-X72)</f>
        <v>53.28</v>
      </c>
    </row>
    <row r="74">
      <c r="A74" s="4" t="s">
        <v>106</v>
      </c>
      <c r="B74" s="4">
        <v>70.47</v>
      </c>
      <c r="C74" s="13">
        <f t="shared" si="67"/>
        <v>-0.008514261388</v>
      </c>
      <c r="D74" s="4">
        <v>69.87</v>
      </c>
      <c r="E74" s="13">
        <f t="shared" si="68"/>
        <v>0.002433090024</v>
      </c>
      <c r="F74" s="4">
        <v>70.04</v>
      </c>
      <c r="G74" s="13">
        <f t="shared" si="69"/>
        <v>0.0004283266705</v>
      </c>
      <c r="H74" s="4">
        <v>70.07</v>
      </c>
      <c r="I74" s="13">
        <f t="shared" si="70"/>
        <v>0.001998001998</v>
      </c>
      <c r="J74" s="4">
        <v>70.21</v>
      </c>
      <c r="K74" s="13">
        <f t="shared" si="71"/>
        <v>0.001424298533</v>
      </c>
      <c r="L74" s="4">
        <v>70.31</v>
      </c>
      <c r="M74" s="13">
        <f t="shared" si="72"/>
        <v>-0.001564500071</v>
      </c>
      <c r="N74" s="4">
        <v>70.2</v>
      </c>
      <c r="O74" s="13">
        <f t="shared" si="73"/>
        <v>-0.007834757835</v>
      </c>
      <c r="P74" s="4">
        <v>69.65</v>
      </c>
      <c r="Q74" s="13">
        <f t="shared" si="74"/>
        <v>0.007896625987</v>
      </c>
      <c r="R74" s="4">
        <v>70.2</v>
      </c>
      <c r="S74" s="13">
        <f t="shared" si="75"/>
        <v>0</v>
      </c>
      <c r="T74" s="4">
        <v>70.2</v>
      </c>
      <c r="U74" s="13">
        <f t="shared" si="76"/>
        <v>0</v>
      </c>
      <c r="V74" s="4">
        <v>70.2</v>
      </c>
      <c r="W74" s="13">
        <f t="shared" si="77"/>
        <v>0</v>
      </c>
      <c r="X74" s="4">
        <v>70.2</v>
      </c>
    </row>
    <row r="75">
      <c r="A75" s="4" t="s">
        <v>108</v>
      </c>
      <c r="B75" s="15">
        <f>(100-B74)</f>
        <v>29.53</v>
      </c>
      <c r="C75" s="13">
        <f t="shared" si="67"/>
        <v>0.02031832035</v>
      </c>
      <c r="D75" s="15">
        <f>(100-D74)</f>
        <v>30.13</v>
      </c>
      <c r="E75" s="13">
        <f t="shared" si="68"/>
        <v>-0.005642217059</v>
      </c>
      <c r="F75" s="15">
        <f>(100-F74)</f>
        <v>29.96</v>
      </c>
      <c r="G75" s="13">
        <f t="shared" si="69"/>
        <v>-0.001001335113</v>
      </c>
      <c r="H75" s="15">
        <f>(100-H74)</f>
        <v>29.93</v>
      </c>
      <c r="I75" s="13">
        <f t="shared" si="70"/>
        <v>-0.004677581022</v>
      </c>
      <c r="J75" s="15">
        <f>(100-J74)</f>
        <v>29.79</v>
      </c>
      <c r="K75" s="13">
        <f t="shared" si="71"/>
        <v>-0.003356831151</v>
      </c>
      <c r="L75" s="15">
        <f>(100-L74)</f>
        <v>29.69</v>
      </c>
      <c r="M75" s="13">
        <f t="shared" si="72"/>
        <v>0.003704951162</v>
      </c>
      <c r="N75" s="15">
        <f>(100-N74)</f>
        <v>29.8</v>
      </c>
      <c r="O75" s="13">
        <f t="shared" si="73"/>
        <v>0.01845637584</v>
      </c>
      <c r="P75" s="15">
        <f>(100-P74)</f>
        <v>30.35</v>
      </c>
      <c r="Q75" s="13">
        <f t="shared" si="74"/>
        <v>-0.01812191104</v>
      </c>
      <c r="R75" s="15">
        <f>(100-R74)</f>
        <v>29.8</v>
      </c>
      <c r="S75" s="13">
        <f t="shared" si="75"/>
        <v>0</v>
      </c>
      <c r="T75" s="15">
        <f>(100-T74)</f>
        <v>29.8</v>
      </c>
      <c r="U75" s="13">
        <f t="shared" si="76"/>
        <v>0</v>
      </c>
      <c r="V75" s="15">
        <f>(100-V74)</f>
        <v>29.8</v>
      </c>
      <c r="W75" s="13">
        <f t="shared" si="77"/>
        <v>0</v>
      </c>
      <c r="X75" s="15">
        <f>(100-X74)</f>
        <v>29.8</v>
      </c>
    </row>
    <row r="76">
      <c r="A76" s="65" t="s">
        <v>109</v>
      </c>
      <c r="B76" s="65">
        <v>45.54</v>
      </c>
      <c r="C76" s="68">
        <f t="shared" si="67"/>
        <v>-0.1067193676</v>
      </c>
      <c r="D76" s="65">
        <v>40.68</v>
      </c>
      <c r="E76" s="68">
        <f t="shared" si="68"/>
        <v>0.01057030482</v>
      </c>
      <c r="F76" s="65">
        <v>41.11</v>
      </c>
      <c r="G76" s="68">
        <f t="shared" si="69"/>
        <v>0.0002432498176</v>
      </c>
      <c r="H76" s="65">
        <v>41.12</v>
      </c>
      <c r="I76" s="68">
        <f t="shared" si="70"/>
        <v>-0.003161478599</v>
      </c>
      <c r="J76" s="65">
        <v>40.99</v>
      </c>
      <c r="K76" s="68">
        <f t="shared" si="71"/>
        <v>-0.007318858258</v>
      </c>
      <c r="L76" s="65">
        <v>40.69</v>
      </c>
      <c r="M76" s="68">
        <f t="shared" si="72"/>
        <v>-0.009584664537</v>
      </c>
      <c r="N76" s="65">
        <v>40.3</v>
      </c>
      <c r="O76" s="68">
        <f t="shared" si="73"/>
        <v>-0.02803970223</v>
      </c>
      <c r="P76" s="65">
        <v>39.17</v>
      </c>
      <c r="Q76" s="68">
        <f t="shared" si="74"/>
        <v>0.02884860863</v>
      </c>
      <c r="R76" s="65">
        <v>40.3</v>
      </c>
      <c r="S76" s="68">
        <f t="shared" si="75"/>
        <v>0</v>
      </c>
      <c r="T76" s="65">
        <v>40.3</v>
      </c>
      <c r="U76" s="68">
        <f t="shared" si="76"/>
        <v>0</v>
      </c>
      <c r="V76" s="65">
        <v>40.3</v>
      </c>
      <c r="W76" s="68">
        <f t="shared" si="77"/>
        <v>0</v>
      </c>
      <c r="X76" s="65">
        <v>40.3</v>
      </c>
    </row>
    <row r="77">
      <c r="A77" s="65" t="s">
        <v>110</v>
      </c>
      <c r="B77" s="67">
        <f>(100-B76)</f>
        <v>54.46</v>
      </c>
      <c r="C77" s="68">
        <f t="shared" si="67"/>
        <v>0.08923980903</v>
      </c>
      <c r="D77" s="67">
        <f>(100-D76)</f>
        <v>59.32</v>
      </c>
      <c r="E77" s="68">
        <f t="shared" si="68"/>
        <v>-0.00724881996</v>
      </c>
      <c r="F77" s="67">
        <f>(100-F76)</f>
        <v>58.89</v>
      </c>
      <c r="G77" s="68">
        <f t="shared" si="69"/>
        <v>-0.0001698081168</v>
      </c>
      <c r="H77" s="67">
        <f>(100-H76)</f>
        <v>58.88</v>
      </c>
      <c r="I77" s="68">
        <f t="shared" si="70"/>
        <v>0.002207880435</v>
      </c>
      <c r="J77" s="67">
        <f>(100-J76)</f>
        <v>59.01</v>
      </c>
      <c r="K77" s="68">
        <f t="shared" si="71"/>
        <v>0.005083884087</v>
      </c>
      <c r="L77" s="67">
        <f>(100-L76)</f>
        <v>59.31</v>
      </c>
      <c r="M77" s="68">
        <f t="shared" si="72"/>
        <v>0.006575619626</v>
      </c>
      <c r="N77" s="67">
        <f>(100-N76)</f>
        <v>59.7</v>
      </c>
      <c r="O77" s="68">
        <f t="shared" si="73"/>
        <v>0.0189279732</v>
      </c>
      <c r="P77" s="67">
        <f>(100-P76)</f>
        <v>60.83</v>
      </c>
      <c r="Q77" s="68">
        <f t="shared" si="74"/>
        <v>-0.01857636035</v>
      </c>
      <c r="R77" s="67">
        <f>(100-R76)</f>
        <v>59.7</v>
      </c>
      <c r="S77" s="68">
        <f t="shared" si="75"/>
        <v>0</v>
      </c>
      <c r="T77" s="67">
        <f>(100-T76)</f>
        <v>59.7</v>
      </c>
      <c r="U77" s="68">
        <f t="shared" si="76"/>
        <v>0</v>
      </c>
      <c r="V77" s="67">
        <f>(100-V76)</f>
        <v>59.7</v>
      </c>
      <c r="W77" s="68">
        <f t="shared" si="77"/>
        <v>0</v>
      </c>
      <c r="X77" s="67">
        <f>(100-X76)</f>
        <v>59.7</v>
      </c>
    </row>
    <row r="78">
      <c r="A78" s="4" t="s">
        <v>113</v>
      </c>
      <c r="B78" s="75">
        <v>153.8</v>
      </c>
      <c r="C78" s="13">
        <f t="shared" si="67"/>
        <v>0.07672301691</v>
      </c>
      <c r="D78" s="75">
        <v>165.6</v>
      </c>
      <c r="E78" s="13">
        <f t="shared" si="68"/>
        <v>0.01781400966</v>
      </c>
      <c r="F78" s="75">
        <v>168.55</v>
      </c>
      <c r="G78" s="13">
        <f t="shared" si="69"/>
        <v>-0.00338178582</v>
      </c>
      <c r="H78" s="75">
        <v>167.98</v>
      </c>
      <c r="I78" s="13">
        <f t="shared" si="70"/>
        <v>-0.0005953089654</v>
      </c>
      <c r="J78" s="75">
        <v>167.88</v>
      </c>
      <c r="K78" s="13">
        <f t="shared" si="71"/>
        <v>-0.03186800095</v>
      </c>
      <c r="L78" s="75">
        <v>162.53</v>
      </c>
      <c r="M78" s="13">
        <f t="shared" si="72"/>
        <v>-0.05365163354</v>
      </c>
      <c r="N78" s="75">
        <v>153.81</v>
      </c>
      <c r="O78" s="13">
        <f t="shared" si="73"/>
        <v>0.02561601976</v>
      </c>
      <c r="P78" s="75">
        <v>157.75</v>
      </c>
      <c r="Q78" s="13">
        <f t="shared" si="74"/>
        <v>-0.02497622821</v>
      </c>
      <c r="R78" s="75">
        <v>153.81</v>
      </c>
      <c r="S78" s="13">
        <f t="shared" si="75"/>
        <v>0</v>
      </c>
      <c r="T78" s="75">
        <v>153.81</v>
      </c>
      <c r="U78" s="13">
        <f t="shared" si="76"/>
        <v>0</v>
      </c>
      <c r="V78" s="75">
        <v>153.81</v>
      </c>
      <c r="W78" s="13">
        <f t="shared" si="77"/>
        <v>0</v>
      </c>
      <c r="X78" s="75">
        <v>153.81</v>
      </c>
    </row>
    <row r="79">
      <c r="A79" s="4" t="s">
        <v>116</v>
      </c>
      <c r="B79" s="75">
        <v>163.2</v>
      </c>
      <c r="C79" s="13">
        <f t="shared" si="67"/>
        <v>0.004227941176</v>
      </c>
      <c r="D79" s="75">
        <v>163.89</v>
      </c>
      <c r="E79" s="13">
        <f t="shared" si="68"/>
        <v>0.0006711818903</v>
      </c>
      <c r="F79" s="75">
        <v>164.0</v>
      </c>
      <c r="G79" s="13">
        <f t="shared" si="69"/>
        <v>-0.002865853659</v>
      </c>
      <c r="H79" s="75">
        <v>163.53</v>
      </c>
      <c r="I79" s="13">
        <f t="shared" si="70"/>
        <v>-0.0006115085917</v>
      </c>
      <c r="J79" s="75">
        <v>163.43</v>
      </c>
      <c r="K79" s="13">
        <f t="shared" si="71"/>
        <v>-0.001713271737</v>
      </c>
      <c r="L79" s="75">
        <v>163.15</v>
      </c>
      <c r="M79" s="13">
        <f t="shared" si="72"/>
        <v>0.002206558382</v>
      </c>
      <c r="N79" s="75">
        <v>163.51</v>
      </c>
      <c r="O79" s="13">
        <f t="shared" si="73"/>
        <v>-0.0007950584062</v>
      </c>
      <c r="P79" s="75">
        <v>163.38</v>
      </c>
      <c r="Q79" s="13">
        <f t="shared" si="74"/>
        <v>0.0007956910271</v>
      </c>
      <c r="R79" s="75">
        <v>163.51</v>
      </c>
      <c r="S79" s="13">
        <f t="shared" si="75"/>
        <v>0</v>
      </c>
      <c r="T79" s="75">
        <v>163.51</v>
      </c>
      <c r="U79" s="13">
        <f t="shared" si="76"/>
        <v>0</v>
      </c>
      <c r="V79" s="75">
        <v>163.51</v>
      </c>
      <c r="W79" s="13">
        <f t="shared" si="77"/>
        <v>0</v>
      </c>
      <c r="X79" s="75">
        <v>163.51</v>
      </c>
    </row>
    <row r="80">
      <c r="A80" s="4" t="s">
        <v>119</v>
      </c>
      <c r="B80" s="24">
        <f>B78/B79</f>
        <v>0.9424019608</v>
      </c>
      <c r="C80" s="13">
        <f t="shared" si="67"/>
        <v>0.07218986124</v>
      </c>
      <c r="D80" s="24">
        <f>D78/D79</f>
        <v>1.010433828</v>
      </c>
      <c r="E80" s="13">
        <f t="shared" si="68"/>
        <v>0.01713132953</v>
      </c>
      <c r="F80" s="24">
        <f>F78/F79</f>
        <v>1.027743902</v>
      </c>
      <c r="G80" s="13">
        <f t="shared" si="69"/>
        <v>-0.0005174149974</v>
      </c>
      <c r="H80" s="24">
        <f>H78/H79</f>
        <v>1.027212132</v>
      </c>
      <c r="I80" s="13">
        <f t="shared" si="70"/>
        <v>0.00001620953861</v>
      </c>
      <c r="J80" s="24">
        <f>J78/J79</f>
        <v>1.027228783</v>
      </c>
      <c r="K80" s="13">
        <f t="shared" si="71"/>
        <v>-0.03020648113</v>
      </c>
      <c r="L80" s="24">
        <f>L78/L79</f>
        <v>0.9961998161</v>
      </c>
      <c r="M80" s="13">
        <f t="shared" si="72"/>
        <v>-0.05573520893</v>
      </c>
      <c r="N80" s="24">
        <f>N78/N79</f>
        <v>0.9406764112</v>
      </c>
      <c r="O80" s="13">
        <f t="shared" si="73"/>
        <v>0.02643209323</v>
      </c>
      <c r="P80" s="24">
        <f>P78/P79</f>
        <v>0.9655404578</v>
      </c>
      <c r="Q80" s="13">
        <f t="shared" si="74"/>
        <v>-0.02575142906</v>
      </c>
      <c r="R80" s="24">
        <f>R78/R79</f>
        <v>0.9406764112</v>
      </c>
      <c r="S80" s="13">
        <f t="shared" si="75"/>
        <v>0</v>
      </c>
      <c r="T80" s="24">
        <f>T78/T79</f>
        <v>0.9406764112</v>
      </c>
      <c r="U80" s="13">
        <f t="shared" si="76"/>
        <v>0</v>
      </c>
      <c r="V80" s="24">
        <f>V78/V79</f>
        <v>0.9406764112</v>
      </c>
      <c r="W80" s="13">
        <f t="shared" si="77"/>
        <v>0</v>
      </c>
      <c r="X80" s="24">
        <f>X78/X79</f>
        <v>0.9406764112</v>
      </c>
    </row>
    <row r="81">
      <c r="A81" s="4" t="s">
        <v>121</v>
      </c>
      <c r="B81" s="4" t="s">
        <v>122</v>
      </c>
    </row>
    <row r="82">
      <c r="A82" s="5" t="s">
        <v>123</v>
      </c>
      <c r="B82" s="84" t="s">
        <v>124</v>
      </c>
    </row>
    <row r="83">
      <c r="A83" s="4" t="s">
        <v>125</v>
      </c>
      <c r="B83" s="64">
        <v>0.0</v>
      </c>
    </row>
    <row r="84" ht="22.5" customHeight="1">
      <c r="A84" s="4" t="s">
        <v>126</v>
      </c>
      <c r="B84" s="42">
        <f>SUM(B28,D28,F28,H28,J28,L28,N28,P28,R28,T28,V28,X28)</f>
        <v>399680677</v>
      </c>
      <c r="D84" s="85" t="s">
        <v>128</v>
      </c>
      <c r="E84" s="85" t="s">
        <v>113</v>
      </c>
      <c r="F84" s="85" t="s">
        <v>116</v>
      </c>
      <c r="G84" s="85" t="s">
        <v>119</v>
      </c>
      <c r="H84" s="86" t="s">
        <v>129</v>
      </c>
      <c r="I84" s="87" t="s">
        <v>131</v>
      </c>
      <c r="J84" s="87" t="s">
        <v>132</v>
      </c>
      <c r="K84" s="87" t="s">
        <v>133</v>
      </c>
      <c r="L84" s="87" t="s">
        <v>134</v>
      </c>
    </row>
    <row r="85" ht="22.5" customHeight="1">
      <c r="A85" s="4" t="s">
        <v>135</v>
      </c>
      <c r="B85" s="42">
        <f>SUM(B54,D54,F54,H54,J54,L54,N54,P54,R54,T54,V54,X54)</f>
        <v>46942420</v>
      </c>
      <c r="D85" s="88" t="s">
        <v>137</v>
      </c>
      <c r="E85" s="91">
        <f t="array" ref="E85">IFERROR(INDEX(FCD[], MATCH(D85, FCD[FIIs], 0), MATCH(FCD[[#HEADERS],[V/Mercado]], FCD[#HEADERS], 0)),"")</f>
        <v>9</v>
      </c>
      <c r="F85" s="91">
        <f t="array" ref="F85">IFERROR(INDEX(Indicador_Fii[], MATCH(D85, Indicador_Fii[Fii], 0), MATCH(Indicador_Fii[[#HEADERS],[VP/Cota]], Indicador_Fii[#HEADERS], 0)),"")</f>
        <v>11.03</v>
      </c>
      <c r="G85" s="93">
        <f t="shared" ref="G85:G90" si="78">E85/F85</f>
        <v>0.8159564823</v>
      </c>
      <c r="H85" s="94">
        <f t="shared" ref="H85:H90" si="79">I85/F85</f>
        <v>0.943436746</v>
      </c>
      <c r="I85" s="97">
        <f t="array" ref="I85">IFERROR(INDEX(FCD[], MATCH(D85, FCD[FIIs], 0), MATCH(FCD[[#HEADERS],[Preço_Justo]], FCD[#HEADERS], 0)),"")</f>
        <v>10.40610731</v>
      </c>
      <c r="J85" s="98">
        <f t="array" ref="J85">IFERROR(INDEX(Indicador_Fii[], MATCH(D85, Indicador_Fii[Fii], 0), MATCH(Indicador_Fii[[#HEADERS],[FFO_Yield]], Indicador_Fii[#HEADERS], 0)),"")</f>
        <v>6.11</v>
      </c>
      <c r="K85" s="98">
        <f t="array" ref="K85">IFERROR(INDEX(Indicador_Fii[], MATCH(D85, Indicador_Fii[Fii], 0), MATCH(Indicador_Fii[[#HEADERS],[DIV_Yield]], Indicador_Fii[#HEADERS], 0)),"")</f>
        <v>11.8</v>
      </c>
      <c r="L85" s="100">
        <f>IFERROR(__xludf.DUMMYFUNCTION("GOOGLEFINANCE(D85, ""volumeavg"")"),2033352.0)</f>
        <v>2033352</v>
      </c>
    </row>
    <row r="86" ht="22.5" customHeight="1">
      <c r="A86" s="4" t="s">
        <v>144</v>
      </c>
      <c r="B86" s="40">
        <f>B85/B84</f>
        <v>0.1174498111</v>
      </c>
      <c r="D86" s="88" t="s">
        <v>138</v>
      </c>
      <c r="E86" s="91">
        <f t="array" ref="E86">IFERROR(INDEX(FCD[], MATCH(D86, FCD[FIIs], 0), MATCH(FCD[[#HEADERS],[V/Mercado]], FCD[#HEADERS], 0)),"")</f>
        <v>91.6</v>
      </c>
      <c r="F86" s="91">
        <f t="array" ref="F86">IFERROR(INDEX(Indicador_Fii[], MATCH(D86, Indicador_Fii[Fii], 0), MATCH(Indicador_Fii[[#HEADERS],[VP/Cota]], Indicador_Fii[#HEADERS], 0)),"")</f>
        <v>105.25</v>
      </c>
      <c r="G86" s="93">
        <f t="shared" si="78"/>
        <v>0.8703087886</v>
      </c>
      <c r="H86" s="94">
        <f t="shared" si="79"/>
        <v>0.9323973024</v>
      </c>
      <c r="I86" s="97">
        <f t="array" ref="I86">IFERROR(INDEX(FCD[], MATCH(D86, FCD[FIIs], 0), MATCH(FCD[[#HEADERS],[Preço_Justo]], FCD[#HEADERS], 0)),"")</f>
        <v>98.13481608</v>
      </c>
      <c r="J86" s="98">
        <f t="array" ref="J86">IFERROR(INDEX(Indicador_Fii[], MATCH(D86, Indicador_Fii[Fii], 0), MATCH(Indicador_Fii[[#HEADERS],[FFO_Yield]], Indicador_Fii[#HEADERS], 0)),"")</f>
        <v>6.94</v>
      </c>
      <c r="K86" s="98">
        <f t="array" ref="K86">IFERROR(INDEX(Indicador_Fii[], MATCH(D86, Indicador_Fii[Fii], 0), MATCH(Indicador_Fii[[#HEADERS],[DIV_Yield]], Indicador_Fii[#HEADERS], 0)),"")</f>
        <v>8.8</v>
      </c>
      <c r="L86" s="100">
        <f>IFERROR(__xludf.DUMMYFUNCTION("GOOGLEFINANCE(D86, ""volumeavg"")"),83200.0)</f>
        <v>83200</v>
      </c>
    </row>
    <row r="87" ht="22.5" customHeight="1">
      <c r="A87" s="4" t="s">
        <v>146</v>
      </c>
      <c r="B87" s="105">
        <f>IFERROR(__xludf.DUMMYFUNCTION("GOOGLEFINANCE(B81)*B89"),4.42098436725E9)</f>
        <v>4420984367</v>
      </c>
      <c r="D87" s="88" t="s">
        <v>140</v>
      </c>
      <c r="E87" s="91">
        <f t="array" ref="E87">IFERROR(INDEX(FCD[], MATCH(D87, FCD[FIIs], 0), MATCH(FCD[[#HEADERS],[V/Mercado]], FCD[#HEADERS], 0)),"")</f>
        <v>146.52</v>
      </c>
      <c r="F87" s="91">
        <f t="array" ref="F87">IFERROR(INDEX(Indicador_Fii[], MATCH(D87, Indicador_Fii[Fii], 0), MATCH(Indicador_Fii[[#HEADERS],[VP/Cota]], Indicador_Fii[#HEADERS], 0)),"")</f>
        <v>166</v>
      </c>
      <c r="G87" s="93">
        <f t="shared" si="78"/>
        <v>0.8826506024</v>
      </c>
      <c r="H87" s="94">
        <f t="shared" si="79"/>
        <v>0.9284179884</v>
      </c>
      <c r="I87" s="97">
        <f t="array" ref="I87">IFERROR(INDEX(FCD[], MATCH(D87, FCD[FIIs], 0), MATCH(FCD[[#HEADERS],[Preço_Justo]], FCD[#HEADERS], 0)),"")</f>
        <v>154.1173861</v>
      </c>
      <c r="J87" s="98">
        <f t="array" ref="J87">IFERROR(INDEX(Indicador_Fii[], MATCH(D87, Indicador_Fii[Fii], 0), MATCH(Indicador_Fii[[#HEADERS],[FFO_Yield]], Indicador_Fii[#HEADERS], 0)),"")</f>
        <v>6.55</v>
      </c>
      <c r="K87" s="98">
        <f t="array" ref="K87">IFERROR(INDEX(Indicador_Fii[], MATCH(D87, Indicador_Fii[Fii], 0), MATCH(Indicador_Fii[[#HEADERS],[DIV_Yield]], Indicador_Fii[#HEADERS], 0)),"")</f>
        <v>7.2</v>
      </c>
      <c r="L87" s="100">
        <f>IFERROR(__xludf.DUMMYFUNCTION("GOOGLEFINANCE(D87, ""volumeavg"")"),129710.0)</f>
        <v>129710</v>
      </c>
    </row>
    <row r="88" ht="22.5" customHeight="1">
      <c r="A88" s="4" t="s">
        <v>147</v>
      </c>
      <c r="B88" s="40">
        <f>B85/B87</f>
        <v>0.01061809228</v>
      </c>
      <c r="D88" s="88" t="s">
        <v>122</v>
      </c>
      <c r="E88" s="91">
        <f t="array" ref="E88">IFERROR(INDEX(FCD[], MATCH(D88, FCD[FIIs], 0), MATCH(FCD[[#HEADERS],[V/Mercado]], FCD[#HEADERS], 0)),"")</f>
        <v>156.75</v>
      </c>
      <c r="F88" s="91">
        <f t="array" ref="F88">IFERROR(INDEX(Indicador_Fii[], MATCH(D88, Indicador_Fii[Fii], 0), MATCH(Indicador_Fii[[#HEADERS],[VP/Cota]], Indicador_Fii[#HEADERS], 0)),"")</f>
        <v>163.15</v>
      </c>
      <c r="G88" s="93">
        <f t="shared" si="78"/>
        <v>0.9607722954</v>
      </c>
      <c r="H88" s="94">
        <f t="shared" si="79"/>
        <v>0.9320399007</v>
      </c>
      <c r="I88" s="97">
        <f t="array" ref="I88">IFERROR(INDEX(FCD[], MATCH(D88, FCD[FIIs], 0), MATCH(FCD[[#HEADERS],[Preço_Justo]], FCD[#HEADERS], 0)),"")</f>
        <v>152.0623098</v>
      </c>
      <c r="J88" s="98">
        <f t="array" ref="J88">IFERROR(INDEX(Indicador_Fii[], MATCH(D88, Indicador_Fii[Fii], 0), MATCH(Indicador_Fii[[#HEADERS],[FFO_Yield]], Indicador_Fii[#HEADERS], 0)),"")</f>
        <v>7.34</v>
      </c>
      <c r="K88" s="98">
        <f t="array" ref="K88">IFERROR(INDEX(Indicador_Fii[], MATCH(D88, Indicador_Fii[Fii], 0), MATCH(Indicador_Fii[[#HEADERS],[DIV_Yield]], Indicador_Fii[#HEADERS], 0)),"")</f>
        <v>6.8</v>
      </c>
      <c r="L88" s="100">
        <f>IFERROR(__xludf.DUMMYFUNCTION("GOOGLEFINANCE(D88, ""volumeavg"")"),51677.0)</f>
        <v>51677</v>
      </c>
    </row>
    <row r="89" ht="22.5" customHeight="1">
      <c r="A89" s="4" t="s">
        <v>149</v>
      </c>
      <c r="B89" s="24">
        <f t="array" ref="B89">IFERROR(INDEX(Indicador_Fii[], MATCH(B81, Indicador_Fii[Fii], 0), MATCH(Indicador_Fii[[#HEADERS],[Qtd_Cotas]], Indicador_Fii[#HEADERS], 0)),"")</f>
        <v>28204047</v>
      </c>
      <c r="D89" s="88" t="s">
        <v>148</v>
      </c>
      <c r="E89" s="91">
        <f t="array" ref="E89">IFERROR(INDEX(FCD[], MATCH(D89, FCD[FIIs], 0), MATCH(FCD[[#HEADERS],[V/Mercado]], FCD[#HEADERS], 0)),"")</f>
        <v>110.21</v>
      </c>
      <c r="F89" s="91">
        <f t="array" ref="F89">IFERROR(INDEX(Indicador_Fii[], MATCH(D89, Indicador_Fii[Fii], 0), MATCH(Indicador_Fii[[#HEADERS],[VP/Cota]], Indicador_Fii[#HEADERS], 0)),"")</f>
        <v>115.72</v>
      </c>
      <c r="G89" s="93">
        <f t="shared" si="78"/>
        <v>0.9523850674</v>
      </c>
      <c r="H89" s="94">
        <f t="shared" si="79"/>
        <v>0.9696288982</v>
      </c>
      <c r="I89" s="97">
        <f t="array" ref="I89">IFERROR(INDEX(FCD[], MATCH(D89, FCD[FIIs], 0), MATCH(FCD[[#HEADERS],[Preço_Justo]], FCD[#HEADERS], 0)),"")</f>
        <v>112.2054561</v>
      </c>
      <c r="J89" s="98">
        <f t="array" ref="J89">IFERROR(INDEX(Indicador_Fii[], MATCH(D89, Indicador_Fii[Fii], 0), MATCH(Indicador_Fii[[#HEADERS],[FFO_Yield]], Indicador_Fii[#HEADERS], 0)),"")</f>
        <v>7.31</v>
      </c>
      <c r="K89" s="98">
        <f t="array" ref="K89">IFERROR(INDEX(Indicador_Fii[], MATCH(D89, Indicador_Fii[Fii], 0), MATCH(Indicador_Fii[[#HEADERS],[DIV_Yield]], Indicador_Fii[#HEADERS], 0)),"")</f>
        <v>8</v>
      </c>
      <c r="L89" s="100">
        <f>IFERROR(__xludf.DUMMYFUNCTION("GOOGLEFINANCE(D89, ""volumeavg"")"),42729.0)</f>
        <v>42729</v>
      </c>
    </row>
    <row r="90" ht="22.5" customHeight="1">
      <c r="A90" s="4" t="s">
        <v>150</v>
      </c>
      <c r="B90" s="24">
        <f t="array" ref="B90">IFERROR(INDEX(Indicador_Fii[], MATCH(B81, Indicador_Fii[Fii], 0), MATCH(Indicador_Fii[[#HEADERS],[Patrimonio_Liq]], Indicador_Fii[#HEADERS], 0)),"")</f>
        <v>4601420000</v>
      </c>
      <c r="D90" s="88" t="s">
        <v>145</v>
      </c>
      <c r="E90" s="91">
        <f t="array" ref="E90">IFERROR(INDEX(FCD[], MATCH(D90, FCD[FIIs], 0), MATCH(FCD[[#HEADERS],[V/Mercado]], FCD[#HEADERS], 0)),"")</f>
        <v>100.09</v>
      </c>
      <c r="F90" s="91">
        <f t="array" ref="F90">IFERROR(INDEX(Indicador_Fii[], MATCH(D90, Indicador_Fii[Fii], 0), MATCH(Indicador_Fii[[#HEADERS],[VP/Cota]], Indicador_Fii[#HEADERS], 0)),"")</f>
        <v>102.4</v>
      </c>
      <c r="G90" s="93">
        <f t="shared" si="78"/>
        <v>0.9774414063</v>
      </c>
      <c r="H90" s="94">
        <f t="shared" si="79"/>
        <v>0.9927610269</v>
      </c>
      <c r="I90" s="97">
        <f t="array" ref="I90">IFERROR(INDEX(FCD[], MATCH(D90, FCD[FIIs], 0), MATCH(FCD[[#HEADERS],[Preço_Justo]], FCD[#HEADERS], 0)),"")</f>
        <v>101.6587292</v>
      </c>
      <c r="J90" s="98">
        <f t="array" ref="J90">IFERROR(INDEX(Indicador_Fii[], MATCH(D90, Indicador_Fii[Fii], 0), MATCH(Indicador_Fii[[#HEADERS],[FFO_Yield]], Indicador_Fii[#HEADERS], 0)),"")</f>
        <v>6.08</v>
      </c>
      <c r="K90" s="98">
        <f t="array" ref="K90">IFERROR(INDEX(Indicador_Fii[], MATCH(D90, Indicador_Fii[Fii], 0), MATCH(Indicador_Fii[[#HEADERS],[DIV_Yield]], Indicador_Fii[#HEADERS], 0)),"")</f>
        <v>7.9</v>
      </c>
      <c r="L90" s="100">
        <f>IFERROR(__xludf.DUMMYFUNCTION("GOOGLEFINANCE(D90, ""volumeavg"")"),176536.0)</f>
        <v>176536</v>
      </c>
    </row>
    <row r="91">
      <c r="A91" s="4" t="s">
        <v>151</v>
      </c>
      <c r="B91" s="40">
        <f>B84/B90</f>
        <v>0.0868602903</v>
      </c>
      <c r="J91" s="123" t="str">
        <f t="array" ref="J91">IFERROR(INDEX(Indicador_Fii[], MATCH(D91, Indicador_Fii[Fii], 0), MATCH(Indicador_Fii[[#HEADERS],[FFO_Yield]], Indicador_Fii[#HEADERS], 0)),"")</f>
        <v/>
      </c>
      <c r="K91" s="123" t="str">
        <f t="array" ref="K91">IFERROR(INDEX(Indicador_Fii[], MATCH(D91, Indicador_Fii[Fii], 0), MATCH(Indicador_Fii[[#HEADERS],[DIV_Yield]], Indicador_Fii[#HEADERS], 0)),"")</f>
        <v/>
      </c>
    </row>
    <row r="92">
      <c r="A92" s="4" t="s">
        <v>63</v>
      </c>
      <c r="B92" s="24">
        <f>SUM(B34,D34,F34,H34,J34,L34,N34,P34,R34,T34,V34,X34)</f>
        <v>378216273</v>
      </c>
    </row>
    <row r="93">
      <c r="A93" s="4" t="s">
        <v>152</v>
      </c>
      <c r="B93" s="40">
        <f>B92/B84</f>
        <v>0.9462961178</v>
      </c>
    </row>
    <row r="94">
      <c r="A94" s="4" t="s">
        <v>153</v>
      </c>
      <c r="B94" s="4" t="s">
        <v>154</v>
      </c>
    </row>
    <row r="95">
      <c r="A95" s="4" t="s">
        <v>155</v>
      </c>
      <c r="B95" s="4" t="s">
        <v>3</v>
      </c>
    </row>
    <row r="96">
      <c r="A96" s="4" t="s">
        <v>156</v>
      </c>
      <c r="B96" s="4" t="s">
        <v>3</v>
      </c>
    </row>
    <row r="97">
      <c r="B97" s="124"/>
    </row>
  </sheetData>
  <mergeCells count="1">
    <mergeCell ref="B97:G102"/>
  </mergeCells>
  <dataValidations>
    <dataValidation type="list" allowBlank="1" showErrorMessage="1" sqref="B1 D1 F1 H1 J1 L1 N1 P1 R1 T1 V1 X1 B40 D40 F40 H40 J40 L40 N40 P40 R40 T40 V40 X40 B63 D63 F63 H63 J63 L63 N63 P63 R63 T63 V63 X63">
      <formula1>"Feito,Não,Atual"</formula1>
    </dataValidation>
    <dataValidation type="list" allowBlank="1" showErrorMessage="1" sqref="B94">
      <formula1>"Bom,Normal,Cuidado_Ver_DRE"</formula1>
    </dataValidation>
    <dataValidation type="list" allowBlank="1" showErrorMessage="1" sqref="B95:B96">
      <formula1>"Feito,Não"</formula1>
    </dataValidation>
    <dataValidation type="custom" allowBlank="1" showDropDown="1" sqref="E85:G90 I85:I90 L85:L90">
      <formula1>AND(ISNUMBER(E85),(NOT(OR(NOT(ISERROR(DATEVALUE(E85))), AND(ISNUMBER(E85), LEFT(CELL("format", E85))="D")))))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3" width="15.25"/>
    <col customWidth="1" min="4" max="4" width="16.38"/>
    <col customWidth="1" min="5" max="5" width="16.25"/>
    <col customWidth="1" min="6" max="6" width="16.13"/>
    <col customWidth="1" min="7" max="7" width="17.75"/>
    <col customWidth="1" min="8" max="8" width="18.75"/>
    <col customWidth="1" min="9" max="9" width="16.13"/>
    <col customWidth="1" min="10" max="10" width="18.5"/>
    <col customWidth="1" min="11" max="11" width="16.0"/>
    <col customWidth="1" min="12" max="12" width="17.75"/>
    <col customWidth="1" min="13" max="13" width="16.5"/>
    <col customWidth="1" min="14" max="14" width="15.75"/>
    <col customWidth="1" min="15" max="15" width="15.38"/>
    <col customWidth="1" min="16" max="16" width="17.63"/>
    <col customWidth="1" min="17" max="17" width="15.63"/>
    <col customWidth="1" min="18" max="18" width="17.13"/>
    <col customWidth="1" min="19" max="19" width="15.5"/>
    <col customWidth="1" min="20" max="20" width="15.38"/>
    <col customWidth="1" min="21" max="21" width="15.13"/>
    <col customWidth="1" min="22" max="22" width="15.88"/>
    <col customWidth="1" min="23" max="23" width="15.38"/>
    <col customWidth="1" min="24" max="24" width="15.25"/>
    <col customWidth="1" min="25" max="25" width="15.63"/>
  </cols>
  <sheetData>
    <row r="1">
      <c r="A1" s="1" t="s">
        <v>0</v>
      </c>
      <c r="B1" s="2" t="s">
        <v>1</v>
      </c>
      <c r="C1" s="3">
        <v>46052.0</v>
      </c>
      <c r="D1" s="2" t="s">
        <v>1</v>
      </c>
      <c r="E1" s="3">
        <v>46080.0</v>
      </c>
      <c r="F1" s="2" t="s">
        <v>1</v>
      </c>
      <c r="G1" s="3">
        <v>46112.0</v>
      </c>
      <c r="H1" s="2" t="s">
        <v>1</v>
      </c>
      <c r="I1" s="3">
        <v>46143.0</v>
      </c>
      <c r="J1" s="2" t="s">
        <v>1</v>
      </c>
      <c r="K1" s="3">
        <v>46175.0</v>
      </c>
      <c r="L1" s="2" t="s">
        <v>1</v>
      </c>
      <c r="M1" s="3">
        <v>46204.0</v>
      </c>
      <c r="N1" s="2" t="s">
        <v>2</v>
      </c>
      <c r="O1" s="3">
        <v>46237.0</v>
      </c>
      <c r="P1" s="2" t="s">
        <v>3</v>
      </c>
      <c r="Q1" s="3">
        <v>46195.0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4" t="s">
        <v>4</v>
      </c>
      <c r="B2" s="4" t="s">
        <v>5</v>
      </c>
      <c r="D2" s="5" t="s">
        <v>6</v>
      </c>
      <c r="E2" s="6"/>
      <c r="F2" s="5" t="s">
        <v>7</v>
      </c>
      <c r="G2" s="6"/>
      <c r="H2" s="5" t="s">
        <v>8</v>
      </c>
      <c r="I2" s="6"/>
      <c r="J2" s="5" t="s">
        <v>9</v>
      </c>
      <c r="K2" s="6"/>
      <c r="L2" s="5" t="s">
        <v>10</v>
      </c>
      <c r="M2" s="6"/>
      <c r="N2" s="5" t="s">
        <v>11</v>
      </c>
      <c r="O2" s="6"/>
      <c r="P2" s="4" t="s">
        <v>12</v>
      </c>
      <c r="R2" s="4" t="s">
        <v>13</v>
      </c>
      <c r="T2" s="4" t="s">
        <v>14</v>
      </c>
      <c r="V2" s="4" t="s">
        <v>15</v>
      </c>
      <c r="X2" s="4" t="s">
        <v>16</v>
      </c>
    </row>
    <row r="3">
      <c r="A3" s="7" t="s">
        <v>17</v>
      </c>
      <c r="B3" s="8">
        <f>SUM(B6,B9,B11,B13,B15)</f>
        <v>42247624</v>
      </c>
      <c r="C3" s="9">
        <f t="shared" ref="C3:C18" si="1">IFERROR(SUM((D3/B3)-1),0)</f>
        <v>0.09641877138</v>
      </c>
      <c r="D3" s="8">
        <f>SUM(D6,D9,D11,D13,D15)</f>
        <v>46321088</v>
      </c>
      <c r="E3" s="9">
        <f t="shared" ref="E3:E18" si="2">IFERROR(SUM((F3/D3)-1),0)</f>
        <v>0.2979536664</v>
      </c>
      <c r="F3" s="8">
        <f>SUM(F6,F9,F11,F13,F15)</f>
        <v>60122626</v>
      </c>
      <c r="G3" s="9">
        <f t="shared" ref="G3:G18" si="3">IFERROR(SUM((H3/F3)-1),0)</f>
        <v>-0.3023107973</v>
      </c>
      <c r="H3" s="8">
        <f>SUM(H6,H9,H11,H13,H15)</f>
        <v>41946907</v>
      </c>
      <c r="I3" s="9">
        <f t="shared" ref="I3:I18" si="4">IFERROR(SUM((J3/H3)-1),0)</f>
        <v>0.1262874281</v>
      </c>
      <c r="J3" s="8">
        <f>SUM(J6,J9,J11,J13,J15)</f>
        <v>47244274</v>
      </c>
      <c r="K3" s="9">
        <f t="shared" ref="K3:K18" si="5">IFERROR(SUM((L3/J3)-1),0)</f>
        <v>0.1221378278</v>
      </c>
      <c r="L3" s="8">
        <f>SUM(L6,L9,L11,L13,L15)</f>
        <v>53014587</v>
      </c>
      <c r="M3" s="9">
        <f t="shared" ref="M3:M18" si="6">IFERROR(SUM((N3/L3)-1),0)</f>
        <v>0.2233687117</v>
      </c>
      <c r="N3" s="8">
        <f>SUM(N6,N9,N11,N13,N15)</f>
        <v>64856387</v>
      </c>
      <c r="O3" s="9">
        <f t="shared" ref="O3:O18" si="7">IFERROR(SUM((P3/N3)-1),0)</f>
        <v>-0.2715555678</v>
      </c>
      <c r="P3" s="8">
        <f>SUM(P6,P9,P11,P13,P15)</f>
        <v>47244274</v>
      </c>
      <c r="Q3" s="9">
        <f t="shared" ref="Q3:Q18" si="8">IFERROR(SUM((R3/P3)-1),0)</f>
        <v>0</v>
      </c>
      <c r="R3" s="8">
        <f>SUM(R6,R9,R11,R13,R15)</f>
        <v>47244274</v>
      </c>
      <c r="S3" s="9">
        <f t="shared" ref="S3:S18" si="9">IFERROR(SUM((T3/R3)-1),0)</f>
        <v>0</v>
      </c>
      <c r="T3" s="8">
        <f>SUM(T6,T9,T11,T13,T15)</f>
        <v>47244274</v>
      </c>
      <c r="U3" s="9">
        <f t="shared" ref="U3:U18" si="10">IFERROR(SUM((V3/T3)-1),0)</f>
        <v>0</v>
      </c>
      <c r="V3" s="8">
        <f>SUM(V6,V9,V11,V13,V15)</f>
        <v>47244274</v>
      </c>
      <c r="W3" s="9">
        <f t="shared" ref="W3:W18" si="11">IFERROR(SUM((X3/V3)-1),0)</f>
        <v>0</v>
      </c>
      <c r="X3" s="8">
        <f>SUM(X6,X9,X11,X13,X15)</f>
        <v>47244274</v>
      </c>
      <c r="Y3" s="10"/>
      <c r="Z3" s="10"/>
    </row>
    <row r="4">
      <c r="A4" s="1" t="s">
        <v>18</v>
      </c>
      <c r="B4" s="11">
        <v>0.03</v>
      </c>
      <c r="C4" s="12">
        <f t="shared" si="1"/>
        <v>0</v>
      </c>
      <c r="D4" s="11">
        <v>0.03</v>
      </c>
      <c r="E4" s="12">
        <f t="shared" si="2"/>
        <v>0</v>
      </c>
      <c r="F4" s="11">
        <v>0.03</v>
      </c>
      <c r="G4" s="12">
        <f t="shared" si="3"/>
        <v>0</v>
      </c>
      <c r="H4" s="11">
        <v>0.03</v>
      </c>
      <c r="I4" s="12">
        <f t="shared" si="4"/>
        <v>0</v>
      </c>
      <c r="J4" s="11">
        <v>0.03</v>
      </c>
      <c r="K4" s="12">
        <f t="shared" si="5"/>
        <v>-0.3333333333</v>
      </c>
      <c r="L4" s="11">
        <v>0.02</v>
      </c>
      <c r="M4" s="12">
        <f t="shared" si="6"/>
        <v>0</v>
      </c>
      <c r="N4" s="11">
        <v>0.02</v>
      </c>
      <c r="O4" s="12">
        <f t="shared" si="7"/>
        <v>0.5</v>
      </c>
      <c r="P4" s="11">
        <v>0.03</v>
      </c>
      <c r="Q4" s="12">
        <f t="shared" si="8"/>
        <v>0</v>
      </c>
      <c r="R4" s="11">
        <v>0.03</v>
      </c>
      <c r="S4" s="12">
        <f t="shared" si="9"/>
        <v>0</v>
      </c>
      <c r="T4" s="11">
        <v>0.03</v>
      </c>
      <c r="U4" s="12">
        <f t="shared" si="10"/>
        <v>0</v>
      </c>
      <c r="V4" s="11">
        <v>0.03</v>
      </c>
      <c r="W4" s="12">
        <f t="shared" si="11"/>
        <v>0</v>
      </c>
      <c r="X4" s="11">
        <v>0.03</v>
      </c>
      <c r="Y4" s="13"/>
    </row>
    <row r="5">
      <c r="A5" s="1" t="s">
        <v>19</v>
      </c>
      <c r="B5" s="14">
        <f>B6/(1-B4)</f>
        <v>36250700</v>
      </c>
      <c r="C5" s="12">
        <f t="shared" si="1"/>
        <v>-0.02490994913</v>
      </c>
      <c r="D5" s="14">
        <f>D6/(1-D4)</f>
        <v>35347696.91</v>
      </c>
      <c r="E5" s="12">
        <f t="shared" si="2"/>
        <v>-0.007435530147</v>
      </c>
      <c r="F5" s="14">
        <f>F6/(1-F4)</f>
        <v>35084868.04</v>
      </c>
      <c r="G5" s="12">
        <f t="shared" si="3"/>
        <v>0.02849479386</v>
      </c>
      <c r="H5" s="14">
        <f>H6/(1-H4)</f>
        <v>36084604.12</v>
      </c>
      <c r="I5" s="12">
        <f t="shared" si="4"/>
        <v>0.0001503339831</v>
      </c>
      <c r="J5" s="14">
        <f>J6/(1-J4)</f>
        <v>36090028.87</v>
      </c>
      <c r="K5" s="12">
        <f t="shared" si="5"/>
        <v>-0.06747474793</v>
      </c>
      <c r="L5" s="14">
        <f>L6/(1-L4)</f>
        <v>33654863.27</v>
      </c>
      <c r="M5" s="12">
        <f t="shared" si="6"/>
        <v>0.09957638411</v>
      </c>
      <c r="N5" s="14">
        <f>N6/(1-N4)</f>
        <v>37006092.86</v>
      </c>
      <c r="O5" s="12">
        <f t="shared" si="7"/>
        <v>-0.02475440989</v>
      </c>
      <c r="P5" s="14">
        <f>P6/(1-P4)</f>
        <v>36090028.87</v>
      </c>
      <c r="Q5" s="12">
        <f t="shared" si="8"/>
        <v>0</v>
      </c>
      <c r="R5" s="14">
        <f>R6/(1-R4)</f>
        <v>36090028.87</v>
      </c>
      <c r="S5" s="12">
        <f t="shared" si="9"/>
        <v>0</v>
      </c>
      <c r="T5" s="14">
        <f>T6/(1-T4)</f>
        <v>36090028.87</v>
      </c>
      <c r="U5" s="12">
        <f t="shared" si="10"/>
        <v>0</v>
      </c>
      <c r="V5" s="14">
        <f>V6/(1-V4)</f>
        <v>36090028.87</v>
      </c>
      <c r="W5" s="12">
        <f t="shared" si="11"/>
        <v>0</v>
      </c>
      <c r="X5" s="14">
        <f>X6/(1-X4)</f>
        <v>36090028.87</v>
      </c>
      <c r="Y5" s="13"/>
    </row>
    <row r="6">
      <c r="A6" s="4" t="s">
        <v>20</v>
      </c>
      <c r="B6" s="15">
        <v>3.5163179E7</v>
      </c>
      <c r="C6" s="13">
        <f t="shared" si="1"/>
        <v>-0.02490994913</v>
      </c>
      <c r="D6" s="15">
        <v>3.4287266E7</v>
      </c>
      <c r="E6" s="13">
        <f t="shared" si="2"/>
        <v>-0.007435530147</v>
      </c>
      <c r="F6" s="15">
        <v>3.4032322E7</v>
      </c>
      <c r="G6" s="13">
        <f t="shared" si="3"/>
        <v>0.02849479386</v>
      </c>
      <c r="H6" s="15">
        <v>3.5002066E7</v>
      </c>
      <c r="I6" s="13">
        <f t="shared" si="4"/>
        <v>0.0001503339831</v>
      </c>
      <c r="J6" s="15">
        <v>3.5007328E7</v>
      </c>
      <c r="K6" s="13">
        <f t="shared" si="5"/>
        <v>-0.05786108554</v>
      </c>
      <c r="L6" s="15">
        <v>3.2981766E7</v>
      </c>
      <c r="M6" s="13">
        <f t="shared" si="6"/>
        <v>0.09957638411</v>
      </c>
      <c r="N6" s="15">
        <v>3.6265971E7</v>
      </c>
      <c r="O6" s="13">
        <f t="shared" si="7"/>
        <v>-0.03470589551</v>
      </c>
      <c r="P6" s="15">
        <v>3.5007328E7</v>
      </c>
      <c r="Q6" s="13">
        <f t="shared" si="8"/>
        <v>0</v>
      </c>
      <c r="R6" s="15">
        <v>3.5007328E7</v>
      </c>
      <c r="S6" s="13">
        <f t="shared" si="9"/>
        <v>0</v>
      </c>
      <c r="T6" s="15">
        <v>3.5007328E7</v>
      </c>
      <c r="U6" s="13">
        <f t="shared" si="10"/>
        <v>0</v>
      </c>
      <c r="V6" s="15">
        <v>3.5007328E7</v>
      </c>
      <c r="W6" s="13">
        <f t="shared" si="11"/>
        <v>0</v>
      </c>
      <c r="X6" s="15">
        <v>3.5007328E7</v>
      </c>
      <c r="Y6" s="13"/>
    </row>
    <row r="7">
      <c r="A7" s="16" t="s">
        <v>21</v>
      </c>
      <c r="B7" s="17">
        <f>B6/B3</f>
        <v>0.8323113982</v>
      </c>
      <c r="C7" s="18">
        <f t="shared" si="1"/>
        <v>-0.1106591055</v>
      </c>
      <c r="D7" s="17">
        <f>D6/D3</f>
        <v>0.7402085633</v>
      </c>
      <c r="E7" s="18">
        <f t="shared" si="2"/>
        <v>-0.2352851295</v>
      </c>
      <c r="F7" s="17">
        <f>F6/F3</f>
        <v>0.5660484956</v>
      </c>
      <c r="G7" s="18">
        <f t="shared" si="3"/>
        <v>0.4741446332</v>
      </c>
      <c r="H7" s="17">
        <f>H6/H3</f>
        <v>0.834437352</v>
      </c>
      <c r="I7" s="18">
        <f t="shared" si="4"/>
        <v>-0.111993698</v>
      </c>
      <c r="J7" s="17">
        <f>J6/J3</f>
        <v>0.7409856272</v>
      </c>
      <c r="K7" s="18">
        <f t="shared" si="5"/>
        <v>-0.1604071343</v>
      </c>
      <c r="L7" s="17">
        <f>L6/L3</f>
        <v>0.6221262461</v>
      </c>
      <c r="M7" s="18">
        <f t="shared" si="6"/>
        <v>-0.101189712</v>
      </c>
      <c r="N7" s="17">
        <f>N6/N3</f>
        <v>0.5591734705</v>
      </c>
      <c r="O7" s="18">
        <f t="shared" si="7"/>
        <v>0.3251444611</v>
      </c>
      <c r="P7" s="17">
        <f>P6/P3</f>
        <v>0.7409856272</v>
      </c>
      <c r="Q7" s="18">
        <f t="shared" si="8"/>
        <v>0</v>
      </c>
      <c r="R7" s="17">
        <f>R6/R3</f>
        <v>0.7409856272</v>
      </c>
      <c r="S7" s="18">
        <f t="shared" si="9"/>
        <v>0</v>
      </c>
      <c r="T7" s="17">
        <f>T6/T3</f>
        <v>0.7409856272</v>
      </c>
      <c r="U7" s="18">
        <f t="shared" si="10"/>
        <v>0</v>
      </c>
      <c r="V7" s="17">
        <f>V6/V3</f>
        <v>0.7409856272</v>
      </c>
      <c r="W7" s="18">
        <f t="shared" si="11"/>
        <v>0</v>
      </c>
      <c r="X7" s="17">
        <f>X6/X3</f>
        <v>0.7409856272</v>
      </c>
      <c r="Y7" s="13"/>
    </row>
    <row r="8">
      <c r="A8" s="1" t="s">
        <v>22</v>
      </c>
      <c r="B8" s="14">
        <f>B5-B6</f>
        <v>1087521</v>
      </c>
      <c r="C8" s="12">
        <f t="shared" si="1"/>
        <v>-0.02490994913</v>
      </c>
      <c r="D8" s="14">
        <f>D5-D6</f>
        <v>1060430.907</v>
      </c>
      <c r="E8" s="12">
        <f t="shared" si="2"/>
        <v>-0.007435530147</v>
      </c>
      <c r="F8" s="14">
        <f>F5-F6</f>
        <v>1052546.041</v>
      </c>
      <c r="G8" s="12">
        <f t="shared" si="3"/>
        <v>0.02849479386</v>
      </c>
      <c r="H8" s="14">
        <f>H5-H6</f>
        <v>1082538.124</v>
      </c>
      <c r="I8" s="12">
        <f t="shared" si="4"/>
        <v>0.0001503339831</v>
      </c>
      <c r="J8" s="14">
        <f>J5-J6</f>
        <v>1082700.866</v>
      </c>
      <c r="K8" s="12">
        <f t="shared" si="5"/>
        <v>-0.3783164986</v>
      </c>
      <c r="L8" s="14">
        <f>L5-L6</f>
        <v>673097.2653</v>
      </c>
      <c r="M8" s="12">
        <f t="shared" si="6"/>
        <v>0.09957638411</v>
      </c>
      <c r="N8" s="14">
        <f>N5-N6</f>
        <v>740121.8571</v>
      </c>
      <c r="O8" s="12">
        <f t="shared" si="7"/>
        <v>0.4628683852</v>
      </c>
      <c r="P8" s="14">
        <f>P5-P6</f>
        <v>1082700.866</v>
      </c>
      <c r="Q8" s="12">
        <f t="shared" si="8"/>
        <v>0</v>
      </c>
      <c r="R8" s="14">
        <f>R5-R6</f>
        <v>1082700.866</v>
      </c>
      <c r="S8" s="12">
        <f t="shared" si="9"/>
        <v>0</v>
      </c>
      <c r="T8" s="14">
        <f>T5-T6</f>
        <v>1082700.866</v>
      </c>
      <c r="U8" s="12">
        <f t="shared" si="10"/>
        <v>0</v>
      </c>
      <c r="V8" s="14">
        <f>V5-V6</f>
        <v>1082700.866</v>
      </c>
      <c r="W8" s="12">
        <f t="shared" si="11"/>
        <v>0</v>
      </c>
      <c r="X8" s="14">
        <f>X5-X6</f>
        <v>1082700.866</v>
      </c>
      <c r="Y8" s="13"/>
    </row>
    <row r="9">
      <c r="A9" s="4" t="s">
        <v>23</v>
      </c>
      <c r="B9" s="15">
        <v>7628719.0</v>
      </c>
      <c r="C9" s="13">
        <f t="shared" si="1"/>
        <v>-0.334301211</v>
      </c>
      <c r="D9" s="15">
        <v>5078429.0</v>
      </c>
      <c r="E9" s="13">
        <f t="shared" si="2"/>
        <v>0.8871554569</v>
      </c>
      <c r="F9" s="15">
        <v>9583785.0</v>
      </c>
      <c r="G9" s="13">
        <f t="shared" si="3"/>
        <v>-1</v>
      </c>
      <c r="H9" s="15">
        <v>0.0</v>
      </c>
      <c r="I9" s="13">
        <f t="shared" si="4"/>
        <v>0</v>
      </c>
      <c r="J9" s="15">
        <v>0.0</v>
      </c>
      <c r="K9" s="13">
        <f t="shared" si="5"/>
        <v>0</v>
      </c>
      <c r="L9" s="15">
        <v>2.1572403E7</v>
      </c>
      <c r="M9" s="13">
        <f t="shared" si="6"/>
        <v>-1</v>
      </c>
      <c r="N9" s="15">
        <v>0.0</v>
      </c>
      <c r="O9" s="13">
        <f t="shared" si="7"/>
        <v>0</v>
      </c>
      <c r="P9" s="15">
        <v>0.0</v>
      </c>
      <c r="Q9" s="13">
        <f t="shared" si="8"/>
        <v>0</v>
      </c>
      <c r="R9" s="15">
        <v>0.0</v>
      </c>
      <c r="S9" s="13">
        <f t="shared" si="9"/>
        <v>0</v>
      </c>
      <c r="T9" s="15">
        <v>0.0</v>
      </c>
      <c r="U9" s="13">
        <f t="shared" si="10"/>
        <v>0</v>
      </c>
      <c r="V9" s="15">
        <v>0.0</v>
      </c>
      <c r="W9" s="13">
        <f t="shared" si="11"/>
        <v>0</v>
      </c>
      <c r="X9" s="15">
        <v>0.0</v>
      </c>
    </row>
    <row r="10">
      <c r="A10" s="16" t="s">
        <v>24</v>
      </c>
      <c r="B10" s="17">
        <f>B9/B3</f>
        <v>0.1805715512</v>
      </c>
      <c r="C10" s="18">
        <f t="shared" si="1"/>
        <v>-0.3928425832</v>
      </c>
      <c r="D10" s="17">
        <f>D9/D3</f>
        <v>0.1096353566</v>
      </c>
      <c r="E10" s="18">
        <f t="shared" si="2"/>
        <v>0.4539467054</v>
      </c>
      <c r="F10" s="17">
        <f>F9/F3</f>
        <v>0.1594039655</v>
      </c>
      <c r="G10" s="18">
        <f t="shared" si="3"/>
        <v>-1</v>
      </c>
      <c r="H10" s="17">
        <f>H9/H3</f>
        <v>0</v>
      </c>
      <c r="I10" s="18">
        <f t="shared" si="4"/>
        <v>0</v>
      </c>
      <c r="J10" s="17">
        <f>J9/J3</f>
        <v>0</v>
      </c>
      <c r="K10" s="18">
        <f t="shared" si="5"/>
        <v>0</v>
      </c>
      <c r="L10" s="17">
        <f>L9/L3</f>
        <v>0.4069144781</v>
      </c>
      <c r="M10" s="18">
        <f t="shared" si="6"/>
        <v>-1</v>
      </c>
      <c r="N10" s="17">
        <f>N9/N3</f>
        <v>0</v>
      </c>
      <c r="O10" s="18">
        <f t="shared" si="7"/>
        <v>0</v>
      </c>
      <c r="P10" s="17">
        <f>P9/P3</f>
        <v>0</v>
      </c>
      <c r="Q10" s="18">
        <f t="shared" si="8"/>
        <v>0</v>
      </c>
      <c r="R10" s="17">
        <f>R9/R3</f>
        <v>0</v>
      </c>
      <c r="S10" s="18">
        <f t="shared" si="9"/>
        <v>0</v>
      </c>
      <c r="T10" s="17">
        <f>T9/T3</f>
        <v>0</v>
      </c>
      <c r="U10" s="18">
        <f t="shared" si="10"/>
        <v>0</v>
      </c>
      <c r="V10" s="17">
        <f>V9/V3</f>
        <v>0</v>
      </c>
      <c r="W10" s="18">
        <f t="shared" si="11"/>
        <v>0</v>
      </c>
      <c r="X10" s="17">
        <f>X9/X3</f>
        <v>0</v>
      </c>
    </row>
    <row r="11">
      <c r="A11" s="4" t="s">
        <v>37</v>
      </c>
      <c r="B11" s="15">
        <v>4091746.0</v>
      </c>
      <c r="C11" s="13">
        <f t="shared" si="1"/>
        <v>0.6812717603</v>
      </c>
      <c r="D11" s="15">
        <v>6879337.0</v>
      </c>
      <c r="E11" s="13">
        <f t="shared" si="2"/>
        <v>-0.1230615683</v>
      </c>
      <c r="F11" s="15">
        <v>6032755.0</v>
      </c>
      <c r="G11" s="13">
        <f t="shared" si="3"/>
        <v>0.2104973598</v>
      </c>
      <c r="H11" s="15">
        <v>7302634.0</v>
      </c>
      <c r="I11" s="13">
        <f t="shared" si="4"/>
        <v>-0.4629236519</v>
      </c>
      <c r="J11" s="15">
        <v>3922072.0</v>
      </c>
      <c r="K11" s="13">
        <f t="shared" si="5"/>
        <v>-0.6638236116</v>
      </c>
      <c r="L11" s="15">
        <v>1318508.0</v>
      </c>
      <c r="M11" s="13">
        <f t="shared" si="6"/>
        <v>10.52710488</v>
      </c>
      <c r="N11" s="15">
        <v>1.519858E7</v>
      </c>
      <c r="O11" s="13">
        <f t="shared" si="7"/>
        <v>-0.7419448396</v>
      </c>
      <c r="P11" s="15">
        <v>3922072.0</v>
      </c>
      <c r="Q11" s="13">
        <f t="shared" si="8"/>
        <v>0</v>
      </c>
      <c r="R11" s="15">
        <v>3922072.0</v>
      </c>
      <c r="S11" s="13">
        <f t="shared" si="9"/>
        <v>0</v>
      </c>
      <c r="T11" s="15">
        <v>3922072.0</v>
      </c>
      <c r="U11" s="13">
        <f t="shared" si="10"/>
        <v>0</v>
      </c>
      <c r="V11" s="15">
        <v>3922072.0</v>
      </c>
      <c r="W11" s="13">
        <f t="shared" si="11"/>
        <v>0</v>
      </c>
      <c r="X11" s="15">
        <v>3922072.0</v>
      </c>
    </row>
    <row r="12">
      <c r="A12" s="16" t="s">
        <v>34</v>
      </c>
      <c r="B12" s="17">
        <f>B11/B3</f>
        <v>0.09685150578</v>
      </c>
      <c r="C12" s="18">
        <f t="shared" si="1"/>
        <v>0.5334211746</v>
      </c>
      <c r="D12" s="17">
        <f>D11/D3</f>
        <v>0.1485141498</v>
      </c>
      <c r="E12" s="18">
        <f t="shared" si="2"/>
        <v>-0.3243684621</v>
      </c>
      <c r="F12" s="17">
        <f>F11/F3</f>
        <v>0.1003408434</v>
      </c>
      <c r="G12" s="18">
        <f t="shared" si="3"/>
        <v>0.7350094499</v>
      </c>
      <c r="H12" s="17">
        <f>H11/H3</f>
        <v>0.1740923115</v>
      </c>
      <c r="I12" s="18">
        <f t="shared" si="4"/>
        <v>-0.5231445058</v>
      </c>
      <c r="J12" s="17">
        <f>J11/J3</f>
        <v>0.08301687523</v>
      </c>
      <c r="K12" s="18">
        <f t="shared" si="5"/>
        <v>-0.7004143519</v>
      </c>
      <c r="L12" s="17">
        <f>L11/L3</f>
        <v>0.02487066437</v>
      </c>
      <c r="M12" s="18">
        <f t="shared" si="6"/>
        <v>8.422429043</v>
      </c>
      <c r="N12" s="17">
        <f>N11/N3</f>
        <v>0.2343420703</v>
      </c>
      <c r="O12" s="18">
        <f t="shared" si="7"/>
        <v>-0.6457448928</v>
      </c>
      <c r="P12" s="17">
        <f>P11/P3</f>
        <v>0.08301687523</v>
      </c>
      <c r="Q12" s="18">
        <f t="shared" si="8"/>
        <v>0</v>
      </c>
      <c r="R12" s="17">
        <f>R11/R3</f>
        <v>0.08301687523</v>
      </c>
      <c r="S12" s="18">
        <f t="shared" si="9"/>
        <v>0</v>
      </c>
      <c r="T12" s="17">
        <f>T11/T3</f>
        <v>0.08301687523</v>
      </c>
      <c r="U12" s="18">
        <f t="shared" si="10"/>
        <v>0</v>
      </c>
      <c r="V12" s="17">
        <f>V11/V3</f>
        <v>0.08301687523</v>
      </c>
      <c r="W12" s="18">
        <f t="shared" si="11"/>
        <v>0</v>
      </c>
      <c r="X12" s="17">
        <f>X11/X3</f>
        <v>0.08301687523</v>
      </c>
    </row>
    <row r="13">
      <c r="A13" s="4" t="s">
        <v>42</v>
      </c>
      <c r="B13" s="15">
        <v>3124153.0</v>
      </c>
      <c r="C13" s="13">
        <f t="shared" si="1"/>
        <v>0.7012150173</v>
      </c>
      <c r="D13" s="15">
        <v>5314856.0</v>
      </c>
      <c r="E13" s="13">
        <f t="shared" si="2"/>
        <v>-0.001686028747</v>
      </c>
      <c r="F13" s="15">
        <v>5305895.0</v>
      </c>
      <c r="G13" s="13">
        <f t="shared" si="3"/>
        <v>-0.4657615727</v>
      </c>
      <c r="H13" s="15">
        <v>2834613.0</v>
      </c>
      <c r="I13" s="13">
        <f t="shared" si="4"/>
        <v>-0.1448151829</v>
      </c>
      <c r="J13" s="15">
        <v>2424118.0</v>
      </c>
      <c r="K13" s="13">
        <f t="shared" si="5"/>
        <v>-0.166410216</v>
      </c>
      <c r="L13" s="15">
        <v>2020720.0</v>
      </c>
      <c r="M13" s="13">
        <f t="shared" si="6"/>
        <v>11.43316095</v>
      </c>
      <c r="N13" s="15">
        <v>2.5123937E7</v>
      </c>
      <c r="O13" s="13">
        <f t="shared" si="7"/>
        <v>-0.9035136094</v>
      </c>
      <c r="P13" s="15">
        <v>2424118.0</v>
      </c>
      <c r="Q13" s="13">
        <f t="shared" si="8"/>
        <v>0</v>
      </c>
      <c r="R13" s="15">
        <v>2424118.0</v>
      </c>
      <c r="S13" s="13">
        <f t="shared" si="9"/>
        <v>0</v>
      </c>
      <c r="T13" s="15">
        <v>2424118.0</v>
      </c>
      <c r="U13" s="13">
        <f t="shared" si="10"/>
        <v>0</v>
      </c>
      <c r="V13" s="15">
        <v>2424118.0</v>
      </c>
      <c r="W13" s="13">
        <f t="shared" si="11"/>
        <v>0</v>
      </c>
      <c r="X13" s="15">
        <v>2424118.0</v>
      </c>
    </row>
    <row r="14">
      <c r="A14" s="16" t="s">
        <v>43</v>
      </c>
      <c r="B14" s="17">
        <f>B13/B3</f>
        <v>0.07394860833</v>
      </c>
      <c r="C14" s="18">
        <f t="shared" si="1"/>
        <v>0.551610627</v>
      </c>
      <c r="D14" s="17">
        <f>D13/D3</f>
        <v>0.1147394465</v>
      </c>
      <c r="E14" s="18">
        <f t="shared" si="2"/>
        <v>-0.2308554634</v>
      </c>
      <c r="F14" s="17">
        <f>F13/F3</f>
        <v>0.08825121843</v>
      </c>
      <c r="G14" s="18">
        <f t="shared" si="3"/>
        <v>-0.2342744804</v>
      </c>
      <c r="H14" s="17">
        <f>H13/H3</f>
        <v>0.06757621009</v>
      </c>
      <c r="I14" s="18">
        <f t="shared" si="4"/>
        <v>-0.2407046409</v>
      </c>
      <c r="J14" s="17">
        <f>J13/J3</f>
        <v>0.0513103027</v>
      </c>
      <c r="K14" s="18">
        <f t="shared" si="5"/>
        <v>-0.257141357</v>
      </c>
      <c r="L14" s="17">
        <f>L13/L3</f>
        <v>0.03811630184</v>
      </c>
      <c r="M14" s="18">
        <f t="shared" si="6"/>
        <v>9.163052916</v>
      </c>
      <c r="N14" s="17">
        <f>N13/N3</f>
        <v>0.3873779925</v>
      </c>
      <c r="O14" s="18">
        <f t="shared" si="7"/>
        <v>-0.867544611</v>
      </c>
      <c r="P14" s="17">
        <f>P13/P3</f>
        <v>0.0513103027</v>
      </c>
      <c r="Q14" s="18">
        <f t="shared" si="8"/>
        <v>0</v>
      </c>
      <c r="R14" s="17">
        <f>R13/R3</f>
        <v>0.0513103027</v>
      </c>
      <c r="S14" s="18">
        <f t="shared" si="9"/>
        <v>0</v>
      </c>
      <c r="T14" s="17">
        <f>T13/T3</f>
        <v>0.0513103027</v>
      </c>
      <c r="U14" s="18">
        <f t="shared" si="10"/>
        <v>0</v>
      </c>
      <c r="V14" s="17">
        <f>V13/V3</f>
        <v>0.0513103027</v>
      </c>
      <c r="W14" s="18">
        <f t="shared" si="11"/>
        <v>0</v>
      </c>
      <c r="X14" s="17">
        <f>X13/X3</f>
        <v>0.0513103027</v>
      </c>
    </row>
    <row r="15">
      <c r="A15" s="4" t="s">
        <v>46</v>
      </c>
      <c r="B15" s="15">
        <v>-7760173.0</v>
      </c>
      <c r="C15" s="13">
        <f t="shared" si="1"/>
        <v>-0.3249119575</v>
      </c>
      <c r="D15" s="15">
        <v>-5238800.0</v>
      </c>
      <c r="E15" s="13">
        <f t="shared" si="2"/>
        <v>-1.986460449</v>
      </c>
      <c r="F15" s="15">
        <v>5167869.0</v>
      </c>
      <c r="G15" s="13">
        <f t="shared" si="3"/>
        <v>-1.617741278</v>
      </c>
      <c r="H15" s="15">
        <v>-3192406.0</v>
      </c>
      <c r="I15" s="13">
        <f t="shared" si="4"/>
        <v>-2.845240236</v>
      </c>
      <c r="J15" s="15">
        <v>5890756.0</v>
      </c>
      <c r="K15" s="13">
        <f t="shared" si="5"/>
        <v>-1.828214579</v>
      </c>
      <c r="L15" s="15">
        <v>-4878810.0</v>
      </c>
      <c r="M15" s="13">
        <f t="shared" si="6"/>
        <v>1.404705451</v>
      </c>
      <c r="N15" s="15">
        <v>-1.1732101E7</v>
      </c>
      <c r="O15" s="13">
        <f t="shared" si="7"/>
        <v>-1.502105804</v>
      </c>
      <c r="P15" s="15">
        <v>5890756.0</v>
      </c>
      <c r="Q15" s="13">
        <f t="shared" si="8"/>
        <v>0</v>
      </c>
      <c r="R15" s="15">
        <v>5890756.0</v>
      </c>
      <c r="S15" s="13">
        <f t="shared" si="9"/>
        <v>0</v>
      </c>
      <c r="T15" s="15">
        <v>5890756.0</v>
      </c>
      <c r="U15" s="13">
        <f t="shared" si="10"/>
        <v>0</v>
      </c>
      <c r="V15" s="15">
        <v>5890756.0</v>
      </c>
      <c r="W15" s="13">
        <f t="shared" si="11"/>
        <v>0</v>
      </c>
      <c r="X15" s="15">
        <v>5890756.0</v>
      </c>
    </row>
    <row r="16">
      <c r="A16" s="16" t="s">
        <v>47</v>
      </c>
      <c r="B16" s="17">
        <f>B15/B3</f>
        <v>-0.1836830635</v>
      </c>
      <c r="C16" s="18">
        <f t="shared" si="1"/>
        <v>-0.3842790181</v>
      </c>
      <c r="D16" s="17">
        <f>D15/D3</f>
        <v>-0.1130975162</v>
      </c>
      <c r="E16" s="18">
        <f t="shared" si="2"/>
        <v>-1.760012067</v>
      </c>
      <c r="F16" s="17">
        <f>F15/F3</f>
        <v>0.08595547706</v>
      </c>
      <c r="G16" s="18">
        <f t="shared" si="3"/>
        <v>-1.885410403</v>
      </c>
      <c r="H16" s="17">
        <f>H15/H3</f>
        <v>-0.07610587355</v>
      </c>
      <c r="I16" s="18">
        <f t="shared" si="4"/>
        <v>-2.63833866</v>
      </c>
      <c r="J16" s="17">
        <f>J15/J3</f>
        <v>0.1246871949</v>
      </c>
      <c r="K16" s="18">
        <f t="shared" si="5"/>
        <v>-1.738068496</v>
      </c>
      <c r="L16" s="17">
        <f>L15/L3</f>
        <v>-0.09202769042</v>
      </c>
      <c r="M16" s="18">
        <f t="shared" si="6"/>
        <v>0.9656424328</v>
      </c>
      <c r="N16" s="17">
        <f>N15/N3</f>
        <v>-0.1808935333</v>
      </c>
      <c r="O16" s="18">
        <f t="shared" si="7"/>
        <v>-1.689284977</v>
      </c>
      <c r="P16" s="17">
        <f>P15/P3</f>
        <v>0.1246871949</v>
      </c>
      <c r="Q16" s="18">
        <f t="shared" si="8"/>
        <v>0</v>
      </c>
      <c r="R16" s="17">
        <f>R15/R3</f>
        <v>0.1246871949</v>
      </c>
      <c r="S16" s="18">
        <f t="shared" si="9"/>
        <v>0</v>
      </c>
      <c r="T16" s="17">
        <f>T15/T3</f>
        <v>0.1246871949</v>
      </c>
      <c r="U16" s="18">
        <f t="shared" si="10"/>
        <v>0</v>
      </c>
      <c r="V16" s="17">
        <f>V15/V3</f>
        <v>0.1246871949</v>
      </c>
      <c r="W16" s="18">
        <f t="shared" si="11"/>
        <v>0</v>
      </c>
      <c r="X16" s="17">
        <f>X15/X3</f>
        <v>0.1246871949</v>
      </c>
    </row>
    <row r="17">
      <c r="A17" s="1" t="s">
        <v>36</v>
      </c>
      <c r="B17" s="24">
        <f>B9</f>
        <v>7628719</v>
      </c>
      <c r="C17" s="13">
        <f t="shared" si="1"/>
        <v>-0.334301211</v>
      </c>
      <c r="D17" s="24">
        <f>D9</f>
        <v>5078429</v>
      </c>
      <c r="E17" s="13">
        <f t="shared" si="2"/>
        <v>0.8871554569</v>
      </c>
      <c r="F17" s="24">
        <f>F9</f>
        <v>9583785</v>
      </c>
      <c r="G17" s="13">
        <f t="shared" si="3"/>
        <v>-1</v>
      </c>
      <c r="H17" s="24">
        <f>H9</f>
        <v>0</v>
      </c>
      <c r="I17" s="13">
        <f t="shared" si="4"/>
        <v>0</v>
      </c>
      <c r="J17" s="24">
        <f>J9</f>
        <v>0</v>
      </c>
      <c r="K17" s="13">
        <f t="shared" si="5"/>
        <v>0</v>
      </c>
      <c r="L17" s="24">
        <f>L9</f>
        <v>21572403</v>
      </c>
      <c r="M17" s="13">
        <f t="shared" si="6"/>
        <v>-1</v>
      </c>
      <c r="N17" s="24">
        <f>N9</f>
        <v>0</v>
      </c>
      <c r="O17" s="13">
        <f t="shared" si="7"/>
        <v>0</v>
      </c>
      <c r="P17" s="24">
        <f>P9</f>
        <v>0</v>
      </c>
      <c r="Q17" s="13">
        <f t="shared" si="8"/>
        <v>0</v>
      </c>
      <c r="R17" s="24">
        <f>R9</f>
        <v>0</v>
      </c>
      <c r="S17" s="13">
        <f t="shared" si="9"/>
        <v>0</v>
      </c>
      <c r="T17" s="24">
        <f>T9</f>
        <v>0</v>
      </c>
      <c r="U17" s="13">
        <f t="shared" si="10"/>
        <v>0</v>
      </c>
      <c r="V17" s="24">
        <f>V9</f>
        <v>0</v>
      </c>
      <c r="W17" s="13">
        <f t="shared" si="11"/>
        <v>0</v>
      </c>
      <c r="X17" s="24">
        <f>X9</f>
        <v>0</v>
      </c>
    </row>
    <row r="18">
      <c r="A18" s="28" t="s">
        <v>39</v>
      </c>
      <c r="B18" s="24">
        <f>B3-ABS(B17)</f>
        <v>34618905</v>
      </c>
      <c r="C18" s="13">
        <f t="shared" si="1"/>
        <v>0.1913334347</v>
      </c>
      <c r="D18" s="24">
        <f>D3-ABS(D17)</f>
        <v>41242659</v>
      </c>
      <c r="E18" s="13">
        <f t="shared" si="2"/>
        <v>0.2254021013</v>
      </c>
      <c r="F18" s="24">
        <f>F3-ABS(F17)</f>
        <v>50538841</v>
      </c>
      <c r="G18" s="13">
        <f t="shared" si="3"/>
        <v>-0.17000655</v>
      </c>
      <c r="H18" s="24">
        <f>H3-ABS(H17)</f>
        <v>41946907</v>
      </c>
      <c r="I18" s="13">
        <f t="shared" si="4"/>
        <v>0.1262874281</v>
      </c>
      <c r="J18" s="24">
        <f>J3-ABS(J17)</f>
        <v>47244274</v>
      </c>
      <c r="K18" s="13">
        <f t="shared" si="5"/>
        <v>-0.3344763008</v>
      </c>
      <c r="L18" s="24">
        <f>L3-ABS(L17)</f>
        <v>31442184</v>
      </c>
      <c r="M18" s="13">
        <f t="shared" si="6"/>
        <v>1.062718894</v>
      </c>
      <c r="N18" s="24">
        <f>N3-ABS(N17)</f>
        <v>64856387</v>
      </c>
      <c r="O18" s="13">
        <f t="shared" si="7"/>
        <v>-0.2715555678</v>
      </c>
      <c r="P18" s="24">
        <f>P3-ABS(P17)</f>
        <v>47244274</v>
      </c>
      <c r="Q18" s="13">
        <f t="shared" si="8"/>
        <v>0</v>
      </c>
      <c r="R18" s="24">
        <f>R3-ABS(R17)</f>
        <v>47244274</v>
      </c>
      <c r="S18" s="13">
        <f t="shared" si="9"/>
        <v>0</v>
      </c>
      <c r="T18" s="24">
        <f>T3-ABS(T17)</f>
        <v>47244274</v>
      </c>
      <c r="U18" s="13">
        <f t="shared" si="10"/>
        <v>0</v>
      </c>
      <c r="V18" s="24">
        <f>V3-ABS(V17)</f>
        <v>47244274</v>
      </c>
      <c r="W18" s="13">
        <f t="shared" si="11"/>
        <v>0</v>
      </c>
      <c r="X18" s="24">
        <f>X3-ABS(X17)</f>
        <v>47244274</v>
      </c>
    </row>
    <row r="20">
      <c r="A20" s="25" t="s">
        <v>44</v>
      </c>
      <c r="B20" s="26">
        <f>SUM(B21,B22,B24,B26,B27)</f>
        <v>6979259</v>
      </c>
      <c r="C20" s="27">
        <f t="shared" ref="C20:C41" si="12">IFERROR(SUM((D20/B20)-1),0)</f>
        <v>-0.05352946495</v>
      </c>
      <c r="D20" s="26">
        <f>SUM(D21,D22,D24,D26,D27)</f>
        <v>6605663</v>
      </c>
      <c r="E20" s="27">
        <f t="shared" ref="E20:E41" si="13">IFERROR(SUM((F20/D20)-1),0)</f>
        <v>0.03472459918</v>
      </c>
      <c r="F20" s="26">
        <f>SUM(F21,F22,F24,F26,F27)</f>
        <v>6835042</v>
      </c>
      <c r="G20" s="27">
        <f t="shared" ref="G20:G41" si="14">IFERROR(SUM((H20/F20)-1),0)</f>
        <v>0.02556872365</v>
      </c>
      <c r="H20" s="26">
        <f>SUM(H21,H22,H24,H26,H27)</f>
        <v>7009805.3</v>
      </c>
      <c r="I20" s="27">
        <f t="shared" ref="I20:I41" si="15">IFERROR(SUM((J20/H20)-1),0)</f>
        <v>-0.04829895917</v>
      </c>
      <c r="J20" s="26">
        <f>SUM(J21,J22,J24,J26,J27)</f>
        <v>6671239</v>
      </c>
      <c r="K20" s="27">
        <f t="shared" ref="K20:K41" si="16">IFERROR(SUM((L20/J20)-1),0)</f>
        <v>0.2386988384</v>
      </c>
      <c r="L20" s="26">
        <f>SUM(L21,L22,L24,L26,L27)</f>
        <v>8263656</v>
      </c>
      <c r="M20" s="27">
        <f t="shared" ref="M20:M41" si="17">IFERROR(SUM((N20/L20)-1),0)</f>
        <v>0.1296878766</v>
      </c>
      <c r="N20" s="26">
        <f>SUM(N21,N22,N24,N26,N27)</f>
        <v>9335352</v>
      </c>
      <c r="O20" s="27">
        <f t="shared" ref="O20:O41" si="18">IFERROR(SUM((P20/N20)-1),0)</f>
        <v>-0.2853789552</v>
      </c>
      <c r="P20" s="26">
        <f>SUM(P21,P22,P24,P26,P27)</f>
        <v>6671239</v>
      </c>
      <c r="Q20" s="27">
        <f t="shared" ref="Q20:Q41" si="19">IFERROR(SUM((R20/P20)-1),0)</f>
        <v>0</v>
      </c>
      <c r="R20" s="26">
        <f>SUM(R21,R22,R24,R26,R27)</f>
        <v>6671239</v>
      </c>
      <c r="S20" s="27">
        <f t="shared" ref="S20:S41" si="20">IFERROR(SUM((T20/R20)-1),0)</f>
        <v>0</v>
      </c>
      <c r="T20" s="26">
        <f>SUM(T21,T22,T24,T26,T27)</f>
        <v>6671239</v>
      </c>
      <c r="U20" s="27">
        <f t="shared" ref="U20:U41" si="21">IFERROR(SUM((V20/T20)-1),0)</f>
        <v>0</v>
      </c>
      <c r="V20" s="26">
        <f>SUM(V21,V22,V24,V26,V27)</f>
        <v>6671239</v>
      </c>
      <c r="W20" s="27">
        <f t="shared" ref="W20:W41" si="22">IFERROR(SUM((X20/V20)-1),0)</f>
        <v>0</v>
      </c>
      <c r="X20" s="26">
        <f>SUM(X21,X22,X24,X26,X27)</f>
        <v>6671239</v>
      </c>
    </row>
    <row r="21">
      <c r="A21" s="4" t="s">
        <v>48</v>
      </c>
      <c r="B21" s="15">
        <v>1197673.0</v>
      </c>
      <c r="C21" s="13">
        <f t="shared" si="12"/>
        <v>-0.4332326102</v>
      </c>
      <c r="D21" s="15">
        <v>678802.0</v>
      </c>
      <c r="E21" s="13">
        <f t="shared" si="13"/>
        <v>0.3118759226</v>
      </c>
      <c r="F21" s="15">
        <v>890504.0</v>
      </c>
      <c r="G21" s="13">
        <f t="shared" si="14"/>
        <v>0.174121621</v>
      </c>
      <c r="H21" s="15">
        <v>1045560.0</v>
      </c>
      <c r="I21" s="13">
        <f t="shared" si="15"/>
        <v>-0.2531380313</v>
      </c>
      <c r="J21" s="15">
        <v>780889.0</v>
      </c>
      <c r="K21" s="13">
        <f t="shared" si="16"/>
        <v>1.502360771</v>
      </c>
      <c r="L21" s="15">
        <v>1954066.0</v>
      </c>
      <c r="M21" s="13">
        <f t="shared" si="17"/>
        <v>-0.190123568</v>
      </c>
      <c r="N21" s="15">
        <v>1582552.0</v>
      </c>
      <c r="O21" s="13">
        <f t="shared" si="18"/>
        <v>-0.5065634494</v>
      </c>
      <c r="P21" s="15">
        <v>780889.0</v>
      </c>
      <c r="Q21" s="13">
        <f t="shared" si="19"/>
        <v>0</v>
      </c>
      <c r="R21" s="15">
        <v>780889.0</v>
      </c>
      <c r="S21" s="13">
        <f t="shared" si="20"/>
        <v>0</v>
      </c>
      <c r="T21" s="15">
        <v>780889.0</v>
      </c>
      <c r="U21" s="13">
        <f t="shared" si="21"/>
        <v>0</v>
      </c>
      <c r="V21" s="15">
        <v>780889.0</v>
      </c>
      <c r="W21" s="13">
        <f t="shared" si="22"/>
        <v>0</v>
      </c>
      <c r="X21" s="15">
        <v>780889.0</v>
      </c>
    </row>
    <row r="22">
      <c r="A22" s="25" t="s">
        <v>49</v>
      </c>
      <c r="B22" s="15">
        <v>1056986.0</v>
      </c>
      <c r="C22" s="13">
        <f t="shared" si="12"/>
        <v>0.2975356343</v>
      </c>
      <c r="D22" s="15">
        <v>1371477.0</v>
      </c>
      <c r="E22" s="13">
        <f t="shared" si="13"/>
        <v>-0.0002639490126</v>
      </c>
      <c r="F22" s="15">
        <v>1371115.0</v>
      </c>
      <c r="G22" s="13">
        <f t="shared" si="14"/>
        <v>-0.03192219471</v>
      </c>
      <c r="H22" s="15">
        <v>1327346.0</v>
      </c>
      <c r="I22" s="13">
        <f t="shared" si="15"/>
        <v>0.04329014439</v>
      </c>
      <c r="J22" s="15">
        <v>1384807.0</v>
      </c>
      <c r="K22" s="13">
        <f t="shared" si="16"/>
        <v>0.005016583538</v>
      </c>
      <c r="L22" s="15">
        <v>1391754.0</v>
      </c>
      <c r="M22" s="13">
        <f t="shared" si="17"/>
        <v>0.01973983908</v>
      </c>
      <c r="N22" s="15">
        <v>1419227.0</v>
      </c>
      <c r="O22" s="13">
        <f t="shared" si="18"/>
        <v>-0.02425263894</v>
      </c>
      <c r="P22" s="15">
        <v>1384807.0</v>
      </c>
      <c r="Q22" s="13">
        <f t="shared" si="19"/>
        <v>0</v>
      </c>
      <c r="R22" s="15">
        <v>1384807.0</v>
      </c>
      <c r="S22" s="13">
        <f t="shared" si="20"/>
        <v>0</v>
      </c>
      <c r="T22" s="15">
        <v>1384807.0</v>
      </c>
      <c r="U22" s="13">
        <f t="shared" si="21"/>
        <v>0</v>
      </c>
      <c r="V22" s="15">
        <v>1384807.0</v>
      </c>
      <c r="W22" s="13">
        <f t="shared" si="22"/>
        <v>0</v>
      </c>
      <c r="X22" s="15">
        <v>1384807.0</v>
      </c>
    </row>
    <row r="23">
      <c r="A23" s="1" t="s">
        <v>50</v>
      </c>
      <c r="B23" s="30">
        <f>B22/B3</f>
        <v>0.02501882709</v>
      </c>
      <c r="C23" s="31">
        <f t="shared" si="12"/>
        <v>0.1834307002</v>
      </c>
      <c r="D23" s="30">
        <f>D22/D3</f>
        <v>0.02960804807</v>
      </c>
      <c r="E23" s="31">
        <f t="shared" si="13"/>
        <v>-0.2297598313</v>
      </c>
      <c r="F23" s="30">
        <f>F22/F3</f>
        <v>0.02280530794</v>
      </c>
      <c r="G23" s="31">
        <f t="shared" si="14"/>
        <v>0.3875487846</v>
      </c>
      <c r="H23" s="30">
        <f>H22/H3</f>
        <v>0.03164347731</v>
      </c>
      <c r="I23" s="31">
        <f t="shared" si="15"/>
        <v>-0.07369103268</v>
      </c>
      <c r="J23" s="30">
        <f>J22/J3</f>
        <v>0.02931163679</v>
      </c>
      <c r="K23" s="31">
        <f t="shared" si="16"/>
        <v>-0.1043733143</v>
      </c>
      <c r="L23" s="30">
        <f>L22/L3</f>
        <v>0.02625228411</v>
      </c>
      <c r="M23" s="31">
        <f t="shared" si="17"/>
        <v>-0.1664493057</v>
      </c>
      <c r="N23" s="30">
        <f>N22/N3</f>
        <v>0.02188260965</v>
      </c>
      <c r="O23" s="31">
        <f t="shared" si="18"/>
        <v>0.3394945695</v>
      </c>
      <c r="P23" s="30">
        <f>P22/P3</f>
        <v>0.02931163679</v>
      </c>
      <c r="Q23" s="31">
        <f t="shared" si="19"/>
        <v>0</v>
      </c>
      <c r="R23" s="30">
        <f>R22/R3</f>
        <v>0.02931163679</v>
      </c>
      <c r="S23" s="31">
        <f t="shared" si="20"/>
        <v>0</v>
      </c>
      <c r="T23" s="30">
        <f>T22/T3</f>
        <v>0.02931163679</v>
      </c>
      <c r="U23" s="31">
        <f t="shared" si="21"/>
        <v>0</v>
      </c>
      <c r="V23" s="30">
        <f>V22/V3</f>
        <v>0.02931163679</v>
      </c>
      <c r="W23" s="31">
        <f t="shared" si="22"/>
        <v>0</v>
      </c>
      <c r="X23" s="30">
        <f>X22/X3</f>
        <v>0.02931163679</v>
      </c>
    </row>
    <row r="24">
      <c r="A24" s="4" t="s">
        <v>51</v>
      </c>
      <c r="B24" s="15">
        <v>4061148.0</v>
      </c>
      <c r="C24" s="13">
        <f t="shared" si="12"/>
        <v>-0.03458086236</v>
      </c>
      <c r="D24" s="15">
        <v>3920710.0</v>
      </c>
      <c r="E24" s="13">
        <f t="shared" si="13"/>
        <v>0.09733339115</v>
      </c>
      <c r="F24" s="15">
        <v>4302326.0</v>
      </c>
      <c r="G24" s="13">
        <f t="shared" si="14"/>
        <v>-0.03741371528</v>
      </c>
      <c r="H24" s="15">
        <v>4141360.0</v>
      </c>
      <c r="I24" s="13">
        <f t="shared" si="15"/>
        <v>0.002373616397</v>
      </c>
      <c r="J24" s="15">
        <v>4151190.0</v>
      </c>
      <c r="K24" s="13">
        <f t="shared" si="16"/>
        <v>0.01382687856</v>
      </c>
      <c r="L24" s="15">
        <v>4208588.0</v>
      </c>
      <c r="M24" s="13">
        <f t="shared" si="17"/>
        <v>0.2679637446</v>
      </c>
      <c r="N24" s="15">
        <v>5336337.0</v>
      </c>
      <c r="O24" s="13">
        <f t="shared" si="18"/>
        <v>-0.2220899842</v>
      </c>
      <c r="P24" s="15">
        <v>4151190.0</v>
      </c>
      <c r="Q24" s="13">
        <f t="shared" si="19"/>
        <v>0</v>
      </c>
      <c r="R24" s="15">
        <v>4151190.0</v>
      </c>
      <c r="S24" s="13">
        <f t="shared" si="20"/>
        <v>0</v>
      </c>
      <c r="T24" s="15">
        <v>4151190.0</v>
      </c>
      <c r="U24" s="13">
        <f t="shared" si="21"/>
        <v>0</v>
      </c>
      <c r="V24" s="15">
        <v>4151190.0</v>
      </c>
      <c r="W24" s="13">
        <f t="shared" si="22"/>
        <v>0</v>
      </c>
      <c r="X24" s="15">
        <v>4151190.0</v>
      </c>
    </row>
    <row r="25">
      <c r="A25" s="1" t="s">
        <v>52</v>
      </c>
      <c r="B25" s="30">
        <f>B24/B3</f>
        <v>0.09612725203</v>
      </c>
      <c r="C25" s="31">
        <f t="shared" si="12"/>
        <v>-0.1194795612</v>
      </c>
      <c r="D25" s="30">
        <f>D24/D3</f>
        <v>0.08464201014</v>
      </c>
      <c r="E25" s="31">
        <f t="shared" si="13"/>
        <v>-0.1545665923</v>
      </c>
      <c r="F25" s="30">
        <f>F24/F3</f>
        <v>0.07155918306</v>
      </c>
      <c r="G25" s="31">
        <f t="shared" si="14"/>
        <v>0.3796777719</v>
      </c>
      <c r="H25" s="30">
        <f>H24/H3</f>
        <v>0.09872861425</v>
      </c>
      <c r="I25" s="31">
        <f t="shared" si="15"/>
        <v>-0.110019706</v>
      </c>
      <c r="J25" s="30">
        <f>J24/J3</f>
        <v>0.08786652114</v>
      </c>
      <c r="K25" s="31">
        <f t="shared" si="16"/>
        <v>-0.09652196594</v>
      </c>
      <c r="L25" s="30">
        <f>L24/L3</f>
        <v>0.07938547178</v>
      </c>
      <c r="M25" s="31">
        <f t="shared" si="17"/>
        <v>0.03645265117</v>
      </c>
      <c r="N25" s="30">
        <f>N24/N3</f>
        <v>0.08227928269</v>
      </c>
      <c r="O25" s="31">
        <f t="shared" si="18"/>
        <v>0.06790577491</v>
      </c>
      <c r="P25" s="30">
        <f>P24/P3</f>
        <v>0.08786652114</v>
      </c>
      <c r="Q25" s="31">
        <f t="shared" si="19"/>
        <v>0</v>
      </c>
      <c r="R25" s="30">
        <f>R24/R3</f>
        <v>0.08786652114</v>
      </c>
      <c r="S25" s="31">
        <f t="shared" si="20"/>
        <v>0</v>
      </c>
      <c r="T25" s="30">
        <f>T24/T3</f>
        <v>0.08786652114</v>
      </c>
      <c r="U25" s="31">
        <f t="shared" si="21"/>
        <v>0</v>
      </c>
      <c r="V25" s="30">
        <f>V24/V3</f>
        <v>0.08786652114</v>
      </c>
      <c r="W25" s="31">
        <f t="shared" si="22"/>
        <v>0</v>
      </c>
      <c r="X25" s="30">
        <f>X24/X3</f>
        <v>0.08786652114</v>
      </c>
    </row>
    <row r="26">
      <c r="A26" s="4" t="s">
        <v>55</v>
      </c>
      <c r="B26" s="15">
        <v>0.0</v>
      </c>
      <c r="C26" s="13">
        <f t="shared" si="12"/>
        <v>0</v>
      </c>
      <c r="D26" s="15">
        <v>0.0</v>
      </c>
      <c r="E26" s="13">
        <f t="shared" si="13"/>
        <v>0</v>
      </c>
      <c r="F26" s="15">
        <v>0.0</v>
      </c>
      <c r="G26" s="13">
        <f t="shared" si="14"/>
        <v>0</v>
      </c>
      <c r="H26" s="15">
        <v>0.0</v>
      </c>
      <c r="I26" s="13">
        <f t="shared" si="15"/>
        <v>0</v>
      </c>
      <c r="J26" s="15">
        <v>0.0</v>
      </c>
      <c r="K26" s="13">
        <f t="shared" si="16"/>
        <v>0</v>
      </c>
      <c r="L26" s="15">
        <v>0.0</v>
      </c>
      <c r="M26" s="13">
        <f t="shared" si="17"/>
        <v>0</v>
      </c>
      <c r="N26" s="15">
        <v>0.0</v>
      </c>
      <c r="O26" s="13">
        <f t="shared" si="18"/>
        <v>0</v>
      </c>
      <c r="P26" s="15">
        <v>0.0</v>
      </c>
      <c r="Q26" s="13">
        <f t="shared" si="19"/>
        <v>0</v>
      </c>
      <c r="R26" s="15">
        <v>0.0</v>
      </c>
      <c r="S26" s="13">
        <f t="shared" si="20"/>
        <v>0</v>
      </c>
      <c r="T26" s="15">
        <v>0.0</v>
      </c>
      <c r="U26" s="13">
        <f t="shared" si="21"/>
        <v>0</v>
      </c>
      <c r="V26" s="15">
        <v>0.0</v>
      </c>
      <c r="W26" s="13">
        <f t="shared" si="22"/>
        <v>0</v>
      </c>
      <c r="X26" s="15">
        <v>0.0</v>
      </c>
    </row>
    <row r="27">
      <c r="A27" s="4" t="s">
        <v>53</v>
      </c>
      <c r="B27" s="15">
        <v>663452.0</v>
      </c>
      <c r="C27" s="13">
        <f t="shared" si="12"/>
        <v>-0.04337615984</v>
      </c>
      <c r="D27" s="15">
        <v>634674.0</v>
      </c>
      <c r="E27" s="13">
        <f t="shared" si="13"/>
        <v>-0.572856301</v>
      </c>
      <c r="F27" s="15">
        <v>271097.0</v>
      </c>
      <c r="G27" s="13">
        <f t="shared" si="14"/>
        <v>0.8279040343</v>
      </c>
      <c r="H27" s="15">
        <v>495539.3</v>
      </c>
      <c r="I27" s="13">
        <f t="shared" si="15"/>
        <v>-0.2849144356</v>
      </c>
      <c r="J27" s="15">
        <v>354353.0</v>
      </c>
      <c r="K27" s="13">
        <f t="shared" si="16"/>
        <v>1.001529548</v>
      </c>
      <c r="L27" s="15">
        <v>709248.0</v>
      </c>
      <c r="M27" s="13">
        <f t="shared" si="17"/>
        <v>0.4060469681</v>
      </c>
      <c r="N27" s="15">
        <v>997236.0</v>
      </c>
      <c r="O27" s="13">
        <f t="shared" si="18"/>
        <v>-0.6446648537</v>
      </c>
      <c r="P27" s="15">
        <v>354353.0</v>
      </c>
      <c r="Q27" s="13">
        <f t="shared" si="19"/>
        <v>0</v>
      </c>
      <c r="R27" s="15">
        <v>354353.0</v>
      </c>
      <c r="S27" s="13">
        <f t="shared" si="20"/>
        <v>0</v>
      </c>
      <c r="T27" s="15">
        <v>354353.0</v>
      </c>
      <c r="U27" s="13">
        <f t="shared" si="21"/>
        <v>0</v>
      </c>
      <c r="V27" s="15">
        <v>354353.0</v>
      </c>
      <c r="W27" s="13">
        <f t="shared" si="22"/>
        <v>0</v>
      </c>
      <c r="X27" s="15">
        <v>354353.0</v>
      </c>
    </row>
    <row r="28">
      <c r="A28" s="1" t="s">
        <v>54</v>
      </c>
      <c r="B28" s="30">
        <f>B20/B3</f>
        <v>0.1651988524</v>
      </c>
      <c r="C28" s="31">
        <f t="shared" si="12"/>
        <v>-0.1367618288</v>
      </c>
      <c r="D28" s="30">
        <f>D20/D3</f>
        <v>0.1426059552</v>
      </c>
      <c r="E28" s="31">
        <f t="shared" si="13"/>
        <v>-0.2028031308</v>
      </c>
      <c r="F28" s="30">
        <f>F20/F3</f>
        <v>0.113685021</v>
      </c>
      <c r="G28" s="31">
        <f t="shared" si="14"/>
        <v>0.4699506881</v>
      </c>
      <c r="H28" s="30">
        <f>H20/H3</f>
        <v>0.1671113749</v>
      </c>
      <c r="I28" s="31">
        <f t="shared" si="15"/>
        <v>-0.1550105088</v>
      </c>
      <c r="J28" s="30">
        <f>J20/J3</f>
        <v>0.1412073556</v>
      </c>
      <c r="K28" s="31">
        <f t="shared" si="16"/>
        <v>0.1038740588</v>
      </c>
      <c r="L28" s="30">
        <f>L20/L3</f>
        <v>0.1558751368</v>
      </c>
      <c r="M28" s="31">
        <f t="shared" si="17"/>
        <v>-0.07657612473</v>
      </c>
      <c r="N28" s="30">
        <f>N20/N3</f>
        <v>0.1439388229</v>
      </c>
      <c r="O28" s="31">
        <f t="shared" si="18"/>
        <v>-0.01897658452</v>
      </c>
      <c r="P28" s="30">
        <f>P20/P3</f>
        <v>0.1412073556</v>
      </c>
      <c r="Q28" s="31">
        <f t="shared" si="19"/>
        <v>0</v>
      </c>
      <c r="R28" s="30">
        <f>R20/R3</f>
        <v>0.1412073556</v>
      </c>
      <c r="S28" s="31">
        <f t="shared" si="20"/>
        <v>0</v>
      </c>
      <c r="T28" s="30">
        <f>T20/T3</f>
        <v>0.1412073556</v>
      </c>
      <c r="U28" s="31">
        <f t="shared" si="21"/>
        <v>0</v>
      </c>
      <c r="V28" s="30">
        <f>V20/V3</f>
        <v>0.1412073556</v>
      </c>
      <c r="W28" s="31">
        <f t="shared" si="22"/>
        <v>0</v>
      </c>
      <c r="X28" s="30">
        <f>X20/X3</f>
        <v>0.1412073556</v>
      </c>
    </row>
    <row r="29">
      <c r="A29" s="36" t="s">
        <v>56</v>
      </c>
      <c r="B29" s="37">
        <f>B30/$B$3</f>
        <v>0.8348011476</v>
      </c>
      <c r="C29" s="38">
        <f t="shared" si="12"/>
        <v>0.02706380703</v>
      </c>
      <c r="D29" s="37">
        <f>D30/$D$3</f>
        <v>0.8573940448</v>
      </c>
      <c r="E29" s="38">
        <f t="shared" si="13"/>
        <v>0.03373120488</v>
      </c>
      <c r="F29" s="37">
        <f>F30/$F$3</f>
        <v>0.886314979</v>
      </c>
      <c r="G29" s="38">
        <f t="shared" si="14"/>
        <v>-0.06027919545</v>
      </c>
      <c r="H29" s="37">
        <f>H30/$H$3</f>
        <v>0.8328886251</v>
      </c>
      <c r="I29" s="38">
        <f t="shared" si="15"/>
        <v>0.03110142035</v>
      </c>
      <c r="J29" s="37">
        <f>J30/$J$3</f>
        <v>0.8587926444</v>
      </c>
      <c r="K29" s="38">
        <f t="shared" si="16"/>
        <v>-0.01707953748</v>
      </c>
      <c r="L29" s="37">
        <f>L30/$L$3</f>
        <v>0.8441248632</v>
      </c>
      <c r="M29" s="38">
        <f t="shared" si="17"/>
        <v>0.01414046006</v>
      </c>
      <c r="N29" s="37">
        <f>N30/$N$3</f>
        <v>0.8560611771</v>
      </c>
      <c r="O29" s="38">
        <f t="shared" si="18"/>
        <v>0.003190738362</v>
      </c>
      <c r="P29" s="37">
        <f>P30/$P$3</f>
        <v>0.8587926444</v>
      </c>
      <c r="Q29" s="38">
        <f t="shared" si="19"/>
        <v>0</v>
      </c>
      <c r="R29" s="37">
        <f>R30/$R$3</f>
        <v>0.8587926444</v>
      </c>
      <c r="S29" s="38">
        <f t="shared" si="20"/>
        <v>0</v>
      </c>
      <c r="T29" s="37">
        <f>T30/$T$3</f>
        <v>0.8587926444</v>
      </c>
      <c r="U29" s="38">
        <f t="shared" si="21"/>
        <v>0</v>
      </c>
      <c r="V29" s="37">
        <f>V30/$V$3</f>
        <v>0.8587926444</v>
      </c>
      <c r="W29" s="38">
        <f t="shared" si="22"/>
        <v>0</v>
      </c>
      <c r="X29" s="37">
        <f>X30/$X$3</f>
        <v>0.8587926444</v>
      </c>
      <c r="Y29" s="13"/>
    </row>
    <row r="30">
      <c r="A30" s="28" t="s">
        <v>57</v>
      </c>
      <c r="B30" s="24">
        <f>B3-B20</f>
        <v>35268365</v>
      </c>
      <c r="C30" s="13">
        <f t="shared" si="12"/>
        <v>0.1260920374</v>
      </c>
      <c r="D30" s="24">
        <f>D3-D20</f>
        <v>39715425</v>
      </c>
      <c r="E30" s="13">
        <f t="shared" si="13"/>
        <v>0.3417352074</v>
      </c>
      <c r="F30" s="24">
        <f>F3-F20</f>
        <v>53287584</v>
      </c>
      <c r="G30" s="13">
        <f t="shared" si="14"/>
        <v>-0.3443669411</v>
      </c>
      <c r="H30" s="24">
        <f>H3-H20</f>
        <v>34937101.7</v>
      </c>
      <c r="I30" s="13">
        <f t="shared" si="15"/>
        <v>0.1613165668</v>
      </c>
      <c r="J30" s="24">
        <f>J3-J20</f>
        <v>40573035</v>
      </c>
      <c r="K30" s="13">
        <f t="shared" si="16"/>
        <v>0.1029722327</v>
      </c>
      <c r="L30" s="24">
        <f>L3-L20</f>
        <v>44750931</v>
      </c>
      <c r="M30" s="13">
        <f t="shared" si="17"/>
        <v>0.2406677081</v>
      </c>
      <c r="N30" s="24">
        <f>N3-N20</f>
        <v>55521035</v>
      </c>
      <c r="O30" s="13">
        <f t="shared" si="18"/>
        <v>-0.2692312922</v>
      </c>
      <c r="P30" s="24">
        <f>P3-P20</f>
        <v>40573035</v>
      </c>
      <c r="Q30" s="13">
        <f t="shared" si="19"/>
        <v>0</v>
      </c>
      <c r="R30" s="24">
        <f>R3-R20</f>
        <v>40573035</v>
      </c>
      <c r="S30" s="13">
        <f t="shared" si="20"/>
        <v>0</v>
      </c>
      <c r="T30" s="24">
        <f>T3-T20</f>
        <v>40573035</v>
      </c>
      <c r="U30" s="13">
        <f t="shared" si="21"/>
        <v>0</v>
      </c>
      <c r="V30" s="24">
        <f>V3-V20</f>
        <v>40573035</v>
      </c>
      <c r="W30" s="13">
        <f t="shared" si="22"/>
        <v>0</v>
      </c>
      <c r="X30" s="24">
        <f>X3-X20</f>
        <v>40573035</v>
      </c>
    </row>
    <row r="31">
      <c r="A31" s="28" t="s">
        <v>58</v>
      </c>
      <c r="B31" s="39">
        <f>B30-ABS(B17)</f>
        <v>27639646</v>
      </c>
      <c r="C31" s="12">
        <f t="shared" si="12"/>
        <v>0.2531635174</v>
      </c>
      <c r="D31" s="39">
        <f>D30-ABS(D17)</f>
        <v>34636996</v>
      </c>
      <c r="E31" s="12">
        <f t="shared" si="13"/>
        <v>0.2617664361</v>
      </c>
      <c r="F31" s="39">
        <f>F30-ABS(F17)</f>
        <v>43703799</v>
      </c>
      <c r="G31" s="12">
        <f t="shared" si="14"/>
        <v>-0.2005934839</v>
      </c>
      <c r="H31" s="39">
        <f>H30-ABS(H17)</f>
        <v>34937101.7</v>
      </c>
      <c r="I31" s="12">
        <f t="shared" si="15"/>
        <v>0.1613165668</v>
      </c>
      <c r="J31" s="39">
        <f>J30-ABS(J17)</f>
        <v>40573035</v>
      </c>
      <c r="K31" s="12">
        <f t="shared" si="16"/>
        <v>-0.4287208734</v>
      </c>
      <c r="L31" s="39">
        <f>L30-ABS(L17)</f>
        <v>23178528</v>
      </c>
      <c r="M31" s="12">
        <f t="shared" si="17"/>
        <v>1.395365012</v>
      </c>
      <c r="N31" s="39">
        <f>N30-ABS(N17)</f>
        <v>55521035</v>
      </c>
      <c r="O31" s="12">
        <f t="shared" si="18"/>
        <v>-0.2692312922</v>
      </c>
      <c r="P31" s="39">
        <f>P30-ABS(P17)</f>
        <v>40573035</v>
      </c>
      <c r="Q31" s="12">
        <f t="shared" si="19"/>
        <v>0</v>
      </c>
      <c r="R31" s="39">
        <f>R30-ABS(R17)</f>
        <v>40573035</v>
      </c>
      <c r="S31" s="12">
        <f t="shared" si="20"/>
        <v>0</v>
      </c>
      <c r="T31" s="39">
        <f>T30-ABS(T17)</f>
        <v>40573035</v>
      </c>
      <c r="U31" s="12">
        <f t="shared" si="21"/>
        <v>0</v>
      </c>
      <c r="V31" s="39">
        <f>V30-ABS(V17)</f>
        <v>40573035</v>
      </c>
      <c r="W31" s="12">
        <f t="shared" si="22"/>
        <v>0</v>
      </c>
      <c r="X31" s="39">
        <f>X30-ABS(X17)</f>
        <v>40573035</v>
      </c>
    </row>
    <row r="32">
      <c r="A32" s="1" t="s">
        <v>59</v>
      </c>
      <c r="B32" s="15">
        <f>(B40-B39)*B38</f>
        <v>-6846813</v>
      </c>
      <c r="C32" s="13">
        <f t="shared" si="12"/>
        <v>-0.5716463996</v>
      </c>
      <c r="D32" s="15">
        <f>(D40-D39)*D38</f>
        <v>-2932857</v>
      </c>
      <c r="E32" s="13">
        <f t="shared" si="13"/>
        <v>-4.627623849</v>
      </c>
      <c r="F32" s="15">
        <f>(F40-F39)*F38</f>
        <v>10639302</v>
      </c>
      <c r="G32" s="13">
        <f t="shared" si="14"/>
        <v>-1.77488949</v>
      </c>
      <c r="H32" s="15">
        <f>(H40-H39)*H38</f>
        <v>-8244283.3</v>
      </c>
      <c r="I32" s="13">
        <f t="shared" si="15"/>
        <v>-0.6836171314</v>
      </c>
      <c r="J32" s="15">
        <f>(J40-J39)*J38</f>
        <v>-2608350</v>
      </c>
      <c r="K32" s="13">
        <f t="shared" si="16"/>
        <v>-1.60173903</v>
      </c>
      <c r="L32" s="15">
        <f>(L40-L39)*L38</f>
        <v>1569546</v>
      </c>
      <c r="M32" s="13">
        <f t="shared" si="17"/>
        <v>-1.436164343</v>
      </c>
      <c r="N32" s="15">
        <f>(N40-N39)*N38</f>
        <v>-684580</v>
      </c>
      <c r="O32" s="13">
        <f t="shared" si="18"/>
        <v>2.810146367</v>
      </c>
      <c r="P32" s="15">
        <f>(P40-P39)*P38</f>
        <v>-2608350</v>
      </c>
      <c r="Q32" s="13">
        <f t="shared" si="19"/>
        <v>0</v>
      </c>
      <c r="R32" s="15">
        <f>(R40-R39)*R38</f>
        <v>-2608350</v>
      </c>
      <c r="S32" s="13">
        <f t="shared" si="20"/>
        <v>0</v>
      </c>
      <c r="T32" s="15">
        <f>(T40-T39)*T38</f>
        <v>-2608350</v>
      </c>
      <c r="U32" s="13">
        <f t="shared" si="21"/>
        <v>0</v>
      </c>
      <c r="V32" s="15">
        <f>(V40-V39)*V38</f>
        <v>-2608350</v>
      </c>
      <c r="W32" s="13">
        <f t="shared" si="22"/>
        <v>0</v>
      </c>
      <c r="X32" s="15">
        <f>(X40-X39)*X38</f>
        <v>-2608350</v>
      </c>
    </row>
    <row r="33">
      <c r="A33" s="4" t="s">
        <v>60</v>
      </c>
      <c r="B33" s="40">
        <f>B32/B30</f>
        <v>-0.194134687</v>
      </c>
      <c r="C33" s="13">
        <f t="shared" si="12"/>
        <v>-0.6196104881</v>
      </c>
      <c r="D33" s="40">
        <f>D32/D30</f>
        <v>-0.07384679882</v>
      </c>
      <c r="E33" s="13">
        <f t="shared" si="13"/>
        <v>-3.703680897</v>
      </c>
      <c r="F33" s="40">
        <f>F32/F30</f>
        <v>0.1996581793</v>
      </c>
      <c r="G33" s="13">
        <f t="shared" si="14"/>
        <v>-2.181895085</v>
      </c>
      <c r="H33" s="40">
        <f>H32/H30</f>
        <v>-0.2359750208</v>
      </c>
      <c r="I33" s="13">
        <f t="shared" si="15"/>
        <v>-0.7275653533</v>
      </c>
      <c r="J33" s="40">
        <f>J32/J30</f>
        <v>-0.06428777142</v>
      </c>
      <c r="K33" s="13">
        <f t="shared" si="16"/>
        <v>-1.545561359</v>
      </c>
      <c r="L33" s="40">
        <f>L32/L30</f>
        <v>0.03507292396</v>
      </c>
      <c r="M33" s="13">
        <f t="shared" si="17"/>
        <v>-1.351556134</v>
      </c>
      <c r="N33" s="40">
        <f>N32/N30</f>
        <v>-0.01233010156</v>
      </c>
      <c r="O33" s="13">
        <f t="shared" si="18"/>
        <v>4.213888234</v>
      </c>
      <c r="P33" s="40">
        <f>P32/P30</f>
        <v>-0.06428777142</v>
      </c>
      <c r="Q33" s="13">
        <f t="shared" si="19"/>
        <v>0</v>
      </c>
      <c r="R33" s="40">
        <f>R32/R30</f>
        <v>-0.06428777142</v>
      </c>
      <c r="S33" s="13">
        <f t="shared" si="20"/>
        <v>0</v>
      </c>
      <c r="T33" s="40">
        <f>T32/T30</f>
        <v>-0.06428777142</v>
      </c>
      <c r="U33" s="13">
        <f t="shared" si="21"/>
        <v>0</v>
      </c>
      <c r="V33" s="40">
        <f>V32/V30</f>
        <v>-0.06428777142</v>
      </c>
      <c r="W33" s="13">
        <f t="shared" si="22"/>
        <v>0</v>
      </c>
      <c r="X33" s="40">
        <f>X32/X30</f>
        <v>-0.06428777142</v>
      </c>
    </row>
    <row r="34">
      <c r="A34" s="4" t="s">
        <v>61</v>
      </c>
      <c r="B34" s="41">
        <f>B44+B32</f>
        <v>514021595</v>
      </c>
      <c r="C34" s="13">
        <f t="shared" si="12"/>
        <v>0.08049809111</v>
      </c>
      <c r="D34" s="41">
        <f>D44+D32</f>
        <v>555399352.2</v>
      </c>
      <c r="E34" s="13">
        <f t="shared" si="13"/>
        <v>0.2705493421</v>
      </c>
      <c r="F34" s="41">
        <f>F44+F32</f>
        <v>705662281.5</v>
      </c>
      <c r="G34" s="13">
        <f t="shared" si="14"/>
        <v>-0.005872736744</v>
      </c>
      <c r="H34" s="41">
        <f>H44+H32</f>
        <v>701518112.7</v>
      </c>
      <c r="I34" s="13">
        <f t="shared" si="15"/>
        <v>-0.9277671522</v>
      </c>
      <c r="J34" s="41">
        <f>J44+J32</f>
        <v>50672651.08</v>
      </c>
      <c r="K34" s="13">
        <f t="shared" si="16"/>
        <v>30.63282217</v>
      </c>
      <c r="L34" s="41">
        <f>L44+L32</f>
        <v>1602918961</v>
      </c>
      <c r="M34" s="13">
        <f t="shared" si="17"/>
        <v>-0.0975372099</v>
      </c>
      <c r="N34" s="41">
        <f>N44+N32</f>
        <v>1446574717</v>
      </c>
      <c r="O34" s="13">
        <f t="shared" si="18"/>
        <v>0.06863455353</v>
      </c>
      <c r="P34" s="41">
        <f>P44+P32</f>
        <v>1545859727</v>
      </c>
      <c r="Q34" s="13">
        <f t="shared" si="19"/>
        <v>0</v>
      </c>
      <c r="R34" s="41">
        <f>R44+R32</f>
        <v>1545859727</v>
      </c>
      <c r="S34" s="13">
        <f t="shared" si="20"/>
        <v>0</v>
      </c>
      <c r="T34" s="41">
        <f>T44+T32</f>
        <v>1545859727</v>
      </c>
      <c r="U34" s="13">
        <f t="shared" si="21"/>
        <v>0</v>
      </c>
      <c r="V34" s="41">
        <f>V44+V32</f>
        <v>1545859727</v>
      </c>
      <c r="W34" s="13">
        <f t="shared" si="22"/>
        <v>0</v>
      </c>
      <c r="X34" s="41">
        <f>X44+X32</f>
        <v>1545859727</v>
      </c>
      <c r="Y34" s="13"/>
      <c r="Z34" s="22"/>
    </row>
    <row r="35">
      <c r="A35" s="4" t="s">
        <v>62</v>
      </c>
      <c r="B35" s="42">
        <f>B34/B38</f>
        <v>9.64205967</v>
      </c>
      <c r="C35" s="13">
        <f t="shared" si="12"/>
        <v>0.08049809111</v>
      </c>
      <c r="D35" s="42">
        <f>D34/D38</f>
        <v>10.41822707</v>
      </c>
      <c r="E35" s="13">
        <f t="shared" si="13"/>
        <v>0.2705493421</v>
      </c>
      <c r="F35" s="42">
        <f>F34/F38</f>
        <v>13.23687155</v>
      </c>
      <c r="G35" s="13">
        <f t="shared" si="14"/>
        <v>-0.005872736744</v>
      </c>
      <c r="H35" s="42">
        <f>H34/H38</f>
        <v>13.15913488</v>
      </c>
      <c r="I35" s="13">
        <f t="shared" si="15"/>
        <v>-0.9277671522</v>
      </c>
      <c r="J35" s="42">
        <f>J34/J38</f>
        <v>0.9505217876</v>
      </c>
      <c r="K35" s="13">
        <f t="shared" si="16"/>
        <v>30.63282217</v>
      </c>
      <c r="L35" s="42">
        <f>L34/L38</f>
        <v>30.06768668</v>
      </c>
      <c r="M35" s="13">
        <f t="shared" si="17"/>
        <v>-0.3066601374</v>
      </c>
      <c r="N35" s="42">
        <f>N34/N38</f>
        <v>20.84712575</v>
      </c>
      <c r="O35" s="13">
        <f t="shared" si="18"/>
        <v>0.3909526523</v>
      </c>
      <c r="P35" s="42">
        <f>P34/P38</f>
        <v>28.99736485</v>
      </c>
      <c r="Q35" s="13">
        <f t="shared" si="19"/>
        <v>0</v>
      </c>
      <c r="R35" s="42">
        <f>R34/R38</f>
        <v>28.99736485</v>
      </c>
      <c r="S35" s="13">
        <f t="shared" si="20"/>
        <v>0</v>
      </c>
      <c r="T35" s="42">
        <f>T34/T38</f>
        <v>28.99736485</v>
      </c>
      <c r="U35" s="13">
        <f t="shared" si="21"/>
        <v>0</v>
      </c>
      <c r="V35" s="42">
        <f>V34/V38</f>
        <v>28.99736485</v>
      </c>
      <c r="W35" s="13">
        <f t="shared" si="22"/>
        <v>0</v>
      </c>
      <c r="X35" s="42">
        <f>X34/X38</f>
        <v>28.99736485</v>
      </c>
      <c r="Y35" s="13"/>
      <c r="Z35" s="13"/>
    </row>
    <row r="36">
      <c r="A36" s="28" t="s">
        <v>63</v>
      </c>
      <c r="B36" s="43">
        <v>4.2115178E7</v>
      </c>
      <c r="C36" s="12">
        <f t="shared" si="12"/>
        <v>0.01265823927</v>
      </c>
      <c r="D36" s="43">
        <v>4.2648282E7</v>
      </c>
      <c r="E36" s="12">
        <f t="shared" si="13"/>
        <v>0</v>
      </c>
      <c r="F36" s="43">
        <v>4.2648282E7</v>
      </c>
      <c r="G36" s="12">
        <f t="shared" si="14"/>
        <v>0.01249998769</v>
      </c>
      <c r="H36" s="43">
        <v>4.3181385E7</v>
      </c>
      <c r="I36" s="12">
        <f t="shared" si="15"/>
        <v>0</v>
      </c>
      <c r="J36" s="43">
        <v>4.3181385E7</v>
      </c>
      <c r="K36" s="12">
        <f t="shared" si="16"/>
        <v>0</v>
      </c>
      <c r="L36" s="43">
        <v>4.3181385E7</v>
      </c>
      <c r="M36" s="12">
        <f t="shared" si="17"/>
        <v>0.3016167731</v>
      </c>
      <c r="N36" s="43">
        <v>5.6205615E7</v>
      </c>
      <c r="O36" s="12">
        <f t="shared" si="18"/>
        <v>-0.2317247129</v>
      </c>
      <c r="P36" s="43">
        <v>4.3181385E7</v>
      </c>
      <c r="Q36" s="12">
        <f t="shared" si="19"/>
        <v>0</v>
      </c>
      <c r="R36" s="43">
        <v>4.3181385E7</v>
      </c>
      <c r="S36" s="12">
        <f t="shared" si="20"/>
        <v>0</v>
      </c>
      <c r="T36" s="43">
        <v>4.3181385E7</v>
      </c>
      <c r="U36" s="12">
        <f t="shared" si="21"/>
        <v>0</v>
      </c>
      <c r="V36" s="43">
        <v>4.3181385E7</v>
      </c>
      <c r="W36" s="12">
        <f t="shared" si="22"/>
        <v>0</v>
      </c>
      <c r="X36" s="43">
        <v>4.3181385E7</v>
      </c>
    </row>
    <row r="37">
      <c r="A37" s="1" t="s">
        <v>64</v>
      </c>
      <c r="B37" s="40">
        <f>B36/B30</f>
        <v>1.194134687</v>
      </c>
      <c r="C37" s="13">
        <f t="shared" si="12"/>
        <v>-0.100732262</v>
      </c>
      <c r="D37" s="40">
        <f>D36/D30</f>
        <v>1.073846799</v>
      </c>
      <c r="E37" s="13">
        <f t="shared" si="13"/>
        <v>-0.2546964599</v>
      </c>
      <c r="F37" s="40">
        <f>F36/F30</f>
        <v>0.8003418207</v>
      </c>
      <c r="G37" s="13">
        <f t="shared" si="14"/>
        <v>0.54430893</v>
      </c>
      <c r="H37" s="40">
        <f>H36/H30</f>
        <v>1.235975021</v>
      </c>
      <c r="I37" s="13">
        <f t="shared" si="15"/>
        <v>-0.1389083489</v>
      </c>
      <c r="J37" s="40">
        <f>J36/J30</f>
        <v>1.064287771</v>
      </c>
      <c r="K37" s="13">
        <f t="shared" si="16"/>
        <v>-0.09335886219</v>
      </c>
      <c r="L37" s="40">
        <f>L36/L30</f>
        <v>0.964927076</v>
      </c>
      <c r="M37" s="13">
        <f t="shared" si="17"/>
        <v>0.04912601863</v>
      </c>
      <c r="N37" s="40">
        <f>N36/N30</f>
        <v>1.012330102</v>
      </c>
      <c r="O37" s="13">
        <f t="shared" si="18"/>
        <v>0.05132482951</v>
      </c>
      <c r="P37" s="40">
        <f>P36/P30</f>
        <v>1.064287771</v>
      </c>
      <c r="Q37" s="13">
        <f t="shared" si="19"/>
        <v>0</v>
      </c>
      <c r="R37" s="40">
        <f>R36/R30</f>
        <v>1.064287771</v>
      </c>
      <c r="S37" s="13">
        <f t="shared" si="20"/>
        <v>0</v>
      </c>
      <c r="T37" s="40">
        <f>T36/T30</f>
        <v>1.064287771</v>
      </c>
      <c r="U37" s="13">
        <f t="shared" si="21"/>
        <v>0</v>
      </c>
      <c r="V37" s="40">
        <f>V36/V30</f>
        <v>1.064287771</v>
      </c>
      <c r="W37" s="13">
        <f t="shared" si="22"/>
        <v>0</v>
      </c>
      <c r="X37" s="40">
        <f>X36/X30</f>
        <v>1.064287771</v>
      </c>
    </row>
    <row r="38">
      <c r="A38" s="4" t="s">
        <v>65</v>
      </c>
      <c r="B38" s="45">
        <v>5.3310352E7</v>
      </c>
      <c r="C38" s="12">
        <f t="shared" si="12"/>
        <v>0</v>
      </c>
      <c r="D38" s="45">
        <v>5.3310352E7</v>
      </c>
      <c r="E38" s="12">
        <f t="shared" si="13"/>
        <v>0</v>
      </c>
      <c r="F38" s="45">
        <v>5.3310352E7</v>
      </c>
      <c r="G38" s="12">
        <f t="shared" si="14"/>
        <v>0</v>
      </c>
      <c r="H38" s="45">
        <v>5.3310352E7</v>
      </c>
      <c r="I38" s="12">
        <f t="shared" si="15"/>
        <v>0</v>
      </c>
      <c r="J38" s="45">
        <v>5.3310352E7</v>
      </c>
      <c r="K38" s="12">
        <f t="shared" si="16"/>
        <v>0</v>
      </c>
      <c r="L38" s="45">
        <v>5.3310352E7</v>
      </c>
      <c r="M38" s="12">
        <f t="shared" si="17"/>
        <v>0.3016167667</v>
      </c>
      <c r="N38" s="45">
        <v>6.9389648E7</v>
      </c>
      <c r="O38" s="12">
        <f t="shared" si="18"/>
        <v>-0.2317247091</v>
      </c>
      <c r="P38" s="45">
        <v>5.3310352E7</v>
      </c>
      <c r="Q38" s="12">
        <f t="shared" si="19"/>
        <v>0</v>
      </c>
      <c r="R38" s="45">
        <v>5.3310352E7</v>
      </c>
      <c r="S38" s="12">
        <f t="shared" si="20"/>
        <v>0</v>
      </c>
      <c r="T38" s="45">
        <v>5.3310352E7</v>
      </c>
      <c r="U38" s="12">
        <f t="shared" si="21"/>
        <v>0</v>
      </c>
      <c r="V38" s="45">
        <v>5.3310352E7</v>
      </c>
      <c r="W38" s="12">
        <f t="shared" si="22"/>
        <v>0</v>
      </c>
      <c r="X38" s="45">
        <v>5.3310352E7</v>
      </c>
    </row>
    <row r="39">
      <c r="A39" s="28" t="s">
        <v>66</v>
      </c>
      <c r="B39" s="49">
        <f>B36/B38</f>
        <v>0.7899999985</v>
      </c>
      <c r="C39" s="13">
        <f t="shared" si="12"/>
        <v>0.01265823927</v>
      </c>
      <c r="D39" s="49">
        <f>D36/D38</f>
        <v>0.8000000075</v>
      </c>
      <c r="E39" s="13">
        <f t="shared" si="13"/>
        <v>0</v>
      </c>
      <c r="F39" s="50">
        <f>F36/F38</f>
        <v>0.8000000075</v>
      </c>
      <c r="G39" s="13">
        <f t="shared" si="14"/>
        <v>0.01249998769</v>
      </c>
      <c r="H39" s="50">
        <f>H36/H38</f>
        <v>0.8099999977</v>
      </c>
      <c r="I39" s="13">
        <f t="shared" si="15"/>
        <v>0</v>
      </c>
      <c r="J39" s="49">
        <f>J36/J38</f>
        <v>0.8099999977</v>
      </c>
      <c r="K39" s="13">
        <f t="shared" si="16"/>
        <v>0</v>
      </c>
      <c r="L39" s="49">
        <f>L36/L38</f>
        <v>0.8099999977</v>
      </c>
      <c r="M39" s="13">
        <f t="shared" si="17"/>
        <v>0.000000004913993212</v>
      </c>
      <c r="N39" s="49">
        <f>N36/N38</f>
        <v>0.8100000017</v>
      </c>
      <c r="O39" s="13">
        <f t="shared" si="18"/>
        <v>-0.000000004913993212</v>
      </c>
      <c r="P39" s="49">
        <f>P36/P38</f>
        <v>0.8099999977</v>
      </c>
      <c r="Q39" s="13">
        <f t="shared" si="19"/>
        <v>0</v>
      </c>
      <c r="R39" s="49">
        <f>R36/R38</f>
        <v>0.8099999977</v>
      </c>
      <c r="S39" s="13">
        <f t="shared" si="20"/>
        <v>0</v>
      </c>
      <c r="T39" s="49">
        <f>T36/T38</f>
        <v>0.8099999977</v>
      </c>
      <c r="U39" s="13">
        <f t="shared" si="21"/>
        <v>0</v>
      </c>
      <c r="V39" s="49">
        <f>V36/V38</f>
        <v>0.8099999977</v>
      </c>
      <c r="W39" s="13">
        <f t="shared" si="22"/>
        <v>0</v>
      </c>
      <c r="X39" s="49">
        <f>X36/X38</f>
        <v>0.8099999977</v>
      </c>
    </row>
    <row r="40">
      <c r="A40" s="28" t="s">
        <v>67</v>
      </c>
      <c r="B40" s="24">
        <f>B30/B38</f>
        <v>0.6615669129</v>
      </c>
      <c r="C40" s="13">
        <f t="shared" si="12"/>
        <v>0.1260920374</v>
      </c>
      <c r="D40" s="24">
        <f>D30/D38</f>
        <v>0.7449852329</v>
      </c>
      <c r="E40" s="13">
        <f t="shared" si="13"/>
        <v>0.3417352074</v>
      </c>
      <c r="F40" s="24">
        <f>F30/F38</f>
        <v>0.999572916</v>
      </c>
      <c r="G40" s="13">
        <f t="shared" si="14"/>
        <v>-0.3443669411</v>
      </c>
      <c r="H40" s="24">
        <f>H30/H38</f>
        <v>0.6553530485</v>
      </c>
      <c r="I40" s="13">
        <f t="shared" si="15"/>
        <v>0.1613165668</v>
      </c>
      <c r="J40" s="24">
        <f>J30/J38</f>
        <v>0.7610723523</v>
      </c>
      <c r="K40" s="13">
        <f t="shared" si="16"/>
        <v>0.1029722327</v>
      </c>
      <c r="L40" s="24">
        <f>L30/L38</f>
        <v>0.8394416717</v>
      </c>
      <c r="M40" s="13">
        <f t="shared" si="17"/>
        <v>-0.04682565568</v>
      </c>
      <c r="N40" s="24">
        <f>N30/N38</f>
        <v>0.800134265</v>
      </c>
      <c r="O40" s="13">
        <f t="shared" si="18"/>
        <v>-0.04881919744</v>
      </c>
      <c r="P40" s="24">
        <f>P30/P38</f>
        <v>0.7610723523</v>
      </c>
      <c r="Q40" s="13">
        <f t="shared" si="19"/>
        <v>0</v>
      </c>
      <c r="R40" s="24">
        <f>R30/R38</f>
        <v>0.7610723523</v>
      </c>
      <c r="S40" s="13">
        <f t="shared" si="20"/>
        <v>0</v>
      </c>
      <c r="T40" s="24">
        <f>T30/T38</f>
        <v>0.7610723523</v>
      </c>
      <c r="U40" s="13">
        <f t="shared" si="21"/>
        <v>0</v>
      </c>
      <c r="V40" s="24">
        <f>V30/V38</f>
        <v>0.7610723523</v>
      </c>
      <c r="W40" s="13">
        <f t="shared" si="22"/>
        <v>0</v>
      </c>
      <c r="X40" s="24">
        <f>X30/X38</f>
        <v>0.7610723523</v>
      </c>
    </row>
    <row r="41">
      <c r="A41" s="4" t="s">
        <v>68</v>
      </c>
      <c r="B41" s="51">
        <f>B31/B38</f>
        <v>0.5184667698</v>
      </c>
      <c r="C41" s="13">
        <f t="shared" si="12"/>
        <v>0.2531635174</v>
      </c>
      <c r="D41" s="24">
        <f>D31/D38</f>
        <v>0.6497236409</v>
      </c>
      <c r="E41" s="13">
        <f t="shared" si="13"/>
        <v>0.2617664361</v>
      </c>
      <c r="F41" s="24">
        <f>F31/F38</f>
        <v>0.8197994828</v>
      </c>
      <c r="G41" s="13">
        <f t="shared" si="14"/>
        <v>-0.2005934839</v>
      </c>
      <c r="H41" s="24">
        <f>H31/H38</f>
        <v>0.6553530485</v>
      </c>
      <c r="I41" s="13">
        <f t="shared" si="15"/>
        <v>0.1613165668</v>
      </c>
      <c r="J41" s="24">
        <f>J31/J38</f>
        <v>0.7610723523</v>
      </c>
      <c r="K41" s="13">
        <f t="shared" si="16"/>
        <v>-0.4287208734</v>
      </c>
      <c r="L41" s="24">
        <f>L31/L38</f>
        <v>0.4347847487</v>
      </c>
      <c r="M41" s="13">
        <f t="shared" si="17"/>
        <v>0.8402997513</v>
      </c>
      <c r="N41" s="24">
        <f>N31/N38</f>
        <v>0.800134265</v>
      </c>
      <c r="O41" s="13">
        <f t="shared" si="18"/>
        <v>-0.04881919744</v>
      </c>
      <c r="P41" s="24">
        <f>P31/P38</f>
        <v>0.7610723523</v>
      </c>
      <c r="Q41" s="13">
        <f t="shared" si="19"/>
        <v>0</v>
      </c>
      <c r="R41" s="24">
        <f>R31/R38</f>
        <v>0.7610723523</v>
      </c>
      <c r="S41" s="13">
        <f t="shared" si="20"/>
        <v>0</v>
      </c>
      <c r="T41" s="24">
        <f>T31/T38</f>
        <v>0.7610723523</v>
      </c>
      <c r="U41" s="13">
        <f t="shared" si="21"/>
        <v>0</v>
      </c>
      <c r="V41" s="24">
        <f>V31/V38</f>
        <v>0.7610723523</v>
      </c>
      <c r="W41" s="13">
        <f t="shared" si="22"/>
        <v>0</v>
      </c>
      <c r="X41" s="24">
        <f>X31/X38</f>
        <v>0.7610723523</v>
      </c>
    </row>
    <row r="42">
      <c r="A42" s="52"/>
      <c r="B42" s="2" t="s">
        <v>1</v>
      </c>
      <c r="C42" s="3">
        <v>46050.0</v>
      </c>
      <c r="D42" s="2" t="s">
        <v>1</v>
      </c>
      <c r="E42" s="3">
        <v>46077.0</v>
      </c>
      <c r="F42" s="2" t="s">
        <v>1</v>
      </c>
      <c r="G42" s="3">
        <v>46094.0</v>
      </c>
      <c r="H42" s="2" t="s">
        <v>1</v>
      </c>
      <c r="I42" s="3">
        <v>46127.0</v>
      </c>
      <c r="J42" s="2" t="s">
        <v>1</v>
      </c>
      <c r="K42" s="3">
        <v>46157.0</v>
      </c>
      <c r="L42" s="2" t="s">
        <v>1</v>
      </c>
      <c r="M42" s="3">
        <v>46188.0</v>
      </c>
      <c r="N42" s="2" t="s">
        <v>1</v>
      </c>
      <c r="O42" s="3">
        <v>46218.0</v>
      </c>
      <c r="P42" s="2" t="s">
        <v>2</v>
      </c>
      <c r="Q42" s="3">
        <v>46248.0</v>
      </c>
      <c r="R42" s="2" t="s">
        <v>3</v>
      </c>
      <c r="S42" s="3">
        <v>46195.0</v>
      </c>
      <c r="T42" s="2" t="s">
        <v>3</v>
      </c>
      <c r="U42" s="3">
        <v>46195.0</v>
      </c>
      <c r="V42" s="2" t="s">
        <v>3</v>
      </c>
      <c r="W42" s="3">
        <v>46195.0</v>
      </c>
      <c r="X42" s="2" t="s">
        <v>3</v>
      </c>
      <c r="Y42" s="3">
        <v>46195.0</v>
      </c>
    </row>
    <row r="43">
      <c r="A43" s="1" t="s">
        <v>69</v>
      </c>
      <c r="B43" s="1" t="s">
        <v>5</v>
      </c>
      <c r="C43" s="53"/>
      <c r="D43" s="54" t="s">
        <v>6</v>
      </c>
      <c r="E43" s="55"/>
      <c r="F43" s="54" t="s">
        <v>7</v>
      </c>
      <c r="G43" s="55"/>
      <c r="H43" s="54" t="s">
        <v>8</v>
      </c>
      <c r="I43" s="55"/>
      <c r="J43" s="54" t="s">
        <v>9</v>
      </c>
      <c r="K43" s="55"/>
      <c r="L43" s="54" t="s">
        <v>10</v>
      </c>
      <c r="M43" s="55"/>
      <c r="N43" s="54" t="s">
        <v>11</v>
      </c>
      <c r="O43" s="55"/>
      <c r="P43" s="1" t="s">
        <v>12</v>
      </c>
      <c r="Q43" s="53"/>
      <c r="R43" s="1" t="s">
        <v>13</v>
      </c>
      <c r="S43" s="53"/>
      <c r="T43" s="1" t="s">
        <v>14</v>
      </c>
      <c r="U43" s="53"/>
      <c r="V43" s="1" t="s">
        <v>15</v>
      </c>
      <c r="W43" s="53"/>
      <c r="X43" s="1" t="s">
        <v>16</v>
      </c>
    </row>
    <row r="44">
      <c r="A44" s="4" t="s">
        <v>61</v>
      </c>
      <c r="B44" s="56">
        <v>5.2086840803E8</v>
      </c>
      <c r="C44" s="13">
        <f t="shared" ref="C44:C47" si="23">IFERROR(SUM((D44/B44)-1),0)</f>
        <v>0.07192565457</v>
      </c>
      <c r="D44" s="57">
        <v>5.5833220922E8</v>
      </c>
      <c r="E44" s="13">
        <f t="shared" ref="E44:E47" si="24">IFERROR(SUM((F44/D44)-1),0)</f>
        <v>0.244819783</v>
      </c>
      <c r="F44" s="57">
        <v>6.9502297954E8</v>
      </c>
      <c r="G44" s="13">
        <f t="shared" ref="G44:G47" si="25">IFERROR(SUM((H44/F44)-1),0)</f>
        <v>0.02120709232</v>
      </c>
      <c r="H44" s="57">
        <v>7.0976239603E8</v>
      </c>
      <c r="I44" s="13">
        <f t="shared" ref="I44:I47" si="26">IFERROR(SUM((J44/H44)-1),0)</f>
        <v>-0.9249312145</v>
      </c>
      <c r="J44" s="57">
        <v>5.328100108E7</v>
      </c>
      <c r="K44" s="13">
        <f t="shared" ref="K44:K47" si="27">IFERROR(SUM((L44/J44)-1),0)</f>
        <v>29.05479218</v>
      </c>
      <c r="L44" s="57">
        <v>1.60134941459E9</v>
      </c>
      <c r="M44" s="13">
        <f t="shared" ref="M44:M47" si="28">IFERROR(SUM((N44/L44)-1),0)</f>
        <v>-0.09622516841</v>
      </c>
      <c r="N44" s="57">
        <v>1.44725929748E9</v>
      </c>
      <c r="O44" s="13">
        <f t="shared" ref="O44:O47" si="29">IFERROR(SUM((P44/N44)-1),0)</f>
        <v>0.06993133853</v>
      </c>
      <c r="P44" s="57">
        <v>1.54846807736E9</v>
      </c>
      <c r="Q44" s="13">
        <f t="shared" ref="Q44:Q47" si="30">IFERROR(SUM((R44/P44)-1),0)</f>
        <v>0</v>
      </c>
      <c r="R44" s="57">
        <v>1.54846807736E9</v>
      </c>
      <c r="S44" s="13">
        <f t="shared" ref="S44:S47" si="31">IFERROR(SUM((T44/R44)-1),0)</f>
        <v>0</v>
      </c>
      <c r="T44" s="57">
        <v>1.54846807736E9</v>
      </c>
      <c r="U44" s="13">
        <f t="shared" ref="U44:U47" si="32">IFERROR(SUM((V44/T44)-1),0)</f>
        <v>0</v>
      </c>
      <c r="V44" s="57">
        <v>1.54846807736E9</v>
      </c>
      <c r="W44" s="13">
        <f t="shared" ref="W44:W47" si="33">IFERROR(SUM((X44/V44)-1),0)</f>
        <v>0</v>
      </c>
      <c r="X44" s="57">
        <v>1.54846807736E9</v>
      </c>
    </row>
    <row r="45">
      <c r="A45" s="4" t="s">
        <v>70</v>
      </c>
      <c r="B45" s="58">
        <v>5.76091845498E9</v>
      </c>
      <c r="C45" s="13">
        <f t="shared" si="23"/>
        <v>-0.007209079942</v>
      </c>
      <c r="D45" s="58">
        <v>5.7193875333E9</v>
      </c>
      <c r="E45" s="13">
        <f t="shared" si="24"/>
        <v>-0.02151836354</v>
      </c>
      <c r="F45" s="58">
        <v>5.59631567311E9</v>
      </c>
      <c r="G45" s="13">
        <f t="shared" si="25"/>
        <v>-0.004406260756</v>
      </c>
      <c r="H45" s="58">
        <v>5.57165684698E9</v>
      </c>
      <c r="I45" s="13">
        <f t="shared" si="26"/>
        <v>-0.002531301858</v>
      </c>
      <c r="J45" s="58">
        <v>5.55755330165E9</v>
      </c>
      <c r="K45" s="13">
        <f t="shared" si="27"/>
        <v>0.01844121639</v>
      </c>
      <c r="L45" s="58">
        <v>5.66004134471E9</v>
      </c>
      <c r="M45" s="13">
        <f t="shared" si="28"/>
        <v>0.08267890242</v>
      </c>
      <c r="N45" s="58">
        <v>6.12800735073E9</v>
      </c>
      <c r="O45" s="13">
        <f t="shared" si="29"/>
        <v>0.01141417066</v>
      </c>
      <c r="P45" s="58">
        <v>6.19795347244E9</v>
      </c>
      <c r="Q45" s="13">
        <f t="shared" si="30"/>
        <v>0</v>
      </c>
      <c r="R45" s="58">
        <v>6.19795347244E9</v>
      </c>
      <c r="S45" s="13">
        <f t="shared" si="31"/>
        <v>0</v>
      </c>
      <c r="T45" s="58">
        <v>6.19795347244E9</v>
      </c>
      <c r="U45" s="13">
        <f t="shared" si="32"/>
        <v>0</v>
      </c>
      <c r="V45" s="58">
        <v>6.19795347244E9</v>
      </c>
      <c r="W45" s="13">
        <f t="shared" si="33"/>
        <v>0</v>
      </c>
      <c r="X45" s="58">
        <v>6.19795347244E9</v>
      </c>
    </row>
    <row r="46">
      <c r="A46" s="4" t="s">
        <v>71</v>
      </c>
      <c r="B46" s="58">
        <v>8.165068331E7</v>
      </c>
      <c r="C46" s="13">
        <f t="shared" si="23"/>
        <v>-0.02409240095</v>
      </c>
      <c r="D46" s="58">
        <v>7.968352231E7</v>
      </c>
      <c r="E46" s="13">
        <f t="shared" si="24"/>
        <v>-0.4272234928</v>
      </c>
      <c r="F46" s="58">
        <v>4.564084959E7</v>
      </c>
      <c r="G46" s="13">
        <f t="shared" si="25"/>
        <v>-0.0373406202</v>
      </c>
      <c r="H46" s="58">
        <v>4.393659196E7</v>
      </c>
      <c r="I46" s="13">
        <f t="shared" si="26"/>
        <v>0.1050424615</v>
      </c>
      <c r="J46" s="58">
        <v>4.855179973E7</v>
      </c>
      <c r="K46" s="13">
        <f t="shared" si="27"/>
        <v>0.232121861</v>
      </c>
      <c r="L46" s="58">
        <v>5.982173384E7</v>
      </c>
      <c r="M46" s="13">
        <f t="shared" si="28"/>
        <v>0.4837888488</v>
      </c>
      <c r="N46" s="58">
        <v>8.876282159E7</v>
      </c>
      <c r="O46" s="13">
        <f t="shared" si="29"/>
        <v>-0.2224863753</v>
      </c>
      <c r="P46" s="58">
        <v>6.901430315E7</v>
      </c>
      <c r="Q46" s="13">
        <f t="shared" si="30"/>
        <v>0</v>
      </c>
      <c r="R46" s="58">
        <v>6.901430315E7</v>
      </c>
      <c r="S46" s="13">
        <f t="shared" si="31"/>
        <v>0</v>
      </c>
      <c r="T46" s="58">
        <v>6.901430315E7</v>
      </c>
      <c r="U46" s="13">
        <f t="shared" si="32"/>
        <v>0</v>
      </c>
      <c r="V46" s="58">
        <v>6.901430315E7</v>
      </c>
      <c r="W46" s="13">
        <f t="shared" si="33"/>
        <v>0</v>
      </c>
      <c r="X46" s="58">
        <v>6.901430315E7</v>
      </c>
    </row>
    <row r="47">
      <c r="A47" s="59" t="s">
        <v>72</v>
      </c>
      <c r="B47" s="24">
        <f>SUM(B44:B46)</f>
        <v>6363437546</v>
      </c>
      <c r="C47" s="13">
        <f t="shared" si="23"/>
        <v>-0.0009482738608</v>
      </c>
      <c r="D47" s="24">
        <f>SUM(D44:D46)</f>
        <v>6357403265</v>
      </c>
      <c r="E47" s="13">
        <f t="shared" si="24"/>
        <v>-0.003212595102</v>
      </c>
      <c r="F47" s="24">
        <f>SUM(F44:F46)</f>
        <v>6336979502</v>
      </c>
      <c r="G47" s="13">
        <f t="shared" si="25"/>
        <v>-0.001834259881</v>
      </c>
      <c r="H47" s="24">
        <f>SUM(H44:H46)</f>
        <v>6325355835</v>
      </c>
      <c r="I47" s="13">
        <f t="shared" si="26"/>
        <v>-0.1052857341</v>
      </c>
      <c r="J47" s="24">
        <f>SUM(J44:J46)</f>
        <v>5659386102</v>
      </c>
      <c r="K47" s="13">
        <f t="shared" si="27"/>
        <v>0.2936407519</v>
      </c>
      <c r="L47" s="24">
        <f>SUM(L44:L46)</f>
        <v>7321212493</v>
      </c>
      <c r="M47" s="13">
        <f t="shared" si="28"/>
        <v>0.04682516414</v>
      </c>
      <c r="N47" s="24">
        <f>SUM(N44:N46)</f>
        <v>7664029470</v>
      </c>
      <c r="O47" s="13">
        <f t="shared" si="29"/>
        <v>0.0197554542</v>
      </c>
      <c r="P47" s="24">
        <f>SUM(P44:P46)</f>
        <v>7815435853</v>
      </c>
      <c r="Q47" s="13">
        <f t="shared" si="30"/>
        <v>0</v>
      </c>
      <c r="R47" s="24">
        <f>SUM(R44:R46)</f>
        <v>7815435853</v>
      </c>
      <c r="S47" s="13">
        <f t="shared" si="31"/>
        <v>0</v>
      </c>
      <c r="T47" s="24">
        <f>SUM(T44:T46)</f>
        <v>7815435853</v>
      </c>
      <c r="U47" s="13">
        <f t="shared" si="32"/>
        <v>0</v>
      </c>
      <c r="V47" s="24">
        <f>SUM(V44:V46)</f>
        <v>7815435853</v>
      </c>
      <c r="W47" s="13">
        <f t="shared" si="33"/>
        <v>0</v>
      </c>
      <c r="X47" s="24">
        <f>SUM(X44:X46)</f>
        <v>7815435853</v>
      </c>
    </row>
    <row r="48">
      <c r="Z48" s="13"/>
    </row>
    <row r="49">
      <c r="A49" s="25" t="s">
        <v>73</v>
      </c>
      <c r="B49" s="15">
        <v>1.6135494455E8</v>
      </c>
      <c r="C49" s="13">
        <f t="shared" ref="C49:C59" si="34">IFERROR(SUM((D49/B49)-1),0)</f>
        <v>-0.01674274313</v>
      </c>
      <c r="D49" s="15">
        <v>1.5865342016E8</v>
      </c>
      <c r="E49" s="13">
        <f t="shared" ref="E49:E59" si="35">IFERROR(SUM((F49/D49)-1),0)</f>
        <v>-0.01680966107</v>
      </c>
      <c r="F49" s="15">
        <v>1.5598650994E8</v>
      </c>
      <c r="G49" s="13">
        <f t="shared" ref="G49:G59" si="36">IFERROR(SUM((H49/F49)-1),0)</f>
        <v>-0.01487816069</v>
      </c>
      <c r="H49" s="15">
        <v>1.5366571758E8</v>
      </c>
      <c r="I49" s="13">
        <f t="shared" ref="I49:I59" si="37">IFERROR(SUM((J49/H49)-1),0)</f>
        <v>-0.01329049187</v>
      </c>
      <c r="J49" s="15">
        <v>1.5162342461E8</v>
      </c>
      <c r="K49" s="13">
        <f t="shared" ref="K49:K59" si="38">IFERROR(SUM((L49/J49)-1),0)</f>
        <v>-0.01253885819</v>
      </c>
      <c r="L49" s="15">
        <v>1.4972223999E8</v>
      </c>
      <c r="M49" s="13">
        <f t="shared" ref="M49:M59" si="39">IFERROR(SUM((N49/L49)-1),0)</f>
        <v>-0.01537451069</v>
      </c>
      <c r="N49" s="15">
        <v>1.4742033381E8</v>
      </c>
      <c r="O49" s="13">
        <f t="shared" ref="O49:O59" si="40">IFERROR(SUM((P49/N49)-1),0)</f>
        <v>-0.01726347861</v>
      </c>
      <c r="P49" s="15">
        <v>1.4487534603E8</v>
      </c>
      <c r="Q49" s="13">
        <f t="shared" ref="Q49:Q59" si="41">IFERROR(SUM((R49/P49)-1),0)</f>
        <v>0</v>
      </c>
      <c r="R49" s="15">
        <v>1.4487534603E8</v>
      </c>
      <c r="S49" s="13">
        <f t="shared" ref="S49:S59" si="42">IFERROR(SUM((T49/R49)-1),0)</f>
        <v>0</v>
      </c>
      <c r="T49" s="15">
        <v>1.4487534603E8</v>
      </c>
      <c r="U49" s="13">
        <f t="shared" ref="U49:U59" si="43">IFERROR(SUM((V49/T49)-1),0)</f>
        <v>0</v>
      </c>
      <c r="V49" s="15">
        <v>1.4487534603E8</v>
      </c>
      <c r="W49" s="13">
        <f t="shared" ref="W49:W57" si="44">IFERROR(SUM((X49/V49)-1),0)</f>
        <v>0</v>
      </c>
      <c r="X49" s="15">
        <v>1.4487534603E8</v>
      </c>
      <c r="Z49" s="13"/>
    </row>
    <row r="50">
      <c r="A50" s="25" t="s">
        <v>74</v>
      </c>
      <c r="B50" s="15">
        <v>6.7333369385E8</v>
      </c>
      <c r="C50" s="13">
        <f t="shared" si="34"/>
        <v>0</v>
      </c>
      <c r="D50" s="15">
        <v>6.7333369385E8</v>
      </c>
      <c r="E50" s="13">
        <f t="shared" si="35"/>
        <v>0</v>
      </c>
      <c r="F50" s="15">
        <v>6.7333369385E8</v>
      </c>
      <c r="G50" s="13">
        <f t="shared" si="36"/>
        <v>0</v>
      </c>
      <c r="H50" s="15">
        <v>6.7333369385E8</v>
      </c>
      <c r="I50" s="13">
        <f t="shared" si="37"/>
        <v>-0.9818163102</v>
      </c>
      <c r="J50" s="15">
        <v>1.224369099E7</v>
      </c>
      <c r="K50" s="13">
        <f t="shared" si="38"/>
        <v>0</v>
      </c>
      <c r="L50" s="15">
        <v>1.224369099E7</v>
      </c>
      <c r="M50" s="13">
        <f t="shared" si="39"/>
        <v>3.825643992</v>
      </c>
      <c r="N50" s="15">
        <v>5.908369386E7</v>
      </c>
      <c r="O50" s="13">
        <f t="shared" si="40"/>
        <v>0</v>
      </c>
      <c r="P50" s="15">
        <v>5.908369386E7</v>
      </c>
      <c r="Q50" s="13">
        <f t="shared" si="41"/>
        <v>0</v>
      </c>
      <c r="R50" s="15">
        <v>5.908369386E7</v>
      </c>
      <c r="S50" s="13">
        <f t="shared" si="42"/>
        <v>0</v>
      </c>
      <c r="T50" s="15">
        <v>5.908369386E7</v>
      </c>
      <c r="U50" s="13">
        <f t="shared" si="43"/>
        <v>0</v>
      </c>
      <c r="V50" s="15">
        <v>5.908369386E7</v>
      </c>
      <c r="W50" s="13">
        <f t="shared" si="44"/>
        <v>0</v>
      </c>
      <c r="X50" s="15">
        <v>5.908369386E7</v>
      </c>
    </row>
    <row r="51">
      <c r="A51" s="25" t="s">
        <v>75</v>
      </c>
      <c r="B51" s="26">
        <f>SUM(B49:B50)</f>
        <v>834688638.4</v>
      </c>
      <c r="C51" s="27">
        <f t="shared" si="34"/>
        <v>-0.003236565428</v>
      </c>
      <c r="D51" s="26">
        <f>SUM(D49:D50)</f>
        <v>831987114</v>
      </c>
      <c r="E51" s="27">
        <f t="shared" si="35"/>
        <v>-0.003205470584</v>
      </c>
      <c r="F51" s="26">
        <f>SUM(F49:F50)</f>
        <v>829320203.8</v>
      </c>
      <c r="G51" s="27">
        <f t="shared" si="36"/>
        <v>-0.002798427374</v>
      </c>
      <c r="H51" s="26">
        <f>SUM(H49:H50)</f>
        <v>826999411.4</v>
      </c>
      <c r="I51" s="27">
        <f t="shared" si="37"/>
        <v>-0.8018534072</v>
      </c>
      <c r="J51" s="26">
        <f>SUM(J49:J50)</f>
        <v>163867115.6</v>
      </c>
      <c r="K51" s="27">
        <f t="shared" si="38"/>
        <v>-0.0116019899</v>
      </c>
      <c r="L51" s="26">
        <f>SUM(L49:L50)</f>
        <v>161965931</v>
      </c>
      <c r="M51" s="27">
        <f t="shared" si="39"/>
        <v>0.2749843527</v>
      </c>
      <c r="N51" s="26">
        <f>SUM(N49:N50)</f>
        <v>206504027.7</v>
      </c>
      <c r="O51" s="27">
        <f t="shared" si="40"/>
        <v>-0.01232415565</v>
      </c>
      <c r="P51" s="26">
        <f>SUM(P49:P50)</f>
        <v>203959039.9</v>
      </c>
      <c r="Q51" s="27">
        <f t="shared" si="41"/>
        <v>0</v>
      </c>
      <c r="R51" s="26">
        <f>SUM(R49:R50)</f>
        <v>203959039.9</v>
      </c>
      <c r="S51" s="27">
        <f t="shared" si="42"/>
        <v>0</v>
      </c>
      <c r="T51" s="26">
        <f>SUM(T49:T50)</f>
        <v>203959039.9</v>
      </c>
      <c r="U51" s="27">
        <f t="shared" si="43"/>
        <v>0</v>
      </c>
      <c r="V51" s="26">
        <f>SUM(V49:V50)</f>
        <v>203959039.9</v>
      </c>
      <c r="W51" s="27">
        <f t="shared" si="44"/>
        <v>0</v>
      </c>
      <c r="X51" s="26">
        <f>SUM(X49:X50)</f>
        <v>203959039.9</v>
      </c>
    </row>
    <row r="52">
      <c r="A52" s="1" t="s">
        <v>76</v>
      </c>
      <c r="B52" s="62">
        <f>B22/B64</f>
        <v>0.0001937441278</v>
      </c>
      <c r="C52" s="31">
        <f t="shared" si="34"/>
        <v>0.2985130891</v>
      </c>
      <c r="D52" s="62">
        <f>D22/D64</f>
        <v>0.0002515792859</v>
      </c>
      <c r="E52" s="31">
        <f t="shared" si="35"/>
        <v>0.003408524083</v>
      </c>
      <c r="F52" s="62">
        <f>F22/F64</f>
        <v>0.0002524368</v>
      </c>
      <c r="G52" s="31">
        <f t="shared" si="36"/>
        <v>-0.03016206093</v>
      </c>
      <c r="H52" s="62">
        <f>H22/H64</f>
        <v>0.0002448227858</v>
      </c>
      <c r="I52" s="31">
        <f t="shared" si="37"/>
        <v>0.04370859299</v>
      </c>
      <c r="J52" s="62">
        <f>J22/J64</f>
        <v>0.0002555236453</v>
      </c>
      <c r="K52" s="31">
        <f t="shared" si="38"/>
        <v>-0.2287401134</v>
      </c>
      <c r="L52" s="62">
        <f>L22/L64</f>
        <v>0.0001970751377</v>
      </c>
      <c r="M52" s="31">
        <f t="shared" si="39"/>
        <v>-0.02302881037</v>
      </c>
      <c r="N52" s="62">
        <f>N22/N64</f>
        <v>0.0001925367318</v>
      </c>
      <c r="O52" s="31">
        <f t="shared" si="40"/>
        <v>-0.04596419291</v>
      </c>
      <c r="P52" s="62">
        <f>P22/P64</f>
        <v>0.0001836869363</v>
      </c>
      <c r="Q52" s="31">
        <f t="shared" si="41"/>
        <v>0</v>
      </c>
      <c r="R52" s="62">
        <f>R22/R64</f>
        <v>0.0001836869363</v>
      </c>
      <c r="S52" s="31">
        <f t="shared" si="42"/>
        <v>0</v>
      </c>
      <c r="T52" s="62">
        <f>T22/T64</f>
        <v>0.0001836869363</v>
      </c>
      <c r="U52" s="31">
        <f t="shared" si="43"/>
        <v>0</v>
      </c>
      <c r="V52" s="62">
        <f>V22/V64</f>
        <v>0.0001836869363</v>
      </c>
      <c r="W52" s="31">
        <f t="shared" si="44"/>
        <v>0</v>
      </c>
      <c r="X52" s="62">
        <f>X22/X64</f>
        <v>0.0001836869363</v>
      </c>
      <c r="Y52" s="13"/>
    </row>
    <row r="53">
      <c r="A53" s="1" t="s">
        <v>77</v>
      </c>
      <c r="B53" s="31">
        <f>B51/B47</f>
        <v>0.1311694556</v>
      </c>
      <c r="C53" s="31">
        <f t="shared" si="34"/>
        <v>-0.002290463554</v>
      </c>
      <c r="D53" s="31">
        <f>D51/D47</f>
        <v>0.1308690167</v>
      </c>
      <c r="E53" s="31">
        <f t="shared" si="35"/>
        <v>0.000007147480227</v>
      </c>
      <c r="F53" s="31">
        <f>F51/F47</f>
        <v>0.1308699521</v>
      </c>
      <c r="G53" s="31">
        <f t="shared" si="36"/>
        <v>-0.0009659392762</v>
      </c>
      <c r="H53" s="31">
        <f>H51/H47</f>
        <v>0.1307435397</v>
      </c>
      <c r="I53" s="31">
        <f t="shared" si="37"/>
        <v>-0.7785364554</v>
      </c>
      <c r="J53" s="31">
        <f>J51/J47</f>
        <v>0.02895492773</v>
      </c>
      <c r="K53" s="31">
        <f t="shared" si="38"/>
        <v>-0.2359563437</v>
      </c>
      <c r="L53" s="31">
        <f>L51/L47</f>
        <v>0.02212282885</v>
      </c>
      <c r="M53" s="31">
        <f t="shared" si="39"/>
        <v>0.217953481</v>
      </c>
      <c r="N53" s="31">
        <f>N51/N47</f>
        <v>0.02694457641</v>
      </c>
      <c r="O53" s="31">
        <f t="shared" si="40"/>
        <v>-0.03145814001</v>
      </c>
      <c r="P53" s="31">
        <f>P51/P47</f>
        <v>0.02609695015</v>
      </c>
      <c r="Q53" s="31">
        <f t="shared" si="41"/>
        <v>0</v>
      </c>
      <c r="R53" s="31">
        <f>R51/R47</f>
        <v>0.02609695015</v>
      </c>
      <c r="S53" s="31">
        <f t="shared" si="42"/>
        <v>0</v>
      </c>
      <c r="T53" s="31">
        <f>T51/T47</f>
        <v>0.02609695015</v>
      </c>
      <c r="U53" s="31">
        <f t="shared" si="43"/>
        <v>0</v>
      </c>
      <c r="V53" s="31">
        <f>V51/V47</f>
        <v>0.02609695015</v>
      </c>
      <c r="W53" s="31">
        <f t="shared" si="44"/>
        <v>0</v>
      </c>
      <c r="X53" s="31">
        <f>X51/X47</f>
        <v>0.02609695015</v>
      </c>
    </row>
    <row r="54">
      <c r="A54" s="1" t="s">
        <v>78</v>
      </c>
      <c r="B54" s="31">
        <f>B51/B64</f>
        <v>0.1529973171</v>
      </c>
      <c r="C54" s="31">
        <f t="shared" si="34"/>
        <v>-0.002485687311</v>
      </c>
      <c r="D54" s="31">
        <f>D51/D64</f>
        <v>0.1526170137</v>
      </c>
      <c r="E54" s="31">
        <f t="shared" si="35"/>
        <v>0.0004561970012</v>
      </c>
      <c r="F54" s="31">
        <f>F51/F64</f>
        <v>0.1526866371</v>
      </c>
      <c r="G54" s="31">
        <f t="shared" si="36"/>
        <v>-0.0009853415203</v>
      </c>
      <c r="H54" s="31">
        <f>H51/H64</f>
        <v>0.1525361886</v>
      </c>
      <c r="I54" s="31">
        <f t="shared" si="37"/>
        <v>-0.8017739335</v>
      </c>
      <c r="J54" s="31">
        <f>J51/J64</f>
        <v>0.03023664866</v>
      </c>
      <c r="K54" s="31">
        <f t="shared" si="38"/>
        <v>-0.2414933746</v>
      </c>
      <c r="L54" s="31">
        <f>L51/L64</f>
        <v>0.02293469834</v>
      </c>
      <c r="M54" s="31">
        <f t="shared" si="39"/>
        <v>0.221510558</v>
      </c>
      <c r="N54" s="31">
        <f>N51/N64</f>
        <v>0.02801497617</v>
      </c>
      <c r="O54" s="31">
        <f t="shared" si="40"/>
        <v>-0.03430113275</v>
      </c>
      <c r="P54" s="31">
        <f>P51/P64</f>
        <v>0.02705403075</v>
      </c>
      <c r="Q54" s="31">
        <f t="shared" si="41"/>
        <v>0</v>
      </c>
      <c r="R54" s="31">
        <f>R51/R64</f>
        <v>0.02705403075</v>
      </c>
      <c r="S54" s="31">
        <f t="shared" si="42"/>
        <v>0</v>
      </c>
      <c r="T54" s="31">
        <f>T51/T64</f>
        <v>0.02705403075</v>
      </c>
      <c r="U54" s="31">
        <f t="shared" si="43"/>
        <v>0</v>
      </c>
      <c r="V54" s="31">
        <f>V51/V64</f>
        <v>0.02705403075</v>
      </c>
      <c r="W54" s="31">
        <f t="shared" si="44"/>
        <v>0</v>
      </c>
      <c r="X54" s="31">
        <f>X51/X64</f>
        <v>0.02705403075</v>
      </c>
    </row>
    <row r="55">
      <c r="A55" s="4" t="s">
        <v>79</v>
      </c>
      <c r="B55" s="15">
        <f>B36</f>
        <v>42115178</v>
      </c>
      <c r="C55" s="13">
        <f t="shared" si="34"/>
        <v>0.01265823927</v>
      </c>
      <c r="D55" s="15">
        <f>D36</f>
        <v>42648282</v>
      </c>
      <c r="E55" s="13">
        <f t="shared" si="35"/>
        <v>0</v>
      </c>
      <c r="F55" s="15">
        <f>F36</f>
        <v>42648282</v>
      </c>
      <c r="G55" s="13">
        <f t="shared" si="36"/>
        <v>0.01249998769</v>
      </c>
      <c r="H55" s="15">
        <f>H36</f>
        <v>43181385</v>
      </c>
      <c r="I55" s="13">
        <f t="shared" si="37"/>
        <v>0</v>
      </c>
      <c r="J55" s="15">
        <f>J36</f>
        <v>43181385</v>
      </c>
      <c r="K55" s="13">
        <f t="shared" si="38"/>
        <v>0</v>
      </c>
      <c r="L55" s="15">
        <f>L36</f>
        <v>43181385</v>
      </c>
      <c r="M55" s="13">
        <f t="shared" si="39"/>
        <v>0.3016167731</v>
      </c>
      <c r="N55" s="15">
        <f>N36</f>
        <v>56205615</v>
      </c>
      <c r="O55" s="13">
        <f t="shared" si="40"/>
        <v>-0.2317247129</v>
      </c>
      <c r="P55" s="15">
        <f>P36</f>
        <v>43181385</v>
      </c>
      <c r="Q55" s="13">
        <f t="shared" si="41"/>
        <v>0</v>
      </c>
      <c r="R55" s="15">
        <f>R36</f>
        <v>43181385</v>
      </c>
      <c r="S55" s="13">
        <f t="shared" si="42"/>
        <v>0</v>
      </c>
      <c r="T55" s="15">
        <f>T36</f>
        <v>43181385</v>
      </c>
      <c r="U55" s="13">
        <f t="shared" si="43"/>
        <v>0</v>
      </c>
      <c r="V55" s="15">
        <f>V36</f>
        <v>43181385</v>
      </c>
      <c r="W55" s="13">
        <f t="shared" si="44"/>
        <v>0</v>
      </c>
      <c r="X55" s="15">
        <f>X36</f>
        <v>43181385</v>
      </c>
    </row>
    <row r="56">
      <c r="A56" s="4" t="s">
        <v>80</v>
      </c>
      <c r="B56" s="15">
        <f>B24</f>
        <v>4061148</v>
      </c>
      <c r="C56" s="13">
        <f t="shared" si="34"/>
        <v>-0.03458086236</v>
      </c>
      <c r="D56" s="15">
        <f>D24</f>
        <v>3920710</v>
      </c>
      <c r="E56" s="13">
        <f t="shared" si="35"/>
        <v>0.09733339115</v>
      </c>
      <c r="F56" s="15">
        <f>F24</f>
        <v>4302326</v>
      </c>
      <c r="G56" s="13">
        <f t="shared" si="36"/>
        <v>-0.03741371528</v>
      </c>
      <c r="H56" s="15">
        <f>H24</f>
        <v>4141360</v>
      </c>
      <c r="I56" s="13">
        <f t="shared" si="37"/>
        <v>0.002373616397</v>
      </c>
      <c r="J56" s="15">
        <f>J24</f>
        <v>4151190</v>
      </c>
      <c r="K56" s="13">
        <f t="shared" si="38"/>
        <v>0.01382687856</v>
      </c>
      <c r="L56" s="15">
        <f>L24</f>
        <v>4208588</v>
      </c>
      <c r="M56" s="13">
        <f t="shared" si="39"/>
        <v>0.2679637446</v>
      </c>
      <c r="N56" s="15">
        <f>N24</f>
        <v>5336337</v>
      </c>
      <c r="O56" s="13">
        <f t="shared" si="40"/>
        <v>-0.2220899842</v>
      </c>
      <c r="P56" s="15">
        <f>P24</f>
        <v>4151190</v>
      </c>
      <c r="Q56" s="13">
        <f t="shared" si="41"/>
        <v>0</v>
      </c>
      <c r="R56" s="15">
        <f>R24</f>
        <v>4151190</v>
      </c>
      <c r="S56" s="13">
        <f t="shared" si="42"/>
        <v>0</v>
      </c>
      <c r="T56" s="15">
        <f>T24</f>
        <v>4151190</v>
      </c>
      <c r="U56" s="13">
        <f t="shared" si="43"/>
        <v>0</v>
      </c>
      <c r="V56" s="15">
        <f>V24</f>
        <v>4151190</v>
      </c>
      <c r="W56" s="13">
        <f t="shared" si="44"/>
        <v>0</v>
      </c>
      <c r="X56" s="15">
        <f>X24</f>
        <v>4151190</v>
      </c>
    </row>
    <row r="57">
      <c r="A57" s="1" t="s">
        <v>81</v>
      </c>
      <c r="B57" s="62">
        <f>IFERROR(B56/B31,0)</f>
        <v>0.1469319831</v>
      </c>
      <c r="C57" s="31">
        <f t="shared" si="34"/>
        <v>-0.2296143925</v>
      </c>
      <c r="D57" s="62">
        <f>IFERROR(D56/D31,0)</f>
        <v>0.1131942851</v>
      </c>
      <c r="E57" s="31">
        <f t="shared" si="35"/>
        <v>-0.1303197171</v>
      </c>
      <c r="F57" s="62">
        <f>IFERROR(F56/F31,0)</f>
        <v>0.09844283789</v>
      </c>
      <c r="G57" s="31">
        <f t="shared" si="36"/>
        <v>0.2041261427</v>
      </c>
      <c r="H57" s="62">
        <f>IFERROR(H56/H31,0)</f>
        <v>0.1185375947</v>
      </c>
      <c r="I57" s="31">
        <f t="shared" si="37"/>
        <v>-0.1368644476</v>
      </c>
      <c r="J57" s="62">
        <f>IFERROR(J56/J31,0)</f>
        <v>0.1023140122</v>
      </c>
      <c r="K57" s="31">
        <f t="shared" si="38"/>
        <v>0.7746611617</v>
      </c>
      <c r="L57" s="62">
        <f>IFERROR(L56/L31,0)</f>
        <v>0.1815727038</v>
      </c>
      <c r="M57" s="31">
        <f t="shared" si="39"/>
        <v>-0.4706594869</v>
      </c>
      <c r="N57" s="62">
        <f>IFERROR(N56/N31,0)</f>
        <v>0.09611378822</v>
      </c>
      <c r="O57" s="31">
        <f t="shared" si="40"/>
        <v>0.06450920456</v>
      </c>
      <c r="P57" s="62">
        <f>IFERROR(P56/P31,0)</f>
        <v>0.1023140122</v>
      </c>
      <c r="Q57" s="31">
        <f t="shared" si="41"/>
        <v>0</v>
      </c>
      <c r="R57" s="62">
        <f>IFERROR(R56/R31,0)</f>
        <v>0.1023140122</v>
      </c>
      <c r="S57" s="31">
        <f t="shared" si="42"/>
        <v>0</v>
      </c>
      <c r="T57" s="62">
        <f>IFERROR(T56/T31,0)</f>
        <v>0.1023140122</v>
      </c>
      <c r="U57" s="31">
        <f t="shared" si="43"/>
        <v>0</v>
      </c>
      <c r="V57" s="62">
        <f>IFERROR(V56/V31,0)</f>
        <v>0.1023140122</v>
      </c>
      <c r="W57" s="31">
        <f t="shared" si="44"/>
        <v>0</v>
      </c>
      <c r="X57" s="62">
        <f>IFERROR(X56/X31,0)</f>
        <v>0.1023140122</v>
      </c>
      <c r="Y57" s="13"/>
    </row>
    <row r="58">
      <c r="A58" s="25" t="s">
        <v>82</v>
      </c>
      <c r="B58" s="63">
        <f>IFERROR(B56/(B81*B38),0)*12</f>
        <v>0.008864076488</v>
      </c>
      <c r="C58" s="27">
        <f t="shared" si="34"/>
        <v>-0.02968837672</v>
      </c>
      <c r="D58" s="63">
        <f>IFERROR(D56/(D81*D38),0)*12</f>
        <v>0.008600916446</v>
      </c>
      <c r="E58" s="27">
        <f t="shared" si="35"/>
        <v>0.08579922146</v>
      </c>
      <c r="F58" s="63">
        <f>IFERROR(F56/(F81*F38),0)*12</f>
        <v>0.009338868381</v>
      </c>
      <c r="G58" s="27">
        <f t="shared" si="36"/>
        <v>-0.03415386816</v>
      </c>
      <c r="H58" s="63">
        <f>IFERROR(H56/(H81*H38),0)*12</f>
        <v>0.009019909901</v>
      </c>
      <c r="I58" s="27">
        <f t="shared" si="37"/>
        <v>-0.00004523885538</v>
      </c>
      <c r="J58" s="63">
        <f>IFERROR(J56/(J81*J38),0)*12</f>
        <v>0.009019501851</v>
      </c>
      <c r="K58" s="27">
        <f t="shared" si="38"/>
        <v>0.01382687856</v>
      </c>
      <c r="L58" s="63">
        <f>IFERROR(L56/(L81*L38),0)*12</f>
        <v>0.009144213408</v>
      </c>
      <c r="M58" s="27">
        <f t="shared" si="39"/>
        <v>-0.01376483688</v>
      </c>
      <c r="N58" s="63">
        <f>IFERROR(N56/(N81*N38),0)*12</f>
        <v>0.009018344802</v>
      </c>
      <c r="O58" s="27">
        <f t="shared" si="40"/>
        <v>0.0001282995082</v>
      </c>
      <c r="P58" s="63">
        <f>IFERROR(P56/(P81*P38),0)*12</f>
        <v>0.009019501851</v>
      </c>
      <c r="Q58" s="27">
        <f t="shared" si="41"/>
        <v>0</v>
      </c>
      <c r="R58" s="63">
        <f>IFERROR(R56/(R81*R38),0)*12</f>
        <v>0.009019501851</v>
      </c>
      <c r="S58" s="27">
        <f t="shared" si="42"/>
        <v>0</v>
      </c>
      <c r="T58" s="63">
        <f>IFERROR(T56/(T81*T38),0)*12</f>
        <v>0.009019501851</v>
      </c>
      <c r="U58" s="27">
        <f t="shared" si="43"/>
        <v>0</v>
      </c>
      <c r="V58" s="63">
        <f>IFERROR(V56/(V81*V38),0)*12</f>
        <v>0.009019501851</v>
      </c>
      <c r="W58" s="27">
        <f>IFERROR(SUM((X58/V62)-1),0)</f>
        <v>-0.7540630422</v>
      </c>
      <c r="X58" s="63">
        <f>IFERROR(X56/(X81*X38),0)*12</f>
        <v>0.009019501851</v>
      </c>
    </row>
    <row r="59">
      <c r="A59" s="4" t="s">
        <v>83</v>
      </c>
      <c r="B59" s="15">
        <v>2.699562153E7</v>
      </c>
      <c r="C59" s="13">
        <f t="shared" si="34"/>
        <v>0.01412296359</v>
      </c>
      <c r="D59" s="15">
        <v>2.737687971E7</v>
      </c>
      <c r="E59" s="13">
        <f t="shared" si="35"/>
        <v>0.06625668992</v>
      </c>
      <c r="F59" s="15">
        <v>2.919078114E7</v>
      </c>
      <c r="G59" s="13">
        <f t="shared" si="36"/>
        <v>0.006252295858</v>
      </c>
      <c r="H59" s="15">
        <v>2.937329054E7</v>
      </c>
      <c r="I59" s="13">
        <f t="shared" si="37"/>
        <v>-0.02293202115</v>
      </c>
      <c r="J59" s="15">
        <v>2.869970162E7</v>
      </c>
      <c r="K59" s="13">
        <f t="shared" si="38"/>
        <v>0.7355234925</v>
      </c>
      <c r="L59" s="15">
        <v>4.980900639E7</v>
      </c>
      <c r="M59" s="13">
        <f t="shared" si="39"/>
        <v>-0.5024548718</v>
      </c>
      <c r="N59" s="15">
        <v>2.478222847E7</v>
      </c>
      <c r="O59" s="13">
        <f t="shared" si="40"/>
        <v>0.01654352636</v>
      </c>
      <c r="P59" s="15">
        <v>2.519221392E7</v>
      </c>
      <c r="Q59" s="13">
        <f t="shared" si="41"/>
        <v>0</v>
      </c>
      <c r="R59" s="15">
        <v>2.519221392E7</v>
      </c>
      <c r="S59" s="13">
        <f t="shared" si="42"/>
        <v>0</v>
      </c>
      <c r="T59" s="15">
        <v>2.519221392E7</v>
      </c>
      <c r="U59" s="13">
        <f t="shared" si="43"/>
        <v>0</v>
      </c>
      <c r="V59" s="15">
        <v>2.519221392E7</v>
      </c>
      <c r="W59" s="13">
        <f>IFERROR(SUM((X59/V59)-1),0)</f>
        <v>0</v>
      </c>
      <c r="X59" s="15">
        <v>2.519221392E7</v>
      </c>
    </row>
    <row r="61">
      <c r="A61" s="25" t="s">
        <v>84</v>
      </c>
      <c r="B61" s="24">
        <f>SUM(B55,B51,B56,B59)</f>
        <v>907860585.9</v>
      </c>
      <c r="C61" s="13">
        <f t="shared" ref="C61:C64" si="45">IFERROR(SUM((D61/B61)-1),0)</f>
        <v>-0.002123233721</v>
      </c>
      <c r="D61" s="24">
        <f>SUM(D55,D51,D56,D59)</f>
        <v>905932985.7</v>
      </c>
      <c r="E61" s="13">
        <f t="shared" ref="E61:E64" si="46">IFERROR(SUM((F61/D61)-1),0)</f>
        <v>-0.0005203395808</v>
      </c>
      <c r="F61" s="24">
        <f>SUM(F55,F51,F56,F59)</f>
        <v>905461592.9</v>
      </c>
      <c r="G61" s="13">
        <f t="shared" ref="G61:G64" si="47">IFERROR(SUM((H61/F61)-1),0)</f>
        <v>-0.001950547625</v>
      </c>
      <c r="H61" s="24">
        <f>SUM(H55,H51,H56,H59)</f>
        <v>903695447</v>
      </c>
      <c r="I61" s="13">
        <f t="shared" ref="I61:I64" si="48">IFERROR(SUM((J61/H61)-1),0)</f>
        <v>-0.7345351324</v>
      </c>
      <c r="J61" s="24">
        <f>SUM(J55,J51,J56,J59)</f>
        <v>239899392.2</v>
      </c>
      <c r="K61" s="13">
        <f t="shared" ref="K61:K64" si="49">IFERROR(SUM((L61/J61)-1),0)</f>
        <v>0.08030665677</v>
      </c>
      <c r="L61" s="24">
        <f>SUM(L55,L51,L56,L59)</f>
        <v>259164910.4</v>
      </c>
      <c r="M61" s="13">
        <f t="shared" ref="M61:M64" si="50">IFERROR(SUM((N61/L61)-1),0)</f>
        <v>0.1298914183</v>
      </c>
      <c r="N61" s="24">
        <f>SUM(N55,N51,N56,N59)</f>
        <v>292828208.1</v>
      </c>
      <c r="O61" s="13">
        <f t="shared" ref="O61:O64" si="51">IFERROR(SUM((P61/N61)-1),0)</f>
        <v>-0.05581559042</v>
      </c>
      <c r="P61" s="24">
        <f>SUM(P55,P51,P56,P59)</f>
        <v>276483828.8</v>
      </c>
      <c r="Q61" s="13">
        <f t="shared" ref="Q61:Q64" si="52">IFERROR(SUM((R61/P61)-1),0)</f>
        <v>0</v>
      </c>
      <c r="R61" s="24">
        <f>SUM(R55,R51,R56,R59)</f>
        <v>276483828.8</v>
      </c>
      <c r="S61" s="13">
        <f t="shared" ref="S61:S64" si="53">IFERROR(SUM((T61/R61)-1),0)</f>
        <v>0</v>
      </c>
      <c r="T61" s="24">
        <f>SUM(T55,T51,T56,T59)</f>
        <v>276483828.8</v>
      </c>
      <c r="U61" s="13">
        <f t="shared" ref="U61:U64" si="54">IFERROR(SUM((V61/T61)-1),0)</f>
        <v>0</v>
      </c>
      <c r="V61" s="24">
        <f>SUM(V55,V51,V56,V59)</f>
        <v>276483828.8</v>
      </c>
      <c r="W61" s="13">
        <f t="shared" ref="W61:W64" si="55">IFERROR(SUM((X61/V61)-1),0)</f>
        <v>0</v>
      </c>
      <c r="X61" s="24">
        <f>SUM(X55,X51,X56,X59)</f>
        <v>276483828.8</v>
      </c>
    </row>
    <row r="62">
      <c r="A62" s="4" t="s">
        <v>85</v>
      </c>
      <c r="B62" s="13">
        <f>(B47/B64)-1</f>
        <v>0.1664096378</v>
      </c>
      <c r="C62" s="13">
        <f t="shared" si="45"/>
        <v>-0.001371516913</v>
      </c>
      <c r="D62" s="13">
        <f>(D47/D64)-1</f>
        <v>0.1661814042</v>
      </c>
      <c r="E62" s="13">
        <f t="shared" si="46"/>
        <v>0.003151191679</v>
      </c>
      <c r="F62" s="13">
        <f>(F47/F64)-1</f>
        <v>0.1667050736</v>
      </c>
      <c r="G62" s="13">
        <f t="shared" si="47"/>
        <v>-0.000135920179</v>
      </c>
      <c r="H62" s="13">
        <f>(H47/H64)-1</f>
        <v>0.166682415</v>
      </c>
      <c r="I62" s="13">
        <f t="shared" si="48"/>
        <v>-0.7344286582</v>
      </c>
      <c r="J62" s="13">
        <f>(J47/J64)-1</f>
        <v>0.04426607261</v>
      </c>
      <c r="K62" s="13">
        <f t="shared" si="49"/>
        <v>-0.17096175</v>
      </c>
      <c r="L62" s="13">
        <f>(L47/L64)-1</f>
        <v>0.03669826737</v>
      </c>
      <c r="M62" s="13">
        <f t="shared" si="50"/>
        <v>0.08250292942</v>
      </c>
      <c r="N62" s="13">
        <f>(N47/N64)-1</f>
        <v>0.03972598193</v>
      </c>
      <c r="O62" s="13">
        <f t="shared" si="51"/>
        <v>-0.07682483072</v>
      </c>
      <c r="P62" s="13">
        <f>(P47/P64)-1</f>
        <v>0.0366740401</v>
      </c>
      <c r="Q62" s="13">
        <f t="shared" si="52"/>
        <v>0</v>
      </c>
      <c r="R62" s="13">
        <f>(R47/R64)-1</f>
        <v>0.0366740401</v>
      </c>
      <c r="S62" s="13">
        <f t="shared" si="53"/>
        <v>0</v>
      </c>
      <c r="T62" s="13">
        <f>(T47/T64)-1</f>
        <v>0.0366740401</v>
      </c>
      <c r="U62" s="13">
        <f t="shared" si="54"/>
        <v>0</v>
      </c>
      <c r="V62" s="13">
        <f>(V47/V64)-1</f>
        <v>0.0366740401</v>
      </c>
      <c r="W62" s="13">
        <f t="shared" si="55"/>
        <v>0</v>
      </c>
      <c r="X62" s="13">
        <f>(X47/X64)-1</f>
        <v>0.0366740401</v>
      </c>
    </row>
    <row r="63">
      <c r="A63" s="1" t="s">
        <v>86</v>
      </c>
      <c r="B63" s="69">
        <f>B31/B22</f>
        <v>26.1494911</v>
      </c>
      <c r="C63" s="13">
        <f t="shared" si="45"/>
        <v>-0.03419722419</v>
      </c>
      <c r="D63" s="69">
        <f>D31/D22</f>
        <v>25.25525109</v>
      </c>
      <c r="E63" s="13">
        <f t="shared" si="46"/>
        <v>0.262099566</v>
      </c>
      <c r="F63" s="69">
        <f>F31/F22</f>
        <v>31.87464144</v>
      </c>
      <c r="G63" s="13">
        <f t="shared" si="47"/>
        <v>-0.1742331951</v>
      </c>
      <c r="H63" s="69">
        <f>H31/H22</f>
        <v>26.32102082</v>
      </c>
      <c r="I63" s="13">
        <f t="shared" si="48"/>
        <v>0.1131290495</v>
      </c>
      <c r="J63" s="69">
        <f>J31/J22</f>
        <v>29.29869289</v>
      </c>
      <c r="K63" s="13">
        <f t="shared" si="49"/>
        <v>-0.4315724377</v>
      </c>
      <c r="L63" s="69">
        <f>L31/L22</f>
        <v>16.65418458</v>
      </c>
      <c r="M63" s="13">
        <f t="shared" si="50"/>
        <v>1.348996205</v>
      </c>
      <c r="N63" s="69">
        <f>N31/N22</f>
        <v>39.12061636</v>
      </c>
      <c r="O63" s="13">
        <f t="shared" si="51"/>
        <v>-0.2510677078</v>
      </c>
      <c r="P63" s="69">
        <f>P31/P22</f>
        <v>29.29869289</v>
      </c>
      <c r="Q63" s="13">
        <f t="shared" si="52"/>
        <v>0</v>
      </c>
      <c r="R63" s="69">
        <f>R31/R22</f>
        <v>29.29869289</v>
      </c>
      <c r="S63" s="13">
        <f t="shared" si="53"/>
        <v>0</v>
      </c>
      <c r="T63" s="69">
        <f>T31/T22</f>
        <v>29.29869289</v>
      </c>
      <c r="U63" s="13">
        <f t="shared" si="54"/>
        <v>0</v>
      </c>
      <c r="V63" s="69">
        <f>V31/V22</f>
        <v>29.29869289</v>
      </c>
      <c r="W63" s="13">
        <f t="shared" si="55"/>
        <v>0</v>
      </c>
      <c r="X63" s="69">
        <f>X31/X22</f>
        <v>29.29869289</v>
      </c>
    </row>
    <row r="64">
      <c r="A64" s="28" t="s">
        <v>87</v>
      </c>
      <c r="B64" s="22">
        <f>SUM(B47-B61)</f>
        <v>5455576960</v>
      </c>
      <c r="C64" s="13">
        <f t="shared" si="45"/>
        <v>-0.000752749216</v>
      </c>
      <c r="D64" s="22">
        <f>SUM(D47-D61)</f>
        <v>5451470279</v>
      </c>
      <c r="E64" s="13">
        <f t="shared" si="46"/>
        <v>-0.003659997905</v>
      </c>
      <c r="F64" s="22">
        <f>SUM(F47-F61)</f>
        <v>5431517909</v>
      </c>
      <c r="G64" s="13">
        <f t="shared" si="47"/>
        <v>-0.001814874124</v>
      </c>
      <c r="H64" s="22">
        <f>SUM(H47-H61)</f>
        <v>5421660388</v>
      </c>
      <c r="I64" s="13">
        <f t="shared" si="48"/>
        <v>-0.000400924736</v>
      </c>
      <c r="J64" s="22">
        <f>SUM(J47-J61)</f>
        <v>5419486710</v>
      </c>
      <c r="K64" s="13">
        <f t="shared" si="49"/>
        <v>0.3030842145</v>
      </c>
      <c r="L64" s="22">
        <f>SUM(L47-L61)</f>
        <v>7062047583</v>
      </c>
      <c r="M64" s="13">
        <f t="shared" si="50"/>
        <v>0.04377677653</v>
      </c>
      <c r="N64" s="22">
        <f>SUM(N47-N61)</f>
        <v>7371201262</v>
      </c>
      <c r="O64" s="13">
        <f t="shared" si="51"/>
        <v>0.02275758815</v>
      </c>
      <c r="P64" s="22">
        <f>SUM(P47-P61)</f>
        <v>7538952024</v>
      </c>
      <c r="Q64" s="13">
        <f t="shared" si="52"/>
        <v>0</v>
      </c>
      <c r="R64" s="22">
        <f>SUM(R47-R61)</f>
        <v>7538952024</v>
      </c>
      <c r="S64" s="13">
        <f t="shared" si="53"/>
        <v>0</v>
      </c>
      <c r="T64" s="22">
        <f>SUM(T47-T61)</f>
        <v>7538952024</v>
      </c>
      <c r="U64" s="13">
        <f t="shared" si="54"/>
        <v>0</v>
      </c>
      <c r="V64" s="22">
        <f>SUM(V47-V61)</f>
        <v>7538952024</v>
      </c>
      <c r="W64" s="13">
        <f t="shared" si="55"/>
        <v>0</v>
      </c>
      <c r="X64" s="22">
        <f>SUM(X47-X61)</f>
        <v>7538952024</v>
      </c>
    </row>
    <row r="65">
      <c r="A65" s="52"/>
      <c r="B65" s="2" t="s">
        <v>1</v>
      </c>
      <c r="C65" s="3">
        <f>$C$1</f>
        <v>46052</v>
      </c>
      <c r="D65" s="2" t="s">
        <v>1</v>
      </c>
      <c r="E65" s="3">
        <f>$E$1</f>
        <v>46080</v>
      </c>
      <c r="F65" s="2" t="s">
        <v>1</v>
      </c>
      <c r="G65" s="3">
        <f>$G$1</f>
        <v>46112</v>
      </c>
      <c r="H65" s="2" t="s">
        <v>1</v>
      </c>
      <c r="I65" s="3">
        <f>$I$1</f>
        <v>46143</v>
      </c>
      <c r="J65" s="2" t="s">
        <v>1</v>
      </c>
      <c r="K65" s="3">
        <f>$K$1</f>
        <v>46175</v>
      </c>
      <c r="L65" s="2" t="s">
        <v>1</v>
      </c>
      <c r="M65" s="3">
        <f>$M$1</f>
        <v>46204</v>
      </c>
      <c r="N65" s="2" t="s">
        <v>2</v>
      </c>
      <c r="O65" s="3">
        <f>$O$1</f>
        <v>46237</v>
      </c>
      <c r="P65" s="2" t="s">
        <v>3</v>
      </c>
      <c r="Q65" s="3">
        <f>$Q$1</f>
        <v>46195</v>
      </c>
      <c r="R65" s="2" t="s">
        <v>3</v>
      </c>
      <c r="S65" s="3">
        <f>$S$1</f>
        <v>46195</v>
      </c>
      <c r="T65" s="2" t="s">
        <v>3</v>
      </c>
      <c r="U65" s="3">
        <f>$U$1</f>
        <v>46195</v>
      </c>
      <c r="V65" s="2" t="s">
        <v>3</v>
      </c>
      <c r="W65" s="3">
        <f>$W$1</f>
        <v>46195</v>
      </c>
      <c r="X65" s="2" t="s">
        <v>3</v>
      </c>
      <c r="Y65" s="3">
        <f>$Y$1</f>
        <v>46195</v>
      </c>
    </row>
    <row r="66">
      <c r="A66" s="1" t="s">
        <v>88</v>
      </c>
      <c r="B66" s="1" t="s">
        <v>5</v>
      </c>
      <c r="C66" s="53"/>
      <c r="D66" s="54" t="s">
        <v>6</v>
      </c>
      <c r="E66" s="55"/>
      <c r="F66" s="54" t="s">
        <v>7</v>
      </c>
      <c r="G66" s="55"/>
      <c r="H66" s="54" t="s">
        <v>8</v>
      </c>
      <c r="I66" s="55"/>
      <c r="J66" s="54" t="s">
        <v>9</v>
      </c>
      <c r="K66" s="55"/>
      <c r="L66" s="54" t="s">
        <v>10</v>
      </c>
      <c r="M66" s="55"/>
      <c r="N66" s="54" t="s">
        <v>11</v>
      </c>
      <c r="O66" s="55"/>
      <c r="P66" s="1" t="s">
        <v>12</v>
      </c>
      <c r="Q66" s="53"/>
      <c r="R66" s="1" t="s">
        <v>13</v>
      </c>
      <c r="S66" s="53"/>
      <c r="T66" s="1" t="s">
        <v>14</v>
      </c>
      <c r="U66" s="53"/>
      <c r="V66" s="1" t="s">
        <v>15</v>
      </c>
      <c r="W66" s="53"/>
      <c r="X66" s="1" t="s">
        <v>16</v>
      </c>
    </row>
    <row r="67">
      <c r="A67" s="4" t="s">
        <v>89</v>
      </c>
      <c r="B67" s="4">
        <v>34.0</v>
      </c>
      <c r="C67" s="13">
        <f t="shared" ref="C67:C72" si="56">IFERROR(SUM((D67/B67)-1),0)</f>
        <v>0</v>
      </c>
      <c r="D67" s="4">
        <v>34.0</v>
      </c>
      <c r="E67" s="13">
        <f t="shared" ref="E67:E72" si="57">IFERROR(SUM((F67/D67)-1),0)</f>
        <v>0</v>
      </c>
      <c r="F67" s="4">
        <v>34.0</v>
      </c>
      <c r="G67" s="13">
        <f t="shared" ref="G67:G72" si="58">IFERROR(SUM((H67/F67)-1),0)</f>
        <v>0</v>
      </c>
      <c r="H67" s="4">
        <v>34.0</v>
      </c>
      <c r="I67" s="13">
        <f t="shared" ref="I67:I72" si="59">IFERROR(SUM((J67/H67)-1),0)</f>
        <v>0</v>
      </c>
      <c r="J67" s="4">
        <v>34.0</v>
      </c>
      <c r="K67" s="13">
        <f t="shared" ref="K67:K72" si="60">IFERROR(SUM((L67/J67)-1),0)</f>
        <v>0</v>
      </c>
      <c r="L67" s="4">
        <v>34.0</v>
      </c>
      <c r="M67" s="13">
        <f t="shared" ref="M67:M72" si="61">IFERROR(SUM((N67/L67)-1),0)</f>
        <v>0</v>
      </c>
      <c r="N67" s="4">
        <v>34.0</v>
      </c>
      <c r="O67" s="13">
        <f t="shared" ref="O67:O72" si="62">IFERROR(SUM((P67/N67)-1),0)</f>
        <v>0</v>
      </c>
      <c r="P67" s="4">
        <v>34.0</v>
      </c>
      <c r="Q67" s="13">
        <f t="shared" ref="Q67:Q72" si="63">IFERROR(SUM((R67/P67)-1),0)</f>
        <v>0</v>
      </c>
      <c r="R67" s="4">
        <v>34.0</v>
      </c>
      <c r="S67" s="13">
        <f t="shared" ref="S67:S72" si="64">IFERROR(SUM((T67/R67)-1),0)</f>
        <v>0</v>
      </c>
      <c r="T67" s="4">
        <v>34.0</v>
      </c>
      <c r="U67" s="13">
        <f t="shared" ref="U67:U72" si="65">IFERROR(SUM((V67/T67)-1),0)</f>
        <v>0</v>
      </c>
      <c r="V67" s="4">
        <v>34.0</v>
      </c>
      <c r="W67" s="13">
        <f t="shared" ref="W67:W72" si="66">IFERROR(SUM((X67/V67)-1),0)</f>
        <v>0</v>
      </c>
      <c r="X67" s="4">
        <v>34.0</v>
      </c>
    </row>
    <row r="68">
      <c r="A68" s="44" t="s">
        <v>90</v>
      </c>
      <c r="B68" s="15">
        <v>72.0</v>
      </c>
      <c r="C68" s="13">
        <f t="shared" si="56"/>
        <v>0</v>
      </c>
      <c r="D68" s="15">
        <v>72.0</v>
      </c>
      <c r="E68" s="13">
        <f t="shared" si="57"/>
        <v>0</v>
      </c>
      <c r="F68" s="15">
        <v>72.0</v>
      </c>
      <c r="G68" s="13">
        <f t="shared" si="58"/>
        <v>0</v>
      </c>
      <c r="H68" s="15">
        <v>72.0</v>
      </c>
      <c r="I68" s="13">
        <f t="shared" si="59"/>
        <v>0</v>
      </c>
      <c r="J68" s="15">
        <v>72.0</v>
      </c>
      <c r="K68" s="13">
        <f t="shared" si="60"/>
        <v>0</v>
      </c>
      <c r="L68" s="15">
        <v>72.0</v>
      </c>
      <c r="M68" s="13">
        <f t="shared" si="61"/>
        <v>0</v>
      </c>
      <c r="N68" s="15">
        <v>72.0</v>
      </c>
      <c r="O68" s="13">
        <f t="shared" si="62"/>
        <v>0</v>
      </c>
      <c r="P68" s="15">
        <v>72.0</v>
      </c>
      <c r="Q68" s="13">
        <f t="shared" si="63"/>
        <v>0</v>
      </c>
      <c r="R68" s="15">
        <v>72.0</v>
      </c>
      <c r="S68" s="13">
        <f t="shared" si="64"/>
        <v>0</v>
      </c>
      <c r="T68" s="15">
        <v>72.0</v>
      </c>
      <c r="U68" s="13">
        <f t="shared" si="65"/>
        <v>0</v>
      </c>
      <c r="V68" s="15">
        <v>72.0</v>
      </c>
      <c r="W68" s="13">
        <f t="shared" si="66"/>
        <v>0</v>
      </c>
      <c r="X68" s="15">
        <v>72.0</v>
      </c>
    </row>
    <row r="69">
      <c r="A69" s="4" t="s">
        <v>91</v>
      </c>
      <c r="B69" s="58">
        <v>1435343.0</v>
      </c>
      <c r="C69" s="13">
        <f t="shared" si="56"/>
        <v>0</v>
      </c>
      <c r="D69" s="58">
        <v>1435343.0</v>
      </c>
      <c r="E69" s="13">
        <f t="shared" si="57"/>
        <v>0</v>
      </c>
      <c r="F69" s="58">
        <v>1435343.0</v>
      </c>
      <c r="G69" s="13">
        <f t="shared" si="58"/>
        <v>0</v>
      </c>
      <c r="H69" s="58">
        <v>1435343.0</v>
      </c>
      <c r="I69" s="13">
        <f t="shared" si="59"/>
        <v>0</v>
      </c>
      <c r="J69" s="58">
        <v>1435343.0</v>
      </c>
      <c r="K69" s="13">
        <f t="shared" si="60"/>
        <v>0</v>
      </c>
      <c r="L69" s="58">
        <v>1435343.0</v>
      </c>
      <c r="M69" s="13">
        <f t="shared" si="61"/>
        <v>0</v>
      </c>
      <c r="N69" s="58">
        <v>1435343.0</v>
      </c>
      <c r="O69" s="13">
        <f t="shared" si="62"/>
        <v>0</v>
      </c>
      <c r="P69" s="58">
        <v>1435343.0</v>
      </c>
      <c r="Q69" s="13">
        <f t="shared" si="63"/>
        <v>0</v>
      </c>
      <c r="R69" s="58">
        <v>1435343.0</v>
      </c>
      <c r="S69" s="13">
        <f t="shared" si="64"/>
        <v>0</v>
      </c>
      <c r="T69" s="58">
        <v>1435343.0</v>
      </c>
      <c r="U69" s="13">
        <f t="shared" si="65"/>
        <v>0</v>
      </c>
      <c r="V69" s="58">
        <v>1435343.0</v>
      </c>
      <c r="W69" s="13">
        <f t="shared" si="66"/>
        <v>0</v>
      </c>
      <c r="X69" s="58">
        <v>1435343.0</v>
      </c>
    </row>
    <row r="70">
      <c r="A70" s="4" t="s">
        <v>95</v>
      </c>
      <c r="B70" s="15">
        <v>5.0</v>
      </c>
      <c r="C70" s="13">
        <f t="shared" si="56"/>
        <v>0</v>
      </c>
      <c r="D70" s="15">
        <v>5.0</v>
      </c>
      <c r="E70" s="13">
        <f t="shared" si="57"/>
        <v>0</v>
      </c>
      <c r="F70" s="15">
        <v>5.0</v>
      </c>
      <c r="G70" s="13">
        <f t="shared" si="58"/>
        <v>0</v>
      </c>
      <c r="H70" s="15">
        <v>5.0</v>
      </c>
      <c r="I70" s="13">
        <f t="shared" si="59"/>
        <v>0</v>
      </c>
      <c r="J70" s="15">
        <v>5.0</v>
      </c>
      <c r="K70" s="13">
        <f t="shared" si="60"/>
        <v>0</v>
      </c>
      <c r="L70" s="15">
        <v>5.0</v>
      </c>
      <c r="M70" s="13">
        <f t="shared" si="61"/>
        <v>0</v>
      </c>
      <c r="N70" s="15">
        <v>5.0</v>
      </c>
      <c r="O70" s="13">
        <f t="shared" si="62"/>
        <v>0</v>
      </c>
      <c r="P70" s="15">
        <v>5.0</v>
      </c>
      <c r="Q70" s="13">
        <f t="shared" si="63"/>
        <v>0</v>
      </c>
      <c r="R70" s="15">
        <v>5.0</v>
      </c>
      <c r="S70" s="13">
        <f t="shared" si="64"/>
        <v>0</v>
      </c>
      <c r="T70" s="15">
        <v>5.0</v>
      </c>
      <c r="U70" s="13">
        <f t="shared" si="65"/>
        <v>0</v>
      </c>
      <c r="V70" s="15">
        <v>5.0</v>
      </c>
      <c r="W70" s="13">
        <f t="shared" si="66"/>
        <v>0</v>
      </c>
      <c r="X70" s="15">
        <v>5.0</v>
      </c>
    </row>
    <row r="71">
      <c r="A71" s="5" t="s">
        <v>93</v>
      </c>
      <c r="B71" s="40">
        <f>B4</f>
        <v>0.03</v>
      </c>
      <c r="C71" s="13">
        <f t="shared" si="56"/>
        <v>0</v>
      </c>
      <c r="D71" s="40">
        <f>D4</f>
        <v>0.03</v>
      </c>
      <c r="E71" s="13">
        <f t="shared" si="57"/>
        <v>0</v>
      </c>
      <c r="F71" s="40">
        <f>F4</f>
        <v>0.03</v>
      </c>
      <c r="G71" s="13">
        <f t="shared" si="58"/>
        <v>0</v>
      </c>
      <c r="H71" s="40">
        <f>H4</f>
        <v>0.03</v>
      </c>
      <c r="I71" s="13">
        <f t="shared" si="59"/>
        <v>0</v>
      </c>
      <c r="J71" s="40">
        <f>J4</f>
        <v>0.03</v>
      </c>
      <c r="K71" s="13">
        <f t="shared" si="60"/>
        <v>-0.3333333333</v>
      </c>
      <c r="L71" s="40">
        <f>L4</f>
        <v>0.02</v>
      </c>
      <c r="M71" s="13">
        <f t="shared" si="61"/>
        <v>0</v>
      </c>
      <c r="N71" s="40">
        <f>N4</f>
        <v>0.02</v>
      </c>
      <c r="O71" s="13">
        <f t="shared" si="62"/>
        <v>0.5</v>
      </c>
      <c r="P71" s="40">
        <f>P4</f>
        <v>0.03</v>
      </c>
      <c r="Q71" s="13">
        <f t="shared" si="63"/>
        <v>0</v>
      </c>
      <c r="R71" s="40">
        <f>R4</f>
        <v>0.03</v>
      </c>
      <c r="S71" s="13">
        <f t="shared" si="64"/>
        <v>0</v>
      </c>
      <c r="T71" s="40">
        <f>T4</f>
        <v>0.03</v>
      </c>
      <c r="U71" s="13">
        <f t="shared" si="65"/>
        <v>0</v>
      </c>
      <c r="V71" s="40">
        <f>V4</f>
        <v>0.03</v>
      </c>
      <c r="W71" s="13">
        <f t="shared" si="66"/>
        <v>0</v>
      </c>
      <c r="X71" s="40">
        <f>X4</f>
        <v>0.03</v>
      </c>
    </row>
    <row r="72">
      <c r="A72" s="5" t="s">
        <v>96</v>
      </c>
      <c r="B72" s="4">
        <v>2.9</v>
      </c>
      <c r="C72" s="13">
        <f t="shared" si="56"/>
        <v>0</v>
      </c>
      <c r="D72" s="4">
        <v>2.9</v>
      </c>
      <c r="E72" s="13">
        <f t="shared" si="57"/>
        <v>0</v>
      </c>
      <c r="F72" s="4">
        <v>2.9</v>
      </c>
      <c r="G72" s="13">
        <f t="shared" si="58"/>
        <v>-0.1034482759</v>
      </c>
      <c r="H72" s="4">
        <v>2.6</v>
      </c>
      <c r="I72" s="13">
        <f t="shared" si="59"/>
        <v>0</v>
      </c>
      <c r="J72" s="4">
        <v>2.6</v>
      </c>
      <c r="K72" s="13">
        <f t="shared" si="60"/>
        <v>-0.1923076923</v>
      </c>
      <c r="L72" s="4">
        <v>2.1</v>
      </c>
      <c r="M72" s="13">
        <f t="shared" si="61"/>
        <v>0</v>
      </c>
      <c r="N72" s="4">
        <v>2.1</v>
      </c>
      <c r="O72" s="13">
        <f t="shared" si="62"/>
        <v>0</v>
      </c>
      <c r="P72" s="4">
        <v>2.1</v>
      </c>
      <c r="Q72" s="13">
        <f t="shared" si="63"/>
        <v>0</v>
      </c>
      <c r="R72" s="4">
        <v>2.1</v>
      </c>
      <c r="S72" s="13">
        <f t="shared" si="64"/>
        <v>0</v>
      </c>
      <c r="T72" s="4">
        <v>2.1</v>
      </c>
      <c r="U72" s="13">
        <f t="shared" si="65"/>
        <v>0</v>
      </c>
      <c r="V72" s="4">
        <v>2.1</v>
      </c>
      <c r="W72" s="13">
        <f t="shared" si="66"/>
        <v>0</v>
      </c>
      <c r="X72" s="4">
        <v>2.1</v>
      </c>
    </row>
    <row r="73">
      <c r="A73" s="1" t="s">
        <v>99</v>
      </c>
      <c r="B73" s="53"/>
      <c r="C73" s="31"/>
      <c r="D73" s="78"/>
      <c r="E73" s="53"/>
      <c r="F73" s="62"/>
      <c r="G73" s="79"/>
      <c r="H73" s="31"/>
      <c r="I73" s="79"/>
      <c r="J73" s="31"/>
      <c r="K73" s="79"/>
      <c r="L73" s="31"/>
      <c r="M73" s="79"/>
      <c r="N73" s="31"/>
      <c r="O73" s="79"/>
      <c r="P73" s="31"/>
      <c r="Q73" s="79"/>
      <c r="R73" s="31"/>
      <c r="S73" s="79"/>
      <c r="T73" s="31"/>
      <c r="U73" s="79"/>
      <c r="V73" s="31"/>
      <c r="W73" s="79"/>
      <c r="X73" s="31"/>
    </row>
    <row r="74">
      <c r="A74" s="65" t="s">
        <v>102</v>
      </c>
      <c r="B74" s="81">
        <v>0.66</v>
      </c>
      <c r="C74" s="68">
        <f t="shared" ref="C74:C83" si="67">IFERROR(SUM((D74/B74)-1),0)</f>
        <v>0</v>
      </c>
      <c r="D74" s="81">
        <v>0.66</v>
      </c>
      <c r="E74" s="68">
        <f t="shared" ref="E74:E83" si="68">IFERROR(SUM((F74/D74)-1),0)</f>
        <v>0</v>
      </c>
      <c r="F74" s="81">
        <v>0.66</v>
      </c>
      <c r="G74" s="68">
        <f t="shared" ref="G74:G83" si="69">IFERROR(SUM((H74/F74)-1),0)</f>
        <v>0</v>
      </c>
      <c r="H74" s="81">
        <v>0.66</v>
      </c>
      <c r="I74" s="68">
        <f t="shared" ref="I74:I83" si="70">IFERROR(SUM((J74/H74)-1),0)</f>
        <v>0</v>
      </c>
      <c r="J74" s="81">
        <v>0.66</v>
      </c>
      <c r="K74" s="68">
        <f t="shared" ref="K74:K83" si="71">IFERROR(SUM((L74/J74)-1),0)</f>
        <v>0</v>
      </c>
      <c r="L74" s="81">
        <v>0.66</v>
      </c>
      <c r="M74" s="68">
        <f t="shared" ref="M74:M83" si="72">IFERROR(SUM((N74/L74)-1),0)</f>
        <v>0</v>
      </c>
      <c r="N74" s="81">
        <v>0.66</v>
      </c>
      <c r="O74" s="68">
        <f t="shared" ref="O74:O83" si="73">IFERROR(SUM((P74/N74)-1),0)</f>
        <v>0</v>
      </c>
      <c r="P74" s="81">
        <v>0.66</v>
      </c>
      <c r="Q74" s="68">
        <f t="shared" ref="Q74:Q83" si="74">IFERROR(SUM((R74/P74)-1),0)</f>
        <v>0</v>
      </c>
      <c r="R74" s="81">
        <v>0.66</v>
      </c>
      <c r="S74" s="68">
        <f t="shared" ref="S74:S83" si="75">IFERROR(SUM((T74/R74)-1),0)</f>
        <v>0</v>
      </c>
      <c r="T74" s="81">
        <v>0.66</v>
      </c>
      <c r="U74" s="68">
        <f t="shared" ref="U74:U83" si="76">IFERROR(SUM((V74/T74)-1),0)</f>
        <v>0</v>
      </c>
      <c r="V74" s="81">
        <v>0.66</v>
      </c>
      <c r="W74" s="68">
        <f t="shared" ref="W74:W83" si="77">IFERROR(SUM((X74/V74)-1),0)</f>
        <v>0</v>
      </c>
      <c r="X74" s="81">
        <v>0.66</v>
      </c>
    </row>
    <row r="75">
      <c r="A75" s="65" t="s">
        <v>101</v>
      </c>
      <c r="B75" s="81">
        <f>(1-B74)</f>
        <v>0.34</v>
      </c>
      <c r="C75" s="68">
        <f t="shared" si="67"/>
        <v>0</v>
      </c>
      <c r="D75" s="81">
        <f>(1-D74)</f>
        <v>0.34</v>
      </c>
      <c r="E75" s="68">
        <f t="shared" si="68"/>
        <v>0</v>
      </c>
      <c r="F75" s="81">
        <f>(1-F74)</f>
        <v>0.34</v>
      </c>
      <c r="G75" s="68">
        <f t="shared" si="69"/>
        <v>0</v>
      </c>
      <c r="H75" s="81">
        <f>(1-H74)</f>
        <v>0.34</v>
      </c>
      <c r="I75" s="68">
        <f t="shared" si="70"/>
        <v>0</v>
      </c>
      <c r="J75" s="81">
        <f>(1-J74)</f>
        <v>0.34</v>
      </c>
      <c r="K75" s="68">
        <f t="shared" si="71"/>
        <v>0</v>
      </c>
      <c r="L75" s="81">
        <f>(1-L74)</f>
        <v>0.34</v>
      </c>
      <c r="M75" s="68">
        <f t="shared" si="72"/>
        <v>0</v>
      </c>
      <c r="N75" s="81">
        <f>(1-N74)</f>
        <v>0.34</v>
      </c>
      <c r="O75" s="68">
        <f t="shared" si="73"/>
        <v>0</v>
      </c>
      <c r="P75" s="81">
        <f>(1-P74)</f>
        <v>0.34</v>
      </c>
      <c r="Q75" s="68">
        <f t="shared" si="74"/>
        <v>0</v>
      </c>
      <c r="R75" s="81">
        <f>(1-R74)</f>
        <v>0.34</v>
      </c>
      <c r="S75" s="68">
        <f t="shared" si="75"/>
        <v>0</v>
      </c>
      <c r="T75" s="81">
        <f>(1-T74)</f>
        <v>0.34</v>
      </c>
      <c r="U75" s="68">
        <f t="shared" si="76"/>
        <v>0</v>
      </c>
      <c r="V75" s="81">
        <f>(1-V74)</f>
        <v>0.34</v>
      </c>
      <c r="W75" s="68">
        <f t="shared" si="77"/>
        <v>0</v>
      </c>
      <c r="X75" s="81">
        <f>(1-X74)</f>
        <v>0.34</v>
      </c>
    </row>
    <row r="76">
      <c r="A76" s="4" t="s">
        <v>106</v>
      </c>
      <c r="B76" s="64">
        <v>0.97</v>
      </c>
      <c r="C76" s="13">
        <f t="shared" si="67"/>
        <v>0</v>
      </c>
      <c r="D76" s="64">
        <v>0.97</v>
      </c>
      <c r="E76" s="13">
        <f t="shared" si="68"/>
        <v>0</v>
      </c>
      <c r="F76" s="64">
        <v>0.97</v>
      </c>
      <c r="G76" s="13">
        <f t="shared" si="69"/>
        <v>0</v>
      </c>
      <c r="H76" s="64">
        <v>0.97</v>
      </c>
      <c r="I76" s="13">
        <f t="shared" si="70"/>
        <v>0</v>
      </c>
      <c r="J76" s="64">
        <v>0.97</v>
      </c>
      <c r="K76" s="13">
        <f t="shared" si="71"/>
        <v>0</v>
      </c>
      <c r="L76" s="64">
        <v>0.97</v>
      </c>
      <c r="M76" s="13">
        <f t="shared" si="72"/>
        <v>0</v>
      </c>
      <c r="N76" s="64">
        <v>0.97</v>
      </c>
      <c r="O76" s="13">
        <f t="shared" si="73"/>
        <v>0</v>
      </c>
      <c r="P76" s="64">
        <v>0.97</v>
      </c>
      <c r="Q76" s="13">
        <f t="shared" si="74"/>
        <v>0</v>
      </c>
      <c r="R76" s="64">
        <v>0.97</v>
      </c>
      <c r="S76" s="13">
        <f t="shared" si="75"/>
        <v>0</v>
      </c>
      <c r="T76" s="64">
        <v>0.97</v>
      </c>
      <c r="U76" s="13">
        <f t="shared" si="76"/>
        <v>0</v>
      </c>
      <c r="V76" s="64">
        <v>0.97</v>
      </c>
      <c r="W76" s="13">
        <f t="shared" si="77"/>
        <v>0</v>
      </c>
      <c r="X76" s="64">
        <v>0.97</v>
      </c>
    </row>
    <row r="77">
      <c r="A77" s="4" t="s">
        <v>108</v>
      </c>
      <c r="B77" s="64">
        <f>(1-B76)</f>
        <v>0.03</v>
      </c>
      <c r="C77" s="13">
        <f t="shared" si="67"/>
        <v>0</v>
      </c>
      <c r="D77" s="64">
        <f>(1-D76)</f>
        <v>0.03</v>
      </c>
      <c r="E77" s="13">
        <f t="shared" si="68"/>
        <v>0</v>
      </c>
      <c r="F77" s="64">
        <f>(1-F76)</f>
        <v>0.03</v>
      </c>
      <c r="G77" s="13">
        <f t="shared" si="69"/>
        <v>0</v>
      </c>
      <c r="H77" s="64">
        <f>(1-H76)</f>
        <v>0.03</v>
      </c>
      <c r="I77" s="13">
        <f t="shared" si="70"/>
        <v>0</v>
      </c>
      <c r="J77" s="64">
        <f>(1-J76)</f>
        <v>0.03</v>
      </c>
      <c r="K77" s="13">
        <f t="shared" si="71"/>
        <v>0</v>
      </c>
      <c r="L77" s="64">
        <f>(1-L76)</f>
        <v>0.03</v>
      </c>
      <c r="M77" s="13">
        <f t="shared" si="72"/>
        <v>0</v>
      </c>
      <c r="N77" s="64">
        <f>(1-N76)</f>
        <v>0.03</v>
      </c>
      <c r="O77" s="13">
        <f t="shared" si="73"/>
        <v>0</v>
      </c>
      <c r="P77" s="64">
        <f>(1-P76)</f>
        <v>0.03</v>
      </c>
      <c r="Q77" s="13">
        <f t="shared" si="74"/>
        <v>0</v>
      </c>
      <c r="R77" s="64">
        <f>(1-R76)</f>
        <v>0.03</v>
      </c>
      <c r="S77" s="13">
        <f t="shared" si="75"/>
        <v>0</v>
      </c>
      <c r="T77" s="64">
        <f>(1-T76)</f>
        <v>0.03</v>
      </c>
      <c r="U77" s="13">
        <f t="shared" si="76"/>
        <v>0</v>
      </c>
      <c r="V77" s="64">
        <f>(1-V76)</f>
        <v>0.03</v>
      </c>
      <c r="W77" s="13">
        <f t="shared" si="77"/>
        <v>0</v>
      </c>
      <c r="X77" s="64">
        <f>(1-X76)</f>
        <v>0.03</v>
      </c>
    </row>
    <row r="78">
      <c r="A78" s="65" t="s">
        <v>109</v>
      </c>
      <c r="B78" s="81">
        <v>0.95</v>
      </c>
      <c r="C78" s="68">
        <f t="shared" si="67"/>
        <v>0</v>
      </c>
      <c r="D78" s="81">
        <v>0.95</v>
      </c>
      <c r="E78" s="68">
        <f t="shared" si="68"/>
        <v>0</v>
      </c>
      <c r="F78" s="81">
        <v>0.95</v>
      </c>
      <c r="G78" s="68">
        <f t="shared" si="69"/>
        <v>0</v>
      </c>
      <c r="H78" s="81">
        <v>0.95</v>
      </c>
      <c r="I78" s="68">
        <f t="shared" si="70"/>
        <v>0</v>
      </c>
      <c r="J78" s="81">
        <v>0.95</v>
      </c>
      <c r="K78" s="68">
        <f t="shared" si="71"/>
        <v>0</v>
      </c>
      <c r="L78" s="81">
        <v>0.95</v>
      </c>
      <c r="M78" s="68">
        <f t="shared" si="72"/>
        <v>0</v>
      </c>
      <c r="N78" s="81">
        <v>0.95</v>
      </c>
      <c r="O78" s="68">
        <f t="shared" si="73"/>
        <v>0</v>
      </c>
      <c r="P78" s="81">
        <v>0.95</v>
      </c>
      <c r="Q78" s="68">
        <f t="shared" si="74"/>
        <v>0</v>
      </c>
      <c r="R78" s="81">
        <v>0.95</v>
      </c>
      <c r="S78" s="68">
        <f t="shared" si="75"/>
        <v>0</v>
      </c>
      <c r="T78" s="81">
        <v>0.95</v>
      </c>
      <c r="U78" s="68">
        <f t="shared" si="76"/>
        <v>0</v>
      </c>
      <c r="V78" s="81">
        <v>0.95</v>
      </c>
      <c r="W78" s="68">
        <f t="shared" si="77"/>
        <v>0</v>
      </c>
      <c r="X78" s="81">
        <v>0.95</v>
      </c>
    </row>
    <row r="79">
      <c r="A79" s="65" t="s">
        <v>141</v>
      </c>
      <c r="B79" s="81">
        <v>0.03</v>
      </c>
      <c r="C79" s="68">
        <f t="shared" si="67"/>
        <v>0</v>
      </c>
      <c r="D79" s="81">
        <v>0.03</v>
      </c>
      <c r="E79" s="68">
        <f t="shared" si="68"/>
        <v>0</v>
      </c>
      <c r="F79" s="81">
        <v>0.03</v>
      </c>
      <c r="G79" s="68">
        <f t="shared" si="69"/>
        <v>0</v>
      </c>
      <c r="H79" s="81">
        <v>0.03</v>
      </c>
      <c r="I79" s="68">
        <f t="shared" si="70"/>
        <v>0</v>
      </c>
      <c r="J79" s="81">
        <v>0.03</v>
      </c>
      <c r="K79" s="68">
        <f t="shared" si="71"/>
        <v>0</v>
      </c>
      <c r="L79" s="81">
        <v>0.03</v>
      </c>
      <c r="M79" s="68">
        <f t="shared" si="72"/>
        <v>0</v>
      </c>
      <c r="N79" s="81">
        <v>0.03</v>
      </c>
      <c r="O79" s="68">
        <f t="shared" si="73"/>
        <v>0</v>
      </c>
      <c r="P79" s="81">
        <v>0.03</v>
      </c>
      <c r="Q79" s="68">
        <f t="shared" si="74"/>
        <v>0</v>
      </c>
      <c r="R79" s="81">
        <v>0.03</v>
      </c>
      <c r="S79" s="68">
        <f t="shared" si="75"/>
        <v>0</v>
      </c>
      <c r="T79" s="81">
        <v>0.03</v>
      </c>
      <c r="U79" s="68">
        <f t="shared" si="76"/>
        <v>0</v>
      </c>
      <c r="V79" s="81">
        <v>0.03</v>
      </c>
      <c r="W79" s="68">
        <f t="shared" si="77"/>
        <v>0</v>
      </c>
      <c r="X79" s="81">
        <v>0.03</v>
      </c>
    </row>
    <row r="80">
      <c r="A80" s="65" t="s">
        <v>142</v>
      </c>
      <c r="B80" s="81">
        <v>0.02</v>
      </c>
      <c r="C80" s="68">
        <f t="shared" si="67"/>
        <v>0</v>
      </c>
      <c r="D80" s="81">
        <v>0.02</v>
      </c>
      <c r="E80" s="68">
        <f t="shared" si="68"/>
        <v>0</v>
      </c>
      <c r="F80" s="81">
        <v>0.02</v>
      </c>
      <c r="G80" s="68">
        <f t="shared" si="69"/>
        <v>0</v>
      </c>
      <c r="H80" s="81">
        <v>0.02</v>
      </c>
      <c r="I80" s="68">
        <f t="shared" si="70"/>
        <v>0</v>
      </c>
      <c r="J80" s="81">
        <v>0.02</v>
      </c>
      <c r="K80" s="68">
        <f t="shared" si="71"/>
        <v>0</v>
      </c>
      <c r="L80" s="81">
        <v>0.02</v>
      </c>
      <c r="M80" s="68">
        <f t="shared" si="72"/>
        <v>0</v>
      </c>
      <c r="N80" s="81">
        <v>0.02</v>
      </c>
      <c r="O80" s="68">
        <f t="shared" si="73"/>
        <v>0</v>
      </c>
      <c r="P80" s="81">
        <v>0.02</v>
      </c>
      <c r="Q80" s="68">
        <f t="shared" si="74"/>
        <v>0</v>
      </c>
      <c r="R80" s="81">
        <v>0.02</v>
      </c>
      <c r="S80" s="68">
        <f t="shared" si="75"/>
        <v>0</v>
      </c>
      <c r="T80" s="81">
        <v>0.02</v>
      </c>
      <c r="U80" s="68">
        <f t="shared" si="76"/>
        <v>0</v>
      </c>
      <c r="V80" s="81">
        <v>0.02</v>
      </c>
      <c r="W80" s="68">
        <f t="shared" si="77"/>
        <v>0</v>
      </c>
      <c r="X80" s="81">
        <v>0.02</v>
      </c>
    </row>
    <row r="81">
      <c r="A81" s="4" t="s">
        <v>113</v>
      </c>
      <c r="B81" s="75">
        <v>103.13</v>
      </c>
      <c r="C81" s="13">
        <f t="shared" si="67"/>
        <v>-0.005042179773</v>
      </c>
      <c r="D81" s="75">
        <v>102.61</v>
      </c>
      <c r="E81" s="13">
        <f t="shared" si="68"/>
        <v>0.01062274632</v>
      </c>
      <c r="F81" s="75">
        <v>103.7</v>
      </c>
      <c r="G81" s="13">
        <f t="shared" si="69"/>
        <v>-0.00337512054</v>
      </c>
      <c r="H81" s="75">
        <v>103.35</v>
      </c>
      <c r="I81" s="13">
        <f t="shared" si="70"/>
        <v>0.002418964683</v>
      </c>
      <c r="J81" s="75">
        <v>103.6</v>
      </c>
      <c r="K81" s="13">
        <f t="shared" si="71"/>
        <v>0</v>
      </c>
      <c r="L81" s="75">
        <v>103.6</v>
      </c>
      <c r="M81" s="13">
        <f t="shared" si="72"/>
        <v>-0.01225868726</v>
      </c>
      <c r="N81" s="75">
        <v>102.33</v>
      </c>
      <c r="O81" s="13">
        <f t="shared" si="73"/>
        <v>0.01241082771</v>
      </c>
      <c r="P81" s="75">
        <v>103.6</v>
      </c>
      <c r="Q81" s="13">
        <f t="shared" si="74"/>
        <v>0</v>
      </c>
      <c r="R81" s="75">
        <v>103.6</v>
      </c>
      <c r="S81" s="13">
        <f t="shared" si="75"/>
        <v>0</v>
      </c>
      <c r="T81" s="75">
        <v>103.6</v>
      </c>
      <c r="U81" s="13">
        <f t="shared" si="76"/>
        <v>0</v>
      </c>
      <c r="V81" s="75">
        <v>103.6</v>
      </c>
      <c r="W81" s="13">
        <f t="shared" si="77"/>
        <v>0</v>
      </c>
      <c r="X81" s="75">
        <v>103.6</v>
      </c>
    </row>
    <row r="82">
      <c r="A82" s="4" t="s">
        <v>116</v>
      </c>
      <c r="B82" s="75">
        <v>102.47</v>
      </c>
      <c r="C82" s="13">
        <f t="shared" si="67"/>
        <v>0.005757782766</v>
      </c>
      <c r="D82" s="75">
        <v>103.06</v>
      </c>
      <c r="E82" s="13">
        <f t="shared" si="68"/>
        <v>-0.003590141665</v>
      </c>
      <c r="F82" s="75">
        <v>102.69</v>
      </c>
      <c r="G82" s="13">
        <f t="shared" si="69"/>
        <v>-0.001752848379</v>
      </c>
      <c r="H82" s="75">
        <v>102.51</v>
      </c>
      <c r="I82" s="13">
        <f t="shared" si="70"/>
        <v>-0.0003902058336</v>
      </c>
      <c r="J82" s="75">
        <v>102.47</v>
      </c>
      <c r="K82" s="13">
        <f t="shared" si="71"/>
        <v>-0.0006831267688</v>
      </c>
      <c r="L82" s="75">
        <v>102.4</v>
      </c>
      <c r="M82" s="13">
        <f t="shared" si="72"/>
        <v>0.0453125</v>
      </c>
      <c r="N82" s="75">
        <v>107.04</v>
      </c>
      <c r="O82" s="13">
        <f t="shared" si="73"/>
        <v>-0.04334828102</v>
      </c>
      <c r="P82" s="75">
        <v>102.4</v>
      </c>
      <c r="Q82" s="13">
        <f t="shared" si="74"/>
        <v>0</v>
      </c>
      <c r="R82" s="75">
        <v>102.4</v>
      </c>
      <c r="S82" s="13">
        <f t="shared" si="75"/>
        <v>0</v>
      </c>
      <c r="T82" s="75">
        <v>102.4</v>
      </c>
      <c r="U82" s="13">
        <f t="shared" si="76"/>
        <v>0</v>
      </c>
      <c r="V82" s="75">
        <v>102.4</v>
      </c>
      <c r="W82" s="13">
        <f t="shared" si="77"/>
        <v>0</v>
      </c>
      <c r="X82" s="75">
        <v>102.4</v>
      </c>
    </row>
    <row r="83">
      <c r="A83" s="4" t="s">
        <v>119</v>
      </c>
      <c r="B83" s="24">
        <f>B81/B82</f>
        <v>1.00644091</v>
      </c>
      <c r="C83" s="13">
        <f t="shared" si="67"/>
        <v>-0.01073813469</v>
      </c>
      <c r="D83" s="22">
        <f>D81/D82</f>
        <v>0.9956336115</v>
      </c>
      <c r="E83" s="13">
        <f t="shared" si="68"/>
        <v>0.01426409812</v>
      </c>
      <c r="F83" s="22">
        <f>F81/F82</f>
        <v>1.009835427</v>
      </c>
      <c r="G83" s="13">
        <f t="shared" si="69"/>
        <v>-0.001625120752</v>
      </c>
      <c r="H83" s="22">
        <f>H81/H82</f>
        <v>1.008194323</v>
      </c>
      <c r="I83" s="13">
        <f t="shared" si="70"/>
        <v>0.002810267099</v>
      </c>
      <c r="J83" s="22">
        <f>J81/J82</f>
        <v>1.011027618</v>
      </c>
      <c r="K83" s="13">
        <f t="shared" si="71"/>
        <v>0.00068359375</v>
      </c>
      <c r="L83" s="22">
        <f>L81/L82</f>
        <v>1.01171875</v>
      </c>
      <c r="M83" s="13">
        <f t="shared" si="72"/>
        <v>-0.05507557525</v>
      </c>
      <c r="N83" s="22">
        <f>N81/N82</f>
        <v>0.9559977578</v>
      </c>
      <c r="O83" s="13">
        <f t="shared" si="73"/>
        <v>0.05828569335</v>
      </c>
      <c r="P83" s="22">
        <f>P81/P82</f>
        <v>1.01171875</v>
      </c>
      <c r="Q83" s="13">
        <f t="shared" si="74"/>
        <v>0</v>
      </c>
      <c r="R83" s="22">
        <f>R81/R82</f>
        <v>1.01171875</v>
      </c>
      <c r="S83" s="13">
        <f t="shared" si="75"/>
        <v>0</v>
      </c>
      <c r="T83" s="22">
        <f>T81/T82</f>
        <v>1.01171875</v>
      </c>
      <c r="U83" s="13">
        <f t="shared" si="76"/>
        <v>0</v>
      </c>
      <c r="V83" s="22">
        <f>V81/V82</f>
        <v>1.01171875</v>
      </c>
      <c r="W83" s="13">
        <f t="shared" si="77"/>
        <v>0</v>
      </c>
      <c r="X83" s="22">
        <f>X81/X82</f>
        <v>1.01171875</v>
      </c>
    </row>
    <row r="84">
      <c r="A84" s="4" t="s">
        <v>121</v>
      </c>
      <c r="B84" s="4" t="s">
        <v>145</v>
      </c>
    </row>
    <row r="85">
      <c r="A85" s="5" t="s">
        <v>123</v>
      </c>
      <c r="B85" s="89">
        <v>0.009</v>
      </c>
      <c r="D85" s="6"/>
      <c r="E85" s="6"/>
      <c r="F85" s="6"/>
      <c r="G85" s="6"/>
    </row>
    <row r="86">
      <c r="A86" s="4" t="s">
        <v>125</v>
      </c>
      <c r="B86" s="64">
        <v>0.0</v>
      </c>
      <c r="D86" s="6"/>
      <c r="E86" s="6"/>
      <c r="F86" s="6"/>
      <c r="G86" s="6"/>
    </row>
    <row r="87" ht="22.5" customHeight="1">
      <c r="A87" s="4" t="s">
        <v>126</v>
      </c>
      <c r="B87" s="83">
        <f>SUM(B30,D30,F30,H30,J30,L30,N30,P30,R30,T30,V30,X30)</f>
        <v>506918651.7</v>
      </c>
      <c r="D87" s="86" t="s">
        <v>128</v>
      </c>
      <c r="E87" s="86" t="s">
        <v>113</v>
      </c>
      <c r="F87" s="86" t="s">
        <v>116</v>
      </c>
      <c r="G87" s="86" t="s">
        <v>119</v>
      </c>
      <c r="H87" s="86" t="s">
        <v>129</v>
      </c>
      <c r="I87" s="106" t="s">
        <v>131</v>
      </c>
      <c r="J87" s="87" t="s">
        <v>132</v>
      </c>
      <c r="K87" s="87" t="s">
        <v>133</v>
      </c>
      <c r="L87" s="87" t="s">
        <v>134</v>
      </c>
    </row>
    <row r="88" ht="22.5" customHeight="1">
      <c r="A88" s="4" t="s">
        <v>135</v>
      </c>
      <c r="B88" s="83">
        <f>SUM(B56,D56,F56,H56,J56,L56,N56,P56,R56,T56,V56,X56)</f>
        <v>50877609</v>
      </c>
      <c r="D88" s="95" t="s">
        <v>138</v>
      </c>
      <c r="E88" s="96">
        <f t="array" ref="E88">IFERROR(INDEX(FCD[], MATCH(D88, FCD[FIIs], 0), MATCH(FCD[[#HEADERS],[V/Mercado]], FCD[#HEADERS], 0)),"")</f>
        <v>91.6</v>
      </c>
      <c r="F88" s="107">
        <f t="array" ref="F88">IFERROR(INDEX(Indicador_Fii[], MATCH(D88, Indicador_Fii[Fii], 0), MATCH(Indicador_Fii[[#HEADERS],[VP/Cota]], Indicador_Fii[#HEADERS], 0)),"")</f>
        <v>105.25</v>
      </c>
      <c r="G88" s="108">
        <f t="shared" ref="G88:G93" si="78">E88/F88</f>
        <v>0.8703087886</v>
      </c>
      <c r="H88" s="94">
        <f t="shared" ref="H88:H93" si="79">I88/F88</f>
        <v>0.9323973024</v>
      </c>
      <c r="I88" s="101">
        <f t="array" ref="I88">IFERROR(INDEX(FCD[], MATCH(D88, FCD[FIIs], 0), MATCH(FCD[[#HEADERS],[Preço_Justo]], FCD[#HEADERS], 0)),"")</f>
        <v>98.13481608</v>
      </c>
      <c r="J88" s="98">
        <f t="array" ref="J88">IFERROR(INDEX(Indicador_Fii[], MATCH(D88, Indicador_Fii[Fii], 0), MATCH(Indicador_Fii[[#HEADERS],[FFO_Yield]], Indicador_Fii[#HEADERS], 0)),"")</f>
        <v>6.94</v>
      </c>
      <c r="K88" s="98">
        <f t="array" ref="K88">IFERROR(INDEX(Indicador_Fii[], MATCH(D88, Indicador_Fii[Fii], 0), MATCH(Indicador_Fii[[#HEADERS],[DIV_Yield]], Indicador_Fii[#HEADERS], 0)),"")</f>
        <v>8.8</v>
      </c>
      <c r="L88" s="100">
        <f>IFERROR(__xludf.DUMMYFUNCTION("GOOGLEFINANCE(D88, ""volumeavg"")"),83200.0)</f>
        <v>83200</v>
      </c>
    </row>
    <row r="89" ht="22.5" customHeight="1">
      <c r="A89" s="4" t="s">
        <v>144</v>
      </c>
      <c r="B89" s="13">
        <f>B88/B87</f>
        <v>0.1003664174</v>
      </c>
      <c r="D89" s="109" t="s">
        <v>140</v>
      </c>
      <c r="E89" s="96">
        <f t="array" ref="E89">IFERROR(INDEX(FCD[], MATCH(D89, FCD[FIIs], 0), MATCH(FCD[[#HEADERS],[V/Mercado]], FCD[#HEADERS], 0)),"")</f>
        <v>146.52</v>
      </c>
      <c r="F89" s="110">
        <f t="array" ref="F89">IFERROR(INDEX(Indicador_Fii[], MATCH(D89, Indicador_Fii[Fii], 0), MATCH(Indicador_Fii[[#HEADERS],[VP/Cota]], Indicador_Fii[#HEADERS], 0)),"")</f>
        <v>166</v>
      </c>
      <c r="G89" s="108">
        <f t="shared" si="78"/>
        <v>0.8826506024</v>
      </c>
      <c r="H89" s="94">
        <f t="shared" si="79"/>
        <v>0.9284179884</v>
      </c>
      <c r="I89" s="101">
        <f t="array" ref="I89">IFERROR(INDEX(FCD[], MATCH(D89, FCD[FIIs], 0), MATCH(FCD[[#HEADERS],[Preço_Justo]], FCD[#HEADERS], 0)),"")</f>
        <v>154.1173861</v>
      </c>
      <c r="J89" s="98">
        <f t="array" ref="J89">IFERROR(INDEX(Indicador_Fii[], MATCH(D89, Indicador_Fii[Fii], 0), MATCH(Indicador_Fii[[#HEADERS],[FFO_Yield]], Indicador_Fii[#HEADERS], 0)),"")</f>
        <v>6.55</v>
      </c>
      <c r="K89" s="98">
        <f t="array" ref="K89">IFERROR(INDEX(Indicador_Fii[], MATCH(D89, Indicador_Fii[Fii], 0), MATCH(Indicador_Fii[[#HEADERS],[DIV_Yield]], Indicador_Fii[#HEADERS], 0)),"")</f>
        <v>7.2</v>
      </c>
      <c r="L89" s="100">
        <f>IFERROR(__xludf.DUMMYFUNCTION("GOOGLEFINANCE(D89, ""volumeavg"")"),129710.0)</f>
        <v>129710</v>
      </c>
    </row>
    <row r="90" ht="22.5" customHeight="1">
      <c r="A90" s="4" t="s">
        <v>146</v>
      </c>
      <c r="B90" s="83">
        <f>IFERROR(__xludf.DUMMYFUNCTION("GOOGLEFINANCE(B84)*B92"),6.945209868320001E9)</f>
        <v>6945209868</v>
      </c>
      <c r="D90" s="111" t="s">
        <v>137</v>
      </c>
      <c r="E90" s="96">
        <f t="array" ref="E90">IFERROR(INDEX(FCD[], MATCH(D90, FCD[FIIs], 0), MATCH(FCD[[#HEADERS],[V/Mercado]], FCD[#HEADERS], 0)),"")</f>
        <v>9</v>
      </c>
      <c r="F90" s="114">
        <f t="array" ref="F90">IFERROR(INDEX(Indicador_Fii[], MATCH(D90, Indicador_Fii[Fii], 0), MATCH(Indicador_Fii[[#HEADERS],[VP/Cota]], Indicador_Fii[#HEADERS], 0)),"")</f>
        <v>11.03</v>
      </c>
      <c r="G90" s="115">
        <f t="shared" si="78"/>
        <v>0.8159564823</v>
      </c>
      <c r="H90" s="94">
        <f t="shared" si="79"/>
        <v>0.943436746</v>
      </c>
      <c r="I90" s="101">
        <f t="array" ref="I90">IFERROR(INDEX(FCD[], MATCH(D90, FCD[FIIs], 0), MATCH(FCD[[#HEADERS],[Preço_Justo]], FCD[#HEADERS], 0)),"")</f>
        <v>10.40610731</v>
      </c>
      <c r="J90" s="98">
        <f t="array" ref="J90">IFERROR(INDEX(Indicador_Fii[], MATCH(D90, Indicador_Fii[Fii], 0), MATCH(Indicador_Fii[[#HEADERS],[FFO_Yield]], Indicador_Fii[#HEADERS], 0)),"")</f>
        <v>6.11</v>
      </c>
      <c r="K90" s="98">
        <f t="array" ref="K90">IFERROR(INDEX(Indicador_Fii[], MATCH(D90, Indicador_Fii[Fii], 0), MATCH(Indicador_Fii[[#HEADERS],[DIV_Yield]], Indicador_Fii[#HEADERS], 0)),"")</f>
        <v>11.8</v>
      </c>
      <c r="L90" s="100">
        <f>IFERROR(__xludf.DUMMYFUNCTION("GOOGLEFINANCE(D90, ""volumeavg"")"),2033352.0)</f>
        <v>2033352</v>
      </c>
    </row>
    <row r="91" ht="22.5" customHeight="1">
      <c r="A91" s="4" t="s">
        <v>147</v>
      </c>
      <c r="B91" s="13">
        <f>B88/B90</f>
        <v>0.007325568264</v>
      </c>
      <c r="D91" s="117" t="s">
        <v>122</v>
      </c>
      <c r="E91" s="96">
        <f t="array" ref="E91">IFERROR(INDEX(FCD[], MATCH(D91, FCD[FIIs], 0), MATCH(FCD[[#HEADERS],[V/Mercado]], FCD[#HEADERS], 0)),"")</f>
        <v>156.75</v>
      </c>
      <c r="F91" s="120">
        <f t="array" ref="F91">IFERROR(INDEX(Indicador_Fii[], MATCH(D91, Indicador_Fii[Fii], 0), MATCH(Indicador_Fii[[#HEADERS],[VP/Cota]], Indicador_Fii[#HEADERS], 0)),"")</f>
        <v>163.15</v>
      </c>
      <c r="G91" s="121">
        <f t="shared" si="78"/>
        <v>0.9607722954</v>
      </c>
      <c r="H91" s="94">
        <f t="shared" si="79"/>
        <v>0.9320399007</v>
      </c>
      <c r="I91" s="101">
        <f t="array" ref="I91">IFERROR(INDEX(FCD[], MATCH(D91, FCD[FIIs], 0), MATCH(FCD[[#HEADERS],[Preço_Justo]], FCD[#HEADERS], 0)),"")</f>
        <v>152.0623098</v>
      </c>
      <c r="J91" s="98">
        <f t="array" ref="J91">IFERROR(INDEX(Indicador_Fii[], MATCH(D91, Indicador_Fii[Fii], 0), MATCH(Indicador_Fii[[#HEADERS],[FFO_Yield]], Indicador_Fii[#HEADERS], 0)),"")</f>
        <v>7.34</v>
      </c>
      <c r="K91" s="98">
        <f t="array" ref="K91">IFERROR(INDEX(Indicador_Fii[], MATCH(D91, Indicador_Fii[Fii], 0), MATCH(Indicador_Fii[[#HEADERS],[DIV_Yield]], Indicador_Fii[#HEADERS], 0)),"")</f>
        <v>6.8</v>
      </c>
      <c r="L91" s="100">
        <f>IFERROR(__xludf.DUMMYFUNCTION("GOOGLEFINANCE(D91, ""volumeavg"")"),51677.0)</f>
        <v>51677</v>
      </c>
    </row>
    <row r="92" ht="22.5" customHeight="1">
      <c r="A92" s="4" t="s">
        <v>149</v>
      </c>
      <c r="B92" s="22">
        <f t="array" ref="B92">IFERROR(INDEX(Indicador_Fii[], MATCH(B84, Indicador_Fii[Fii], 0), MATCH(Indicador_Fii[[#HEADERS],[Qtd_Cotas]], Indicador_Fii[#HEADERS], 0)),"")</f>
        <v>69389648</v>
      </c>
      <c r="D92" s="126" t="s">
        <v>145</v>
      </c>
      <c r="E92" s="113">
        <f t="array" ref="E92">IFERROR(INDEX(FCD[], MATCH(D92, FCD[FIIs], 0), MATCH(FCD[[#HEADERS],[V/Mercado]], FCD[#HEADERS], 0)),"")</f>
        <v>100.09</v>
      </c>
      <c r="F92" s="131">
        <f t="array" ref="F92">IFERROR(INDEX(Indicador_Fii[], MATCH(D92, Indicador_Fii[Fii], 0), MATCH(Indicador_Fii[[#HEADERS],[VP/Cota]], Indicador_Fii[#HEADERS], 0)),"")</f>
        <v>102.4</v>
      </c>
      <c r="G92" s="108">
        <f t="shared" si="78"/>
        <v>0.9774414063</v>
      </c>
      <c r="H92" s="94">
        <f t="shared" si="79"/>
        <v>0.9927610269</v>
      </c>
      <c r="I92" s="101">
        <f t="array" ref="I92">IFERROR(INDEX(FCD[], MATCH(D92, FCD[FIIs], 0), MATCH(FCD[[#HEADERS],[Preço_Justo]], FCD[#HEADERS], 0)),"")</f>
        <v>101.6587292</v>
      </c>
      <c r="J92" s="98">
        <f t="array" ref="J92">IFERROR(INDEX(Indicador_Fii[], MATCH(D92, Indicador_Fii[Fii], 0), MATCH(Indicador_Fii[[#HEADERS],[FFO_Yield]], Indicador_Fii[#HEADERS], 0)),"")</f>
        <v>6.08</v>
      </c>
      <c r="K92" s="98">
        <f t="array" ref="K92">IFERROR(INDEX(Indicador_Fii[], MATCH(D92, Indicador_Fii[Fii], 0), MATCH(Indicador_Fii[[#HEADERS],[DIV_Yield]], Indicador_Fii[#HEADERS], 0)),"")</f>
        <v>7.9</v>
      </c>
      <c r="L92" s="100">
        <f>IFERROR(__xludf.DUMMYFUNCTION("GOOGLEFINANCE(D92, ""volumeavg"")"),176536.0)</f>
        <v>176536</v>
      </c>
    </row>
    <row r="93" ht="22.5" customHeight="1">
      <c r="A93" s="4" t="s">
        <v>150</v>
      </c>
      <c r="B93" s="24">
        <f t="array" ref="B93">IFERROR(INDEX(Indicador_Fii[], MATCH(B84, Indicador_Fii[Fii], 0), MATCH(Indicador_Fii[[#HEADERS],[Patrimonio_Liq]], Indicador_Fii[#HEADERS], 0)),"")</f>
        <v>7105230000</v>
      </c>
      <c r="D93" s="132" t="s">
        <v>148</v>
      </c>
      <c r="E93" s="131">
        <f t="array" ref="E93">IFERROR(INDEX(FCD[], MATCH(D93, FCD[FIIs], 0), MATCH(FCD[[#HEADERS],[V/Mercado]], FCD[#HEADERS], 0)),"")</f>
        <v>110.21</v>
      </c>
      <c r="F93" s="133">
        <f t="array" ref="F93">IFERROR(INDEX(Indicador_Fii[], MATCH(D93, Indicador_Fii[Fii], 0), MATCH(Indicador_Fii[[#HEADERS],[VP/Cota]], Indicador_Fii[#HEADERS], 0)),"")</f>
        <v>115.72</v>
      </c>
      <c r="G93" s="115">
        <f t="shared" si="78"/>
        <v>0.9523850674</v>
      </c>
      <c r="H93" s="94">
        <f t="shared" si="79"/>
        <v>0.9696288982</v>
      </c>
      <c r="I93" s="101">
        <f t="array" ref="I93">IFERROR(INDEX(FCD[], MATCH(D93, FCD[FIIs], 0), MATCH(FCD[[#HEADERS],[Preço_Justo]], FCD[#HEADERS], 0)),"")</f>
        <v>112.2054561</v>
      </c>
      <c r="J93" s="98">
        <f t="array" ref="J93">IFERROR(INDEX(Indicador_Fii[], MATCH(D93, Indicador_Fii[Fii], 0), MATCH(Indicador_Fii[[#HEADERS],[FFO_Yield]], Indicador_Fii[#HEADERS], 0)),"")</f>
        <v>7.31</v>
      </c>
      <c r="K93" s="98">
        <f t="array" ref="K93">IFERROR(INDEX(Indicador_Fii[], MATCH(D93, Indicador_Fii[Fii], 0), MATCH(Indicador_Fii[[#HEADERS],[DIV_Yield]], Indicador_Fii[#HEADERS], 0)),"")</f>
        <v>8</v>
      </c>
      <c r="L93" s="100">
        <f>IFERROR(__xludf.DUMMYFUNCTION("GOOGLEFINANCE(D93, ""volumeavg"")"),42729.0)</f>
        <v>42729</v>
      </c>
    </row>
    <row r="94">
      <c r="A94" s="4" t="s">
        <v>151</v>
      </c>
      <c r="B94" s="40">
        <f>B87/B93</f>
        <v>0.07134443948</v>
      </c>
      <c r="J94" s="123" t="str">
        <f t="array" ref="J94">IFERROR(INDEX(Indicador_Fii[], MATCH(D94, Indicador_Fii[Fii], 0), MATCH(Indicador_Fii[[#HEADERS],[FFO_Yield]], Indicador_Fii[#HEADERS], 0)),"")</f>
        <v/>
      </c>
      <c r="K94" s="123" t="str">
        <f t="array" ref="K94">IFERROR(INDEX(Indicador_Fii[], MATCH(D94, Indicador_Fii[Fii], 0), MATCH(Indicador_Fii[[#HEADERS],[DIV_Yield]], Indicador_Fii[#HEADERS], 0)),"")</f>
        <v/>
      </c>
    </row>
    <row r="95">
      <c r="A95" s="4" t="s">
        <v>63</v>
      </c>
      <c r="B95" s="24">
        <f>SUM(B36,D36,F36,H36,J36,L36,N36,P36,R36,T36,V36,X36)</f>
        <v>529068437</v>
      </c>
    </row>
    <row r="96">
      <c r="A96" s="4" t="s">
        <v>152</v>
      </c>
      <c r="B96" s="40">
        <f>B95/B87</f>
        <v>1.04369495</v>
      </c>
    </row>
    <row r="97">
      <c r="A97" s="4" t="s">
        <v>153</v>
      </c>
      <c r="B97" s="4" t="s">
        <v>165</v>
      </c>
    </row>
    <row r="98">
      <c r="A98" s="4" t="s">
        <v>155</v>
      </c>
      <c r="B98" s="4" t="s">
        <v>3</v>
      </c>
    </row>
    <row r="99">
      <c r="A99" s="4" t="s">
        <v>156</v>
      </c>
      <c r="B99" s="4" t="s">
        <v>3</v>
      </c>
    </row>
    <row r="100">
      <c r="B100" s="124"/>
    </row>
  </sheetData>
  <mergeCells count="1">
    <mergeCell ref="B100:G105"/>
  </mergeCells>
  <dataValidations>
    <dataValidation type="list" allowBlank="1" showErrorMessage="1" sqref="B1 D1 F1 H1 J1 L1 N1 P1 R1 T1 V1 X1 B42 D42 F42 H42 J42 L42 N42 P42 R42 T42 V42 X42 B65 D65 F65 H65 J65 L65 N65 P65 R65 T65 V65 X65">
      <formula1>"Feito,Não,Atual"</formula1>
    </dataValidation>
    <dataValidation type="list" allowBlank="1" showErrorMessage="1" sqref="B97">
      <formula1>"Bom,Normal,Cuidado_Ver_DRE"</formula1>
    </dataValidation>
    <dataValidation type="list" allowBlank="1" showErrorMessage="1" sqref="B98:B99">
      <formula1>"Feito,Não"</formula1>
    </dataValidation>
    <dataValidation type="custom" allowBlank="1" showDropDown="1" sqref="E88:G93 L88:L93">
      <formula1>AND(ISNUMBER(E88),(NOT(OR(NOT(ISERROR(DATEVALUE(E88))), AND(ISNUMBER(E88), LEFT(CELL("format", E88))="D")))))</formula1>
    </dataValidation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4" width="15.25"/>
    <col customWidth="1" min="5" max="5" width="16.25"/>
    <col customWidth="1" min="6" max="6" width="15.5"/>
    <col customWidth="1" min="7" max="7" width="17.75"/>
    <col customWidth="1" min="8" max="8" width="14.25"/>
    <col customWidth="1" min="9" max="9" width="16.13"/>
    <col customWidth="1" min="10" max="10" width="15.63"/>
    <col customWidth="1" min="11" max="11" width="16.0"/>
    <col customWidth="1" min="12" max="12" width="16.25"/>
    <col customWidth="1" min="13" max="13" width="16.5"/>
    <col customWidth="1" min="14" max="14" width="17.88"/>
    <col customWidth="1" min="15" max="15" width="15.38"/>
    <col customWidth="1" min="16" max="16" width="16.25"/>
    <col customWidth="1" min="17" max="17" width="15.63"/>
    <col customWidth="1" min="18" max="18" width="15.13"/>
    <col customWidth="1" min="19" max="19" width="15.5"/>
    <col customWidth="1" min="20" max="20" width="15.88"/>
    <col customWidth="1" min="21" max="21" width="15.13"/>
    <col customWidth="1" min="22" max="22" width="15.88"/>
    <col customWidth="1" min="23" max="23" width="15.38"/>
    <col customWidth="1" min="24" max="24" width="16.38"/>
    <col customWidth="1" min="25" max="25" width="15.63"/>
  </cols>
  <sheetData>
    <row r="1">
      <c r="A1" s="1" t="s">
        <v>0</v>
      </c>
      <c r="B1" s="2" t="s">
        <v>1</v>
      </c>
      <c r="C1" s="3">
        <v>46035.0</v>
      </c>
      <c r="D1" s="2" t="s">
        <v>1</v>
      </c>
      <c r="E1" s="3">
        <v>46059.0</v>
      </c>
      <c r="F1" s="2" t="s">
        <v>1</v>
      </c>
      <c r="G1" s="3">
        <v>46087.0</v>
      </c>
      <c r="H1" s="2" t="s">
        <v>1</v>
      </c>
      <c r="I1" s="3">
        <v>46120.0</v>
      </c>
      <c r="J1" s="2" t="s">
        <v>1</v>
      </c>
      <c r="K1" s="3">
        <v>46157.0</v>
      </c>
      <c r="L1" s="2" t="s">
        <v>1</v>
      </c>
      <c r="M1" s="3">
        <v>46181.0</v>
      </c>
      <c r="N1" s="2" t="s">
        <v>1</v>
      </c>
      <c r="O1" s="3">
        <v>46210.0</v>
      </c>
      <c r="P1" s="2" t="s">
        <v>2</v>
      </c>
      <c r="Q1" s="3">
        <v>46241.0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4" t="s">
        <v>4</v>
      </c>
      <c r="B2" s="4" t="s">
        <v>5</v>
      </c>
      <c r="D2" s="5" t="s">
        <v>6</v>
      </c>
      <c r="E2" s="6"/>
      <c r="F2" s="5" t="s">
        <v>7</v>
      </c>
      <c r="G2" s="6"/>
      <c r="H2" s="5" t="s">
        <v>8</v>
      </c>
      <c r="I2" s="6"/>
      <c r="J2" s="5" t="s">
        <v>9</v>
      </c>
      <c r="K2" s="6"/>
      <c r="L2" s="5" t="s">
        <v>10</v>
      </c>
      <c r="M2" s="6"/>
      <c r="N2" s="5" t="s">
        <v>11</v>
      </c>
      <c r="O2" s="6"/>
      <c r="P2" s="4" t="s">
        <v>12</v>
      </c>
      <c r="R2" s="4" t="s">
        <v>13</v>
      </c>
      <c r="T2" s="4" t="s">
        <v>14</v>
      </c>
      <c r="V2" s="4" t="s">
        <v>15</v>
      </c>
      <c r="X2" s="4" t="s">
        <v>16</v>
      </c>
    </row>
    <row r="3">
      <c r="A3" s="7" t="s">
        <v>17</v>
      </c>
      <c r="B3" s="8">
        <f>SUM(B6,B9,B11,B13,B15)</f>
        <v>33265595</v>
      </c>
      <c r="C3" s="9">
        <f t="shared" ref="C3:C18" si="1">IFERROR(SUM((D3/B3)-1),0)</f>
        <v>0.3031137426</v>
      </c>
      <c r="D3" s="8">
        <f>SUM(D6,D9,D11,D13,D15)</f>
        <v>43348854</v>
      </c>
      <c r="E3" s="9">
        <f t="shared" ref="E3:E18" si="2">IFERROR(SUM((F3/D3)-1),0)</f>
        <v>0.01806818238</v>
      </c>
      <c r="F3" s="8">
        <f>SUM(F6,F9,F11,F13,F15)</f>
        <v>44132089</v>
      </c>
      <c r="G3" s="9">
        <f t="shared" ref="G3:G18" si="3">IFERROR(SUM((H3/F3)-1),0)</f>
        <v>-0.03832732686</v>
      </c>
      <c r="H3" s="8">
        <f>SUM(H6,H9,H11,H13,H15)</f>
        <v>42440624</v>
      </c>
      <c r="I3" s="9">
        <f t="shared" ref="I3:I18" si="4">IFERROR(SUM((J3/H3)-1),0)</f>
        <v>0.02635604509</v>
      </c>
      <c r="J3" s="8">
        <f>SUM(J6,J9,J11,J13,J15)</f>
        <v>43559191</v>
      </c>
      <c r="K3" s="9">
        <f t="shared" ref="K3:K18" si="5">IFERROR(SUM((L3/J3)-1),0)</f>
        <v>0.2499591648</v>
      </c>
      <c r="L3" s="8">
        <f>SUM(L6,L9,L11,L13,L15)</f>
        <v>54447210</v>
      </c>
      <c r="M3" s="9">
        <f t="shared" ref="M3:M18" si="6">IFERROR(SUM((N3/L3)-1),0)</f>
        <v>0.01822199889</v>
      </c>
      <c r="N3" s="8">
        <f>SUM(N6,N9,N11,N13,N15)</f>
        <v>55439347</v>
      </c>
      <c r="O3" s="9">
        <f t="shared" ref="O3:O18" si="7">IFERROR(SUM((P3/N3)-1),0)</f>
        <v>-0.1576006658</v>
      </c>
      <c r="P3" s="8">
        <f>SUM(P6,P9,P11,P13,P15)</f>
        <v>46702069</v>
      </c>
      <c r="Q3" s="9">
        <f t="shared" ref="Q3:Q18" si="8">IFERROR(SUM((R3/P3)-1),0)</f>
        <v>0</v>
      </c>
      <c r="R3" s="8">
        <f>SUM(R6,R9,R11,R13,R15)</f>
        <v>46702069</v>
      </c>
      <c r="S3" s="9">
        <f t="shared" ref="S3:S18" si="9">IFERROR(SUM((T3/R3)-1),0)</f>
        <v>0</v>
      </c>
      <c r="T3" s="8">
        <f>SUM(T6,T9,T11,T13,T15)</f>
        <v>46702069</v>
      </c>
      <c r="U3" s="9">
        <f t="shared" ref="U3:U18" si="10">IFERROR(SUM((V3/T3)-1),0)</f>
        <v>0</v>
      </c>
      <c r="V3" s="8">
        <f>SUM(V6,V9,V11,V13,V15)</f>
        <v>46702069</v>
      </c>
      <c r="W3" s="9">
        <f t="shared" ref="W3:W18" si="11">IFERROR(SUM((X3/V3)-1),0)</f>
        <v>-0.06729633327</v>
      </c>
      <c r="X3" s="8">
        <f>SUM(X6,X9,X11,X13,X15)</f>
        <v>43559191</v>
      </c>
      <c r="Y3" s="10"/>
      <c r="Z3" s="10"/>
    </row>
    <row r="4">
      <c r="A4" s="1" t="s">
        <v>18</v>
      </c>
      <c r="B4" s="11">
        <v>0.035</v>
      </c>
      <c r="C4" s="12">
        <f t="shared" si="1"/>
        <v>0</v>
      </c>
      <c r="D4" s="11">
        <v>0.035</v>
      </c>
      <c r="E4" s="12">
        <f t="shared" si="2"/>
        <v>1.228571429</v>
      </c>
      <c r="F4" s="11">
        <v>0.078</v>
      </c>
      <c r="G4" s="12">
        <f t="shared" si="3"/>
        <v>0.1153846154</v>
      </c>
      <c r="H4" s="11">
        <v>0.087</v>
      </c>
      <c r="I4" s="12">
        <f t="shared" si="4"/>
        <v>-0.06896551724</v>
      </c>
      <c r="J4" s="11">
        <v>0.081</v>
      </c>
      <c r="K4" s="12">
        <f t="shared" si="5"/>
        <v>0</v>
      </c>
      <c r="L4" s="11">
        <v>0.081</v>
      </c>
      <c r="M4" s="12">
        <f t="shared" si="6"/>
        <v>-0.01234567901</v>
      </c>
      <c r="N4" s="11">
        <v>0.08</v>
      </c>
      <c r="O4" s="12">
        <f t="shared" si="7"/>
        <v>0.1</v>
      </c>
      <c r="P4" s="11">
        <v>0.088</v>
      </c>
      <c r="Q4" s="12">
        <f t="shared" si="8"/>
        <v>0</v>
      </c>
      <c r="R4" s="11">
        <v>0.088</v>
      </c>
      <c r="S4" s="12">
        <f t="shared" si="9"/>
        <v>0</v>
      </c>
      <c r="T4" s="11">
        <v>0.088</v>
      </c>
      <c r="U4" s="12">
        <f t="shared" si="10"/>
        <v>0</v>
      </c>
      <c r="V4" s="11">
        <v>0.088</v>
      </c>
      <c r="W4" s="12">
        <f t="shared" si="11"/>
        <v>-0.07954545455</v>
      </c>
      <c r="X4" s="11">
        <v>0.081</v>
      </c>
      <c r="Y4" s="13"/>
    </row>
    <row r="5">
      <c r="A5" s="1" t="s">
        <v>19</v>
      </c>
      <c r="B5" s="14">
        <f>B6/(1-B4)</f>
        <v>30990120.21</v>
      </c>
      <c r="C5" s="12">
        <f t="shared" si="1"/>
        <v>0.4186355765</v>
      </c>
      <c r="D5" s="14">
        <f>D6/(1-D4)</f>
        <v>43963687.05</v>
      </c>
      <c r="E5" s="12">
        <f t="shared" si="2"/>
        <v>0.02332003822</v>
      </c>
      <c r="F5" s="14">
        <f>F6/(1-F4)</f>
        <v>44988921.91</v>
      </c>
      <c r="G5" s="12">
        <f t="shared" si="3"/>
        <v>-0.02250936763</v>
      </c>
      <c r="H5" s="14">
        <f>H6/(1-H4)</f>
        <v>43976249.73</v>
      </c>
      <c r="I5" s="12">
        <f t="shared" si="4"/>
        <v>-0.1200035552</v>
      </c>
      <c r="J5" s="14">
        <f>J6/(1-J4)</f>
        <v>38698943.42</v>
      </c>
      <c r="K5" s="12">
        <f t="shared" si="5"/>
        <v>0.2246694434</v>
      </c>
      <c r="L5" s="14">
        <f>L6/(1-L4)</f>
        <v>47393413.49</v>
      </c>
      <c r="M5" s="12">
        <f t="shared" si="6"/>
        <v>0.0533703217</v>
      </c>
      <c r="N5" s="14">
        <f>N6/(1-N4)</f>
        <v>49922815.22</v>
      </c>
      <c r="O5" s="12">
        <f t="shared" si="7"/>
        <v>-0.06879219154</v>
      </c>
      <c r="P5" s="14">
        <f>P6/(1-P4)</f>
        <v>46488515.35</v>
      </c>
      <c r="Q5" s="12">
        <f t="shared" si="8"/>
        <v>0</v>
      </c>
      <c r="R5" s="14">
        <f>R6/(1-R4)</f>
        <v>46488515.35</v>
      </c>
      <c r="S5" s="12">
        <f t="shared" si="9"/>
        <v>0</v>
      </c>
      <c r="T5" s="14">
        <f>T6/(1-T4)</f>
        <v>46488515.35</v>
      </c>
      <c r="U5" s="12">
        <f t="shared" si="10"/>
        <v>0</v>
      </c>
      <c r="V5" s="14">
        <f>V6/(1-V4)</f>
        <v>46488515.35</v>
      </c>
      <c r="W5" s="12">
        <f t="shared" si="11"/>
        <v>-0.16755906</v>
      </c>
      <c r="X5" s="14">
        <f>X6/(1-X4)</f>
        <v>38698943.42</v>
      </c>
      <c r="Y5" s="13"/>
    </row>
    <row r="6">
      <c r="A6" s="4" t="s">
        <v>20</v>
      </c>
      <c r="B6" s="15">
        <v>2.9905466E7</v>
      </c>
      <c r="C6" s="13">
        <f t="shared" si="1"/>
        <v>0.4186355765</v>
      </c>
      <c r="D6" s="15">
        <v>4.2424958E7</v>
      </c>
      <c r="E6" s="13">
        <f t="shared" si="2"/>
        <v>-0.02227867851</v>
      </c>
      <c r="F6" s="15">
        <v>4.1479786E7</v>
      </c>
      <c r="G6" s="13">
        <f t="shared" si="3"/>
        <v>-0.03205103324</v>
      </c>
      <c r="H6" s="15">
        <v>4.0150316E7</v>
      </c>
      <c r="I6" s="13">
        <f t="shared" si="4"/>
        <v>-0.114220446</v>
      </c>
      <c r="J6" s="15">
        <v>3.5564329E7</v>
      </c>
      <c r="K6" s="13">
        <f t="shared" si="5"/>
        <v>0.2246694434</v>
      </c>
      <c r="L6" s="15">
        <v>4.3554547E7</v>
      </c>
      <c r="M6" s="13">
        <f t="shared" si="6"/>
        <v>0.05451653532</v>
      </c>
      <c r="N6" s="15">
        <v>4.592899E7</v>
      </c>
      <c r="O6" s="13">
        <f t="shared" si="7"/>
        <v>-0.07688965074</v>
      </c>
      <c r="P6" s="15">
        <v>4.2397526E7</v>
      </c>
      <c r="Q6" s="13">
        <f t="shared" si="8"/>
        <v>0</v>
      </c>
      <c r="R6" s="15">
        <v>4.2397526E7</v>
      </c>
      <c r="S6" s="13">
        <f t="shared" si="9"/>
        <v>0</v>
      </c>
      <c r="T6" s="15">
        <v>4.2397526E7</v>
      </c>
      <c r="U6" s="13">
        <f t="shared" si="10"/>
        <v>0</v>
      </c>
      <c r="V6" s="15">
        <v>4.2397526E7</v>
      </c>
      <c r="W6" s="13">
        <f t="shared" si="11"/>
        <v>-0.1611697107</v>
      </c>
      <c r="X6" s="15">
        <v>3.5564329E7</v>
      </c>
      <c r="Y6" s="13"/>
    </row>
    <row r="7">
      <c r="A7" s="16" t="s">
        <v>21</v>
      </c>
      <c r="B7" s="17">
        <f>B6/B3</f>
        <v>0.8989908643</v>
      </c>
      <c r="C7" s="18">
        <f t="shared" si="1"/>
        <v>0.08865061441</v>
      </c>
      <c r="D7" s="17">
        <f>D6/D3</f>
        <v>0.9786869568</v>
      </c>
      <c r="E7" s="18">
        <f t="shared" si="2"/>
        <v>-0.03963080429</v>
      </c>
      <c r="F7" s="17">
        <f>F6/F3</f>
        <v>0.9399008055</v>
      </c>
      <c r="G7" s="18">
        <f t="shared" si="3"/>
        <v>0.006526434399</v>
      </c>
      <c r="H7" s="17">
        <f>H6/H3</f>
        <v>0.9460350065</v>
      </c>
      <c r="I7" s="18">
        <f t="shared" si="4"/>
        <v>-0.1369665934</v>
      </c>
      <c r="J7" s="17">
        <f>J6/J3</f>
        <v>0.8164598144</v>
      </c>
      <c r="K7" s="18">
        <f t="shared" si="5"/>
        <v>-0.02023243808</v>
      </c>
      <c r="L7" s="17">
        <f>L6/L3</f>
        <v>0.7999408418</v>
      </c>
      <c r="M7" s="18">
        <f t="shared" si="6"/>
        <v>0.03564501305</v>
      </c>
      <c r="N7" s="17">
        <f>N6/N3</f>
        <v>0.8284547435</v>
      </c>
      <c r="O7" s="18">
        <f t="shared" si="7"/>
        <v>0.09581087236</v>
      </c>
      <c r="P7" s="17">
        <f>P6/P3</f>
        <v>0.9078297152</v>
      </c>
      <c r="Q7" s="18">
        <f t="shared" si="8"/>
        <v>0</v>
      </c>
      <c r="R7" s="17">
        <f>R6/R3</f>
        <v>0.9078297152</v>
      </c>
      <c r="S7" s="18">
        <f t="shared" si="9"/>
        <v>0</v>
      </c>
      <c r="T7" s="17">
        <f>T6/T3</f>
        <v>0.9078297152</v>
      </c>
      <c r="U7" s="18">
        <f t="shared" si="10"/>
        <v>0</v>
      </c>
      <c r="V7" s="17">
        <f>V6/V3</f>
        <v>0.9078297152</v>
      </c>
      <c r="W7" s="18">
        <f t="shared" si="11"/>
        <v>-0.1006465191</v>
      </c>
      <c r="X7" s="17">
        <f>X6/X3</f>
        <v>0.8164598144</v>
      </c>
      <c r="Y7" s="13"/>
    </row>
    <row r="8">
      <c r="A8" s="1" t="s">
        <v>22</v>
      </c>
      <c r="B8" s="14">
        <f>B5-B6</f>
        <v>1084654.207</v>
      </c>
      <c r="C8" s="12">
        <f t="shared" si="1"/>
        <v>0.4186355765</v>
      </c>
      <c r="D8" s="14">
        <f>D5-D6</f>
        <v>1538729.047</v>
      </c>
      <c r="E8" s="12">
        <f t="shared" si="2"/>
        <v>1.280541799</v>
      </c>
      <c r="F8" s="14">
        <f>F5-F6</f>
        <v>3509135.909</v>
      </c>
      <c r="G8" s="12">
        <f t="shared" si="3"/>
        <v>0.09027801302</v>
      </c>
      <c r="H8" s="14">
        <f>H5-H6</f>
        <v>3825933.726</v>
      </c>
      <c r="I8" s="12">
        <f t="shared" si="4"/>
        <v>-0.1806929651</v>
      </c>
      <c r="J8" s="14">
        <f>J5-J6</f>
        <v>3134614.417</v>
      </c>
      <c r="K8" s="12">
        <f t="shared" si="5"/>
        <v>0.2246694434</v>
      </c>
      <c r="L8" s="14">
        <f>L5-L6</f>
        <v>3838866.493</v>
      </c>
      <c r="M8" s="12">
        <f t="shared" si="6"/>
        <v>0.04036574982</v>
      </c>
      <c r="N8" s="14">
        <f>N5-N6</f>
        <v>3993825.217</v>
      </c>
      <c r="O8" s="12">
        <f t="shared" si="7"/>
        <v>0.02432858931</v>
      </c>
      <c r="P8" s="14">
        <f>P5-P6</f>
        <v>4090989.351</v>
      </c>
      <c r="Q8" s="12">
        <f t="shared" si="8"/>
        <v>0</v>
      </c>
      <c r="R8" s="14">
        <f>R5-R6</f>
        <v>4090989.351</v>
      </c>
      <c r="S8" s="12">
        <f t="shared" si="9"/>
        <v>0</v>
      </c>
      <c r="T8" s="14">
        <f>T5-T6</f>
        <v>4090989.351</v>
      </c>
      <c r="U8" s="12">
        <f t="shared" si="10"/>
        <v>0</v>
      </c>
      <c r="V8" s="14">
        <f>V5-V6</f>
        <v>4090989.351</v>
      </c>
      <c r="W8" s="12">
        <f t="shared" si="11"/>
        <v>-0.233775953</v>
      </c>
      <c r="X8" s="14">
        <f>X5-X6</f>
        <v>3134614.417</v>
      </c>
      <c r="Y8" s="13"/>
    </row>
    <row r="9">
      <c r="A9" s="4" t="s">
        <v>23</v>
      </c>
      <c r="B9" s="15">
        <v>2714275.0</v>
      </c>
      <c r="C9" s="13">
        <f t="shared" si="1"/>
        <v>-1</v>
      </c>
      <c r="D9" s="15">
        <v>0.0</v>
      </c>
      <c r="E9" s="13">
        <f t="shared" si="2"/>
        <v>0</v>
      </c>
      <c r="F9" s="15">
        <v>2198542.0</v>
      </c>
      <c r="G9" s="13">
        <f t="shared" si="3"/>
        <v>-0.503425452</v>
      </c>
      <c r="H9" s="15">
        <v>1091740.0</v>
      </c>
      <c r="I9" s="13">
        <f t="shared" si="4"/>
        <v>5.262470002</v>
      </c>
      <c r="J9" s="15">
        <v>6836989.0</v>
      </c>
      <c r="K9" s="13">
        <f t="shared" si="5"/>
        <v>0.2562281437</v>
      </c>
      <c r="L9" s="15">
        <v>8588818.0</v>
      </c>
      <c r="M9" s="13">
        <f t="shared" si="6"/>
        <v>-0.1494805222</v>
      </c>
      <c r="N9" s="15">
        <v>7304957.0</v>
      </c>
      <c r="O9" s="13">
        <f t="shared" si="7"/>
        <v>-0.7204090318</v>
      </c>
      <c r="P9" s="15">
        <v>2042400.0</v>
      </c>
      <c r="Q9" s="13">
        <f t="shared" si="8"/>
        <v>0</v>
      </c>
      <c r="R9" s="15">
        <v>2042400.0</v>
      </c>
      <c r="S9" s="13">
        <f t="shared" si="9"/>
        <v>0</v>
      </c>
      <c r="T9" s="15">
        <v>2042400.0</v>
      </c>
      <c r="U9" s="13">
        <f t="shared" si="10"/>
        <v>0</v>
      </c>
      <c r="V9" s="15">
        <v>2042400.0</v>
      </c>
      <c r="W9" s="13">
        <f t="shared" si="11"/>
        <v>2.347526929</v>
      </c>
      <c r="X9" s="15">
        <v>6836989.0</v>
      </c>
    </row>
    <row r="10">
      <c r="A10" s="16" t="s">
        <v>24</v>
      </c>
      <c r="B10" s="17">
        <f>B9/B3</f>
        <v>0.08159406137</v>
      </c>
      <c r="C10" s="18">
        <f t="shared" si="1"/>
        <v>-1</v>
      </c>
      <c r="D10" s="17">
        <f>D9/D3</f>
        <v>0</v>
      </c>
      <c r="E10" s="18">
        <f t="shared" si="2"/>
        <v>0</v>
      </c>
      <c r="F10" s="17">
        <f>F9/F3</f>
        <v>0.04981731094</v>
      </c>
      <c r="G10" s="18">
        <f t="shared" si="3"/>
        <v>-0.4836345444</v>
      </c>
      <c r="H10" s="17">
        <f>H9/H3</f>
        <v>0.02572393846</v>
      </c>
      <c r="I10" s="18">
        <f t="shared" si="4"/>
        <v>5.10165452</v>
      </c>
      <c r="J10" s="17">
        <f>J9/J3</f>
        <v>0.1569585854</v>
      </c>
      <c r="K10" s="18">
        <f t="shared" si="5"/>
        <v>0.005015346998</v>
      </c>
      <c r="L10" s="17">
        <f>L9/L3</f>
        <v>0.1577457872</v>
      </c>
      <c r="M10" s="18">
        <f t="shared" si="6"/>
        <v>-0.1647013336</v>
      </c>
      <c r="N10" s="17">
        <f>N9/N3</f>
        <v>0.1317648456</v>
      </c>
      <c r="O10" s="18">
        <f t="shared" si="7"/>
        <v>-0.6681016273</v>
      </c>
      <c r="P10" s="17">
        <f>P9/P3</f>
        <v>0.04373253785</v>
      </c>
      <c r="Q10" s="18">
        <f t="shared" si="8"/>
        <v>0</v>
      </c>
      <c r="R10" s="17">
        <f>R9/R3</f>
        <v>0.04373253785</v>
      </c>
      <c r="S10" s="18">
        <f t="shared" si="9"/>
        <v>0</v>
      </c>
      <c r="T10" s="17">
        <f>T9/T3</f>
        <v>0.04373253785</v>
      </c>
      <c r="U10" s="18">
        <f t="shared" si="10"/>
        <v>0</v>
      </c>
      <c r="V10" s="17">
        <f>V9/V3</f>
        <v>0.04373253785</v>
      </c>
      <c r="W10" s="18">
        <f t="shared" si="11"/>
        <v>2.589057327</v>
      </c>
      <c r="X10" s="17">
        <f>X9/X3</f>
        <v>0.1569585854</v>
      </c>
    </row>
    <row r="11">
      <c r="A11" s="4" t="s">
        <v>28</v>
      </c>
      <c r="B11" s="15">
        <v>483868.0</v>
      </c>
      <c r="C11" s="13">
        <f t="shared" si="1"/>
        <v>-0.08693279985</v>
      </c>
      <c r="D11" s="15">
        <v>441804.0</v>
      </c>
      <c r="E11" s="13">
        <f t="shared" si="2"/>
        <v>0</v>
      </c>
      <c r="F11" s="15">
        <v>441804.0</v>
      </c>
      <c r="G11" s="13">
        <f t="shared" si="3"/>
        <v>-0.2876433894</v>
      </c>
      <c r="H11" s="15">
        <v>314722.0</v>
      </c>
      <c r="I11" s="13">
        <f t="shared" si="4"/>
        <v>0</v>
      </c>
      <c r="J11" s="15">
        <v>314722.0</v>
      </c>
      <c r="K11" s="13">
        <f t="shared" si="5"/>
        <v>2.447156538</v>
      </c>
      <c r="L11" s="15">
        <v>1084896.0</v>
      </c>
      <c r="M11" s="13">
        <f t="shared" si="6"/>
        <v>-0.06110078754</v>
      </c>
      <c r="N11" s="15">
        <v>1018608.0</v>
      </c>
      <c r="O11" s="13">
        <f t="shared" si="7"/>
        <v>-0.000007853855458</v>
      </c>
      <c r="P11" s="15">
        <v>1018600.0</v>
      </c>
      <c r="Q11" s="13">
        <f t="shared" si="8"/>
        <v>0</v>
      </c>
      <c r="R11" s="15">
        <v>1018600.0</v>
      </c>
      <c r="S11" s="13">
        <f t="shared" si="9"/>
        <v>0</v>
      </c>
      <c r="T11" s="15">
        <v>1018600.0</v>
      </c>
      <c r="U11" s="13">
        <f t="shared" si="10"/>
        <v>0</v>
      </c>
      <c r="V11" s="15">
        <v>1018600.0</v>
      </c>
      <c r="W11" s="13">
        <f t="shared" si="11"/>
        <v>-0.6910249362</v>
      </c>
      <c r="X11" s="15">
        <v>314722.0</v>
      </c>
    </row>
    <row r="12">
      <c r="A12" s="16" t="s">
        <v>29</v>
      </c>
      <c r="B12" s="17">
        <f>B11/B3</f>
        <v>0.01454559884</v>
      </c>
      <c r="C12" s="18">
        <f t="shared" si="1"/>
        <v>-0.2993188773</v>
      </c>
      <c r="D12" s="17">
        <f>D11/D3</f>
        <v>0.01019182652</v>
      </c>
      <c r="E12" s="18">
        <f t="shared" si="2"/>
        <v>-0.01774751701</v>
      </c>
      <c r="F12" s="17">
        <f>F11/F3</f>
        <v>0.01001094691</v>
      </c>
      <c r="G12" s="18">
        <f t="shared" si="3"/>
        <v>-0.2592525185</v>
      </c>
      <c r="H12" s="17">
        <f>H11/H3</f>
        <v>0.007415583711</v>
      </c>
      <c r="I12" s="18">
        <f t="shared" si="4"/>
        <v>-0.02567924184</v>
      </c>
      <c r="J12" s="17">
        <f>J11/J3</f>
        <v>0.007225157143</v>
      </c>
      <c r="K12" s="18">
        <f t="shared" si="5"/>
        <v>1.757815323</v>
      </c>
      <c r="L12" s="17">
        <f>L11/L3</f>
        <v>0.01992564908</v>
      </c>
      <c r="M12" s="18">
        <f t="shared" si="6"/>
        <v>-0.07790323379</v>
      </c>
      <c r="N12" s="17">
        <f>N11/N3</f>
        <v>0.01837337658</v>
      </c>
      <c r="O12" s="18">
        <f t="shared" si="7"/>
        <v>0.1870761355</v>
      </c>
      <c r="P12" s="17">
        <f>P11/P3</f>
        <v>0.02181059687</v>
      </c>
      <c r="Q12" s="18">
        <f t="shared" si="8"/>
        <v>0</v>
      </c>
      <c r="R12" s="17">
        <f>R11/R3</f>
        <v>0.02181059687</v>
      </c>
      <c r="S12" s="18">
        <f t="shared" si="9"/>
        <v>0</v>
      </c>
      <c r="T12" s="17">
        <f>T11/T3</f>
        <v>0.02181059687</v>
      </c>
      <c r="U12" s="18">
        <f t="shared" si="10"/>
        <v>0</v>
      </c>
      <c r="V12" s="17">
        <f>V11/V3</f>
        <v>0.02181059687</v>
      </c>
      <c r="W12" s="18">
        <f t="shared" si="11"/>
        <v>-0.6687318011</v>
      </c>
      <c r="X12" s="17">
        <f>X11/X3</f>
        <v>0.007225157143</v>
      </c>
    </row>
    <row r="13">
      <c r="A13" s="4" t="s">
        <v>32</v>
      </c>
      <c r="B13" s="15">
        <v>173397.0</v>
      </c>
      <c r="C13" s="13">
        <f t="shared" si="1"/>
        <v>2.242034176</v>
      </c>
      <c r="D13" s="15">
        <v>562159.0</v>
      </c>
      <c r="E13" s="13">
        <f t="shared" si="2"/>
        <v>-0.595911477</v>
      </c>
      <c r="F13" s="15">
        <v>227162.0</v>
      </c>
      <c r="G13" s="13">
        <f t="shared" si="3"/>
        <v>2.890818007</v>
      </c>
      <c r="H13" s="15">
        <v>883846.0</v>
      </c>
      <c r="I13" s="13">
        <f t="shared" si="4"/>
        <v>0.1466194337</v>
      </c>
      <c r="J13" s="15">
        <v>1013435.0</v>
      </c>
      <c r="K13" s="13">
        <f t="shared" si="5"/>
        <v>0.2481293818</v>
      </c>
      <c r="L13" s="15">
        <v>1264898.0</v>
      </c>
      <c r="M13" s="13">
        <f t="shared" si="6"/>
        <v>-0.06174885248</v>
      </c>
      <c r="N13" s="15">
        <v>1186792.0</v>
      </c>
      <c r="O13" s="13">
        <f t="shared" si="7"/>
        <v>0.04781882588</v>
      </c>
      <c r="P13" s="15">
        <v>1243543.0</v>
      </c>
      <c r="Q13" s="13">
        <f t="shared" si="8"/>
        <v>0</v>
      </c>
      <c r="R13" s="15">
        <v>1243543.0</v>
      </c>
      <c r="S13" s="13">
        <f t="shared" si="9"/>
        <v>0</v>
      </c>
      <c r="T13" s="15">
        <v>1243543.0</v>
      </c>
      <c r="U13" s="13">
        <f t="shared" si="10"/>
        <v>0</v>
      </c>
      <c r="V13" s="15">
        <v>1243543.0</v>
      </c>
      <c r="W13" s="13">
        <f t="shared" si="11"/>
        <v>-0.1850422543</v>
      </c>
      <c r="X13" s="15">
        <v>1013435.0</v>
      </c>
    </row>
    <row r="14">
      <c r="A14" s="16" t="s">
        <v>34</v>
      </c>
      <c r="B14" s="17">
        <f>B13/B3</f>
        <v>0.005212502587</v>
      </c>
      <c r="C14" s="18">
        <f t="shared" si="1"/>
        <v>1.487913426</v>
      </c>
      <c r="D14" s="17">
        <f>D13/D3</f>
        <v>0.01296825517</v>
      </c>
      <c r="E14" s="18">
        <f t="shared" si="2"/>
        <v>-0.6030830449</v>
      </c>
      <c r="F14" s="17">
        <f>F13/F3</f>
        <v>0.005147320355</v>
      </c>
      <c r="G14" s="18">
        <f t="shared" si="3"/>
        <v>3.045886002</v>
      </c>
      <c r="H14" s="17">
        <f>H13/H3</f>
        <v>0.02082547137</v>
      </c>
      <c r="I14" s="18">
        <f t="shared" si="4"/>
        <v>0.117175116</v>
      </c>
      <c r="J14" s="17">
        <f>J13/J3</f>
        <v>0.02326569839</v>
      </c>
      <c r="K14" s="18">
        <f t="shared" si="5"/>
        <v>-0.001463874226</v>
      </c>
      <c r="L14" s="17">
        <f>L13/L3</f>
        <v>0.02323164034</v>
      </c>
      <c r="M14" s="18">
        <f t="shared" si="6"/>
        <v>-0.07853970102</v>
      </c>
      <c r="N14" s="17">
        <f>N13/N3</f>
        <v>0.02140703425</v>
      </c>
      <c r="O14" s="18">
        <f t="shared" si="7"/>
        <v>0.2438504915</v>
      </c>
      <c r="P14" s="17">
        <f>P13/P3</f>
        <v>0.02662715007</v>
      </c>
      <c r="Q14" s="18">
        <f t="shared" si="8"/>
        <v>0</v>
      </c>
      <c r="R14" s="17">
        <f>R13/R3</f>
        <v>0.02662715007</v>
      </c>
      <c r="S14" s="18">
        <f t="shared" si="9"/>
        <v>0</v>
      </c>
      <c r="T14" s="17">
        <f>T13/T3</f>
        <v>0.02662715007</v>
      </c>
      <c r="U14" s="18">
        <f t="shared" si="10"/>
        <v>0</v>
      </c>
      <c r="V14" s="17">
        <f>V13/V3</f>
        <v>0.02662715007</v>
      </c>
      <c r="W14" s="18">
        <f t="shared" si="11"/>
        <v>-0.1262415118</v>
      </c>
      <c r="X14" s="17">
        <f>X13/X3</f>
        <v>0.02326569839</v>
      </c>
    </row>
    <row r="15">
      <c r="A15" s="4" t="s">
        <v>38</v>
      </c>
      <c r="B15" s="15">
        <v>-11411.0</v>
      </c>
      <c r="C15" s="13">
        <f t="shared" si="1"/>
        <v>6.0166506</v>
      </c>
      <c r="D15" s="15">
        <v>-80067.0</v>
      </c>
      <c r="E15" s="13">
        <f t="shared" si="2"/>
        <v>1.687811458</v>
      </c>
      <c r="F15" s="15">
        <v>-215205.0</v>
      </c>
      <c r="G15" s="13">
        <f t="shared" si="3"/>
        <v>-1</v>
      </c>
      <c r="H15" s="15">
        <v>0.0</v>
      </c>
      <c r="I15" s="13">
        <f t="shared" si="4"/>
        <v>0</v>
      </c>
      <c r="J15" s="15">
        <v>-170284.0</v>
      </c>
      <c r="K15" s="13">
        <f t="shared" si="5"/>
        <v>-0.730162552</v>
      </c>
      <c r="L15" s="15">
        <v>-45949.0</v>
      </c>
      <c r="M15" s="13">
        <f t="shared" si="6"/>
        <v>-1</v>
      </c>
      <c r="N15" s="15">
        <v>0.0</v>
      </c>
      <c r="O15" s="13">
        <f t="shared" si="7"/>
        <v>0</v>
      </c>
      <c r="P15" s="15">
        <v>0.0</v>
      </c>
      <c r="Q15" s="13">
        <f t="shared" si="8"/>
        <v>0</v>
      </c>
      <c r="R15" s="15">
        <v>0.0</v>
      </c>
      <c r="S15" s="13">
        <f t="shared" si="9"/>
        <v>0</v>
      </c>
      <c r="T15" s="15">
        <v>0.0</v>
      </c>
      <c r="U15" s="13">
        <f t="shared" si="10"/>
        <v>0</v>
      </c>
      <c r="V15" s="15">
        <v>0.0</v>
      </c>
      <c r="W15" s="13">
        <f t="shared" si="11"/>
        <v>0</v>
      </c>
      <c r="X15" s="15">
        <v>-170284.0</v>
      </c>
    </row>
    <row r="16">
      <c r="A16" s="16" t="s">
        <v>40</v>
      </c>
      <c r="B16" s="17">
        <f>B15/B3</f>
        <v>-0.0003430270825</v>
      </c>
      <c r="C16" s="18">
        <f t="shared" si="1"/>
        <v>4.384526593</v>
      </c>
      <c r="D16" s="17">
        <f>D15/D3</f>
        <v>-0.001847038448</v>
      </c>
      <c r="E16" s="18">
        <f t="shared" si="2"/>
        <v>1.640109478</v>
      </c>
      <c r="F16" s="17">
        <f>F15/F3</f>
        <v>-0.004876383713</v>
      </c>
      <c r="G16" s="18">
        <f t="shared" si="3"/>
        <v>-1</v>
      </c>
      <c r="H16" s="17">
        <f>H15/H3</f>
        <v>0</v>
      </c>
      <c r="I16" s="18">
        <f t="shared" si="4"/>
        <v>0</v>
      </c>
      <c r="J16" s="17">
        <f>J15/J3</f>
        <v>-0.003909255339</v>
      </c>
      <c r="K16" s="18">
        <f t="shared" si="5"/>
        <v>-0.7841229893</v>
      </c>
      <c r="L16" s="17">
        <f>L15/L3</f>
        <v>-0.0008439183569</v>
      </c>
      <c r="M16" s="18">
        <f t="shared" si="6"/>
        <v>-1</v>
      </c>
      <c r="N16" s="17">
        <f>N15/N3</f>
        <v>0</v>
      </c>
      <c r="O16" s="18">
        <f t="shared" si="7"/>
        <v>0</v>
      </c>
      <c r="P16" s="17">
        <f>P15/P3</f>
        <v>0</v>
      </c>
      <c r="Q16" s="18">
        <f t="shared" si="8"/>
        <v>0</v>
      </c>
      <c r="R16" s="17">
        <f>R15/R3</f>
        <v>0</v>
      </c>
      <c r="S16" s="18">
        <f t="shared" si="9"/>
        <v>0</v>
      </c>
      <c r="T16" s="17">
        <f>T15/T3</f>
        <v>0</v>
      </c>
      <c r="U16" s="18">
        <f t="shared" si="10"/>
        <v>0</v>
      </c>
      <c r="V16" s="17">
        <f>V15/V3</f>
        <v>0</v>
      </c>
      <c r="W16" s="18">
        <f t="shared" si="11"/>
        <v>0</v>
      </c>
      <c r="X16" s="17">
        <f>X15/X3</f>
        <v>-0.003909255339</v>
      </c>
    </row>
    <row r="17">
      <c r="A17" s="1" t="s">
        <v>36</v>
      </c>
      <c r="B17" s="24">
        <f>B9</f>
        <v>2714275</v>
      </c>
      <c r="C17" s="13">
        <f t="shared" si="1"/>
        <v>-1</v>
      </c>
      <c r="D17" s="24">
        <f>D9</f>
        <v>0</v>
      </c>
      <c r="E17" s="13">
        <f t="shared" si="2"/>
        <v>0</v>
      </c>
      <c r="F17" s="24">
        <f>F9</f>
        <v>2198542</v>
      </c>
      <c r="G17" s="13">
        <f t="shared" si="3"/>
        <v>-0.503425452</v>
      </c>
      <c r="H17" s="24">
        <f>H9</f>
        <v>1091740</v>
      </c>
      <c r="I17" s="13">
        <f t="shared" si="4"/>
        <v>5.262470002</v>
      </c>
      <c r="J17" s="24">
        <f>J9</f>
        <v>6836989</v>
      </c>
      <c r="K17" s="13">
        <f t="shared" si="5"/>
        <v>0.2562281437</v>
      </c>
      <c r="L17" s="24">
        <f>L9</f>
        <v>8588818</v>
      </c>
      <c r="M17" s="13">
        <f t="shared" si="6"/>
        <v>-0.1494805222</v>
      </c>
      <c r="N17" s="24">
        <f>N9</f>
        <v>7304957</v>
      </c>
      <c r="O17" s="13">
        <f t="shared" si="7"/>
        <v>-0.7204090318</v>
      </c>
      <c r="P17" s="24">
        <f>P9</f>
        <v>2042400</v>
      </c>
      <c r="Q17" s="13">
        <f t="shared" si="8"/>
        <v>0</v>
      </c>
      <c r="R17" s="24">
        <f>R9</f>
        <v>2042400</v>
      </c>
      <c r="S17" s="13">
        <f t="shared" si="9"/>
        <v>0</v>
      </c>
      <c r="T17" s="24">
        <f>T9</f>
        <v>2042400</v>
      </c>
      <c r="U17" s="13">
        <f t="shared" si="10"/>
        <v>0</v>
      </c>
      <c r="V17" s="24">
        <f>V9</f>
        <v>2042400</v>
      </c>
      <c r="W17" s="13">
        <f t="shared" si="11"/>
        <v>2.347526929</v>
      </c>
      <c r="X17" s="24">
        <f>X9</f>
        <v>6836989</v>
      </c>
    </row>
    <row r="18">
      <c r="A18" s="28" t="s">
        <v>39</v>
      </c>
      <c r="B18" s="24">
        <f>B3-ABS(B17)</f>
        <v>30551320</v>
      </c>
      <c r="C18" s="13">
        <f t="shared" si="1"/>
        <v>0.4188864507</v>
      </c>
      <c r="D18" s="24">
        <f>D3-ABS(D17)</f>
        <v>43348854</v>
      </c>
      <c r="E18" s="13">
        <f t="shared" si="2"/>
        <v>-0.03264923682</v>
      </c>
      <c r="F18" s="24">
        <f>F3-ABS(F17)</f>
        <v>41933547</v>
      </c>
      <c r="G18" s="13">
        <f t="shared" si="3"/>
        <v>-0.01394260781</v>
      </c>
      <c r="H18" s="24">
        <f>H3-ABS(H17)</f>
        <v>41348884</v>
      </c>
      <c r="I18" s="13">
        <f t="shared" si="4"/>
        <v>-0.1118937575</v>
      </c>
      <c r="J18" s="24">
        <f>J3-ABS(J17)</f>
        <v>36722202</v>
      </c>
      <c r="K18" s="13">
        <f t="shared" si="5"/>
        <v>0.2487919978</v>
      </c>
      <c r="L18" s="24">
        <f>L3-ABS(L17)</f>
        <v>45858392</v>
      </c>
      <c r="M18" s="13">
        <f t="shared" si="6"/>
        <v>0.0496310032</v>
      </c>
      <c r="N18" s="24">
        <f>N3-ABS(N17)</f>
        <v>48134390</v>
      </c>
      <c r="O18" s="13">
        <f t="shared" si="7"/>
        <v>-0.07218790973</v>
      </c>
      <c r="P18" s="24">
        <f>P3-ABS(P17)</f>
        <v>44659669</v>
      </c>
      <c r="Q18" s="13">
        <f t="shared" si="8"/>
        <v>0</v>
      </c>
      <c r="R18" s="24">
        <f>R3-ABS(R17)</f>
        <v>44659669</v>
      </c>
      <c r="S18" s="13">
        <f t="shared" si="9"/>
        <v>0</v>
      </c>
      <c r="T18" s="24">
        <f>T3-ABS(T17)</f>
        <v>44659669</v>
      </c>
      <c r="U18" s="13">
        <f t="shared" si="10"/>
        <v>0</v>
      </c>
      <c r="V18" s="24">
        <f>V3-ABS(V17)</f>
        <v>44659669</v>
      </c>
      <c r="W18" s="13">
        <f t="shared" si="11"/>
        <v>-0.1777323294</v>
      </c>
      <c r="X18" s="24">
        <f>X3-ABS(X17)</f>
        <v>36722202</v>
      </c>
    </row>
    <row r="20">
      <c r="A20" s="25" t="s">
        <v>44</v>
      </c>
      <c r="B20" s="26">
        <f>SUM(B21,B22,B24,B26,B27)</f>
        <v>5990003</v>
      </c>
      <c r="C20" s="27">
        <f t="shared" ref="C20:C41" si="12">IFERROR(SUM((D20/B20)-1),0)</f>
        <v>0.3197384041</v>
      </c>
      <c r="D20" s="26">
        <f>SUM(D21,D22,D24,D26,D27)</f>
        <v>7905237</v>
      </c>
      <c r="E20" s="27">
        <f t="shared" ref="E20:E41" si="13">IFERROR(SUM((F20/D20)-1),0)</f>
        <v>0.27478531</v>
      </c>
      <c r="F20" s="26">
        <f>SUM(F21,F22,F24,F26,F27)</f>
        <v>10077480</v>
      </c>
      <c r="G20" s="27">
        <f t="shared" ref="G20:G41" si="14">IFERROR(SUM((H20/F20)-1),0)</f>
        <v>-0.08512346341</v>
      </c>
      <c r="H20" s="26">
        <f>SUM(H21,H22,H24,H26,H27)</f>
        <v>9219650</v>
      </c>
      <c r="I20" s="27">
        <f t="shared" ref="I20:I41" si="15">IFERROR(SUM((J20/H20)-1),0)</f>
        <v>-0.01569560667</v>
      </c>
      <c r="J20" s="26">
        <f>SUM(J21,J22,J24,J26,J27)</f>
        <v>9074942</v>
      </c>
      <c r="K20" s="27">
        <f t="shared" ref="K20:K41" si="16">IFERROR(SUM((L20/J20)-1),0)</f>
        <v>0.04518056424</v>
      </c>
      <c r="L20" s="26">
        <f>SUM(L21,L22,L24,L26,L27)</f>
        <v>9484953</v>
      </c>
      <c r="M20" s="27">
        <f t="shared" ref="M20:M41" si="17">IFERROR(SUM((N20/L20)-1),0)</f>
        <v>0.09805594187</v>
      </c>
      <c r="N20" s="26">
        <f>SUM(N21,N22,N24,N26,N27)</f>
        <v>10415009</v>
      </c>
      <c r="O20" s="27">
        <f t="shared" ref="O20:O41" si="18">IFERROR(SUM((P20/N20)-1),0)</f>
        <v>-0.05032717687</v>
      </c>
      <c r="P20" s="26">
        <f>SUM(P21,P22,P24,P26,P27)</f>
        <v>9890851</v>
      </c>
      <c r="Q20" s="27">
        <f t="shared" ref="Q20:Q41" si="19">IFERROR(SUM((R20/P20)-1),0)</f>
        <v>0</v>
      </c>
      <c r="R20" s="26">
        <f>SUM(R21,R22,R24,R26,R27)</f>
        <v>9890851</v>
      </c>
      <c r="S20" s="27">
        <f t="shared" ref="S20:S41" si="20">IFERROR(SUM((T20/R20)-1),0)</f>
        <v>0</v>
      </c>
      <c r="T20" s="26">
        <f>SUM(T21,T22,T24,T26,T27)</f>
        <v>9890851</v>
      </c>
      <c r="U20" s="27">
        <f t="shared" ref="U20:U41" si="21">IFERROR(SUM((V20/T20)-1),0)</f>
        <v>0</v>
      </c>
      <c r="V20" s="26">
        <f>SUM(V21,V22,V24,V26,V27)</f>
        <v>9890851</v>
      </c>
      <c r="W20" s="27">
        <f t="shared" ref="W20:W41" si="22">IFERROR(SUM((X20/V20)-1),0)</f>
        <v>-0.08249128412</v>
      </c>
      <c r="X20" s="26">
        <f>SUM(X21,X22,X24,X26,X27)</f>
        <v>9074942</v>
      </c>
    </row>
    <row r="21">
      <c r="A21" s="4" t="s">
        <v>48</v>
      </c>
      <c r="B21" s="15">
        <v>582083.0</v>
      </c>
      <c r="C21" s="13">
        <f t="shared" si="12"/>
        <v>0.5873595346</v>
      </c>
      <c r="D21" s="15">
        <v>923975.0</v>
      </c>
      <c r="E21" s="13">
        <f t="shared" si="13"/>
        <v>0.1435904651</v>
      </c>
      <c r="F21" s="15">
        <v>1056649.0</v>
      </c>
      <c r="G21" s="13">
        <f t="shared" si="14"/>
        <v>0.2627201654</v>
      </c>
      <c r="H21" s="15">
        <v>1334252.0</v>
      </c>
      <c r="I21" s="13">
        <f t="shared" si="15"/>
        <v>-0.5291114422</v>
      </c>
      <c r="J21" s="15">
        <v>628284.0</v>
      </c>
      <c r="K21" s="13">
        <f t="shared" si="16"/>
        <v>0.6441099885</v>
      </c>
      <c r="L21" s="15">
        <v>1032968.0</v>
      </c>
      <c r="M21" s="13">
        <f t="shared" si="17"/>
        <v>0.2156359151</v>
      </c>
      <c r="N21" s="15">
        <v>1255713.0</v>
      </c>
      <c r="O21" s="13">
        <f t="shared" si="18"/>
        <v>-0.09774924684</v>
      </c>
      <c r="P21" s="15">
        <v>1132968.0</v>
      </c>
      <c r="Q21" s="13">
        <f t="shared" si="19"/>
        <v>0</v>
      </c>
      <c r="R21" s="15">
        <v>1132968.0</v>
      </c>
      <c r="S21" s="13">
        <f t="shared" si="20"/>
        <v>0</v>
      </c>
      <c r="T21" s="15">
        <v>1132968.0</v>
      </c>
      <c r="U21" s="13">
        <f t="shared" si="21"/>
        <v>0</v>
      </c>
      <c r="V21" s="15">
        <v>1132968.0</v>
      </c>
      <c r="W21" s="13">
        <f t="shared" si="22"/>
        <v>-0.4454530049</v>
      </c>
      <c r="X21" s="15">
        <v>628284.0</v>
      </c>
    </row>
    <row r="22">
      <c r="A22" s="25" t="s">
        <v>49</v>
      </c>
      <c r="B22" s="15">
        <v>3408585.0</v>
      </c>
      <c r="C22" s="13">
        <f t="shared" si="12"/>
        <v>0.269863301</v>
      </c>
      <c r="D22" s="15">
        <v>4328437.0</v>
      </c>
      <c r="E22" s="13">
        <f t="shared" si="13"/>
        <v>0.441042575</v>
      </c>
      <c r="F22" s="15">
        <v>6237462.0</v>
      </c>
      <c r="G22" s="13">
        <f t="shared" si="14"/>
        <v>-0.1187303426</v>
      </c>
      <c r="H22" s="15">
        <v>5496886.0</v>
      </c>
      <c r="I22" s="13">
        <f t="shared" si="15"/>
        <v>0.002716629015</v>
      </c>
      <c r="J22" s="15">
        <v>5511819.0</v>
      </c>
      <c r="K22" s="13">
        <f t="shared" si="16"/>
        <v>-0.01471347299</v>
      </c>
      <c r="L22" s="15">
        <v>5430721.0</v>
      </c>
      <c r="M22" s="13">
        <f t="shared" si="17"/>
        <v>0.08930195457</v>
      </c>
      <c r="N22" s="15">
        <v>5915695.0</v>
      </c>
      <c r="O22" s="13">
        <f t="shared" si="18"/>
        <v>-0.05741337239</v>
      </c>
      <c r="P22" s="15">
        <v>5576055.0</v>
      </c>
      <c r="Q22" s="13">
        <f t="shared" si="19"/>
        <v>0</v>
      </c>
      <c r="R22" s="15">
        <v>5576055.0</v>
      </c>
      <c r="S22" s="13">
        <f t="shared" si="20"/>
        <v>0</v>
      </c>
      <c r="T22" s="15">
        <v>5576055.0</v>
      </c>
      <c r="U22" s="13">
        <f t="shared" si="21"/>
        <v>0</v>
      </c>
      <c r="V22" s="15">
        <v>5576055.0</v>
      </c>
      <c r="W22" s="13">
        <f t="shared" si="22"/>
        <v>-0.01151997245</v>
      </c>
      <c r="X22" s="15">
        <v>5511819.0</v>
      </c>
    </row>
    <row r="23">
      <c r="A23" s="1" t="s">
        <v>50</v>
      </c>
      <c r="B23" s="30">
        <f>B22/B3</f>
        <v>0.1024657758</v>
      </c>
      <c r="C23" s="31">
        <f t="shared" si="12"/>
        <v>-0.02551614679</v>
      </c>
      <c r="D23" s="30">
        <f>D22/D3</f>
        <v>0.09985124405</v>
      </c>
      <c r="E23" s="31">
        <f t="shared" si="13"/>
        <v>0.4154676473</v>
      </c>
      <c r="F23" s="30">
        <f>F22/F3</f>
        <v>0.1413362055</v>
      </c>
      <c r="G23" s="31">
        <f t="shared" si="14"/>
        <v>-0.0836074664</v>
      </c>
      <c r="H23" s="30">
        <f>H22/H3</f>
        <v>0.1295194434</v>
      </c>
      <c r="I23" s="31">
        <f t="shared" si="15"/>
        <v>-0.0230323738</v>
      </c>
      <c r="J23" s="30">
        <f>J22/J3</f>
        <v>0.1265363032</v>
      </c>
      <c r="K23" s="31">
        <f t="shared" si="16"/>
        <v>-0.2117450275</v>
      </c>
      <c r="L23" s="30">
        <f>L22/L3</f>
        <v>0.0997428702</v>
      </c>
      <c r="M23" s="31">
        <f t="shared" si="17"/>
        <v>0.06980791591</v>
      </c>
      <c r="N23" s="30">
        <f>N22/N3</f>
        <v>0.1067057121</v>
      </c>
      <c r="O23" s="31">
        <f t="shared" si="18"/>
        <v>0.1189308792</v>
      </c>
      <c r="P23" s="30">
        <f>P22/P3</f>
        <v>0.1193963163</v>
      </c>
      <c r="Q23" s="31">
        <f t="shared" si="19"/>
        <v>0</v>
      </c>
      <c r="R23" s="30">
        <f>R22/R3</f>
        <v>0.1193963163</v>
      </c>
      <c r="S23" s="31">
        <f t="shared" si="20"/>
        <v>0</v>
      </c>
      <c r="T23" s="30">
        <f>T22/T3</f>
        <v>0.1193963163</v>
      </c>
      <c r="U23" s="31">
        <f t="shared" si="21"/>
        <v>0</v>
      </c>
      <c r="V23" s="30">
        <f>V22/V3</f>
        <v>0.1193963163</v>
      </c>
      <c r="W23" s="31">
        <f t="shared" si="22"/>
        <v>0.05980073073</v>
      </c>
      <c r="X23" s="30">
        <f>X22/X3</f>
        <v>0.1265363032</v>
      </c>
    </row>
    <row r="24">
      <c r="A24" s="4" t="s">
        <v>51</v>
      </c>
      <c r="B24" s="15">
        <v>1999335.0</v>
      </c>
      <c r="C24" s="13">
        <f t="shared" si="12"/>
        <v>0.3268536788</v>
      </c>
      <c r="D24" s="15">
        <v>2652825.0</v>
      </c>
      <c r="E24" s="13">
        <f t="shared" si="13"/>
        <v>0.04920942769</v>
      </c>
      <c r="F24" s="15">
        <v>2783369.0</v>
      </c>
      <c r="G24" s="13">
        <f t="shared" si="14"/>
        <v>-0.1418629725</v>
      </c>
      <c r="H24" s="15">
        <v>2388512.0</v>
      </c>
      <c r="I24" s="13">
        <f t="shared" si="15"/>
        <v>0.2287311096</v>
      </c>
      <c r="J24" s="15">
        <v>2934839.0</v>
      </c>
      <c r="K24" s="13">
        <f t="shared" si="16"/>
        <v>0.02944795268</v>
      </c>
      <c r="L24" s="15">
        <v>3021264.0</v>
      </c>
      <c r="M24" s="13">
        <f t="shared" si="17"/>
        <v>0.07359072229</v>
      </c>
      <c r="N24" s="15">
        <v>3243601.0</v>
      </c>
      <c r="O24" s="13">
        <f t="shared" si="18"/>
        <v>-0.01904457422</v>
      </c>
      <c r="P24" s="15">
        <v>3181828.0</v>
      </c>
      <c r="Q24" s="13">
        <f t="shared" si="19"/>
        <v>0</v>
      </c>
      <c r="R24" s="15">
        <v>3181828.0</v>
      </c>
      <c r="S24" s="13">
        <f t="shared" si="20"/>
        <v>0</v>
      </c>
      <c r="T24" s="15">
        <v>3181828.0</v>
      </c>
      <c r="U24" s="13">
        <f t="shared" si="21"/>
        <v>0</v>
      </c>
      <c r="V24" s="15">
        <v>3181828.0</v>
      </c>
      <c r="W24" s="13">
        <f t="shared" si="22"/>
        <v>-0.07762487476</v>
      </c>
      <c r="X24" s="15">
        <v>2934839.0</v>
      </c>
    </row>
    <row r="25">
      <c r="A25" s="1" t="s">
        <v>52</v>
      </c>
      <c r="B25" s="30">
        <f>B24/B3</f>
        <v>0.06010218666</v>
      </c>
      <c r="C25" s="31">
        <f t="shared" si="12"/>
        <v>0.01821785427</v>
      </c>
      <c r="D25" s="30">
        <f>D24/D3</f>
        <v>0.06119711954</v>
      </c>
      <c r="E25" s="31">
        <f t="shared" si="13"/>
        <v>0.03058856553</v>
      </c>
      <c r="F25" s="30">
        <f>F24/F3</f>
        <v>0.06306905164</v>
      </c>
      <c r="G25" s="31">
        <f t="shared" si="14"/>
        <v>-0.107662044</v>
      </c>
      <c r="H25" s="30">
        <f>H24/H3</f>
        <v>0.05627890862</v>
      </c>
      <c r="I25" s="31">
        <f t="shared" si="15"/>
        <v>0.1971782263</v>
      </c>
      <c r="J25" s="30">
        <f>J24/J3</f>
        <v>0.067375884</v>
      </c>
      <c r="K25" s="31">
        <f t="shared" si="16"/>
        <v>-0.1764147328</v>
      </c>
      <c r="L25" s="30">
        <f>L24/L3</f>
        <v>0.05548978543</v>
      </c>
      <c r="M25" s="31">
        <f t="shared" si="17"/>
        <v>0.05437785028</v>
      </c>
      <c r="N25" s="30">
        <f>N24/N3</f>
        <v>0.05850720067</v>
      </c>
      <c r="O25" s="31">
        <f t="shared" si="18"/>
        <v>0.1644779215</v>
      </c>
      <c r="P25" s="30">
        <f>P24/P3</f>
        <v>0.06813034343</v>
      </c>
      <c r="Q25" s="31">
        <f t="shared" si="19"/>
        <v>0</v>
      </c>
      <c r="R25" s="30">
        <f>R24/R3</f>
        <v>0.06813034343</v>
      </c>
      <c r="S25" s="31">
        <f t="shared" si="20"/>
        <v>0</v>
      </c>
      <c r="T25" s="30">
        <f>T24/T3</f>
        <v>0.06813034343</v>
      </c>
      <c r="U25" s="31">
        <f t="shared" si="21"/>
        <v>0</v>
      </c>
      <c r="V25" s="30">
        <f>V24/V3</f>
        <v>0.06813034343</v>
      </c>
      <c r="W25" s="31">
        <f t="shared" si="22"/>
        <v>-0.01107376528</v>
      </c>
      <c r="X25" s="30">
        <f>X24/X3</f>
        <v>0.067375884</v>
      </c>
    </row>
    <row r="26">
      <c r="A26" s="4" t="s">
        <v>55</v>
      </c>
      <c r="B26" s="15">
        <v>0.0</v>
      </c>
      <c r="C26" s="13">
        <f t="shared" si="12"/>
        <v>0</v>
      </c>
      <c r="D26" s="15">
        <v>0.0</v>
      </c>
      <c r="E26" s="13">
        <f t="shared" si="13"/>
        <v>0</v>
      </c>
      <c r="F26" s="15">
        <v>0.0</v>
      </c>
      <c r="G26" s="13">
        <f t="shared" si="14"/>
        <v>0</v>
      </c>
      <c r="H26" s="15">
        <v>0.0</v>
      </c>
      <c r="I26" s="13">
        <f t="shared" si="15"/>
        <v>0</v>
      </c>
      <c r="J26" s="15">
        <v>0.0</v>
      </c>
      <c r="K26" s="13">
        <f t="shared" si="16"/>
        <v>0</v>
      </c>
      <c r="L26" s="15">
        <v>0.0</v>
      </c>
      <c r="M26" s="13">
        <f t="shared" si="17"/>
        <v>0</v>
      </c>
      <c r="N26" s="15">
        <v>0.0</v>
      </c>
      <c r="O26" s="13">
        <f t="shared" si="18"/>
        <v>0</v>
      </c>
      <c r="P26" s="15">
        <v>0.0</v>
      </c>
      <c r="Q26" s="13">
        <f t="shared" si="19"/>
        <v>0</v>
      </c>
      <c r="R26" s="15">
        <v>0.0</v>
      </c>
      <c r="S26" s="13">
        <f t="shared" si="20"/>
        <v>0</v>
      </c>
      <c r="T26" s="15">
        <v>0.0</v>
      </c>
      <c r="U26" s="13">
        <f t="shared" si="21"/>
        <v>0</v>
      </c>
      <c r="V26" s="15">
        <v>0.0</v>
      </c>
      <c r="W26" s="13">
        <f t="shared" si="22"/>
        <v>0</v>
      </c>
      <c r="X26" s="15">
        <v>0.0</v>
      </c>
    </row>
    <row r="27">
      <c r="A27" s="4" t="s">
        <v>53</v>
      </c>
      <c r="B27" s="15">
        <v>0.0</v>
      </c>
      <c r="C27" s="13">
        <f t="shared" si="12"/>
        <v>0</v>
      </c>
      <c r="D27" s="15">
        <v>0.0</v>
      </c>
      <c r="E27" s="13">
        <f t="shared" si="13"/>
        <v>0</v>
      </c>
      <c r="F27" s="15">
        <v>0.0</v>
      </c>
      <c r="G27" s="13">
        <f t="shared" si="14"/>
        <v>0</v>
      </c>
      <c r="H27" s="15">
        <v>0.0</v>
      </c>
      <c r="I27" s="13">
        <f t="shared" si="15"/>
        <v>0</v>
      </c>
      <c r="J27" s="15">
        <v>0.0</v>
      </c>
      <c r="K27" s="13">
        <f t="shared" si="16"/>
        <v>0</v>
      </c>
      <c r="L27" s="15">
        <v>0.0</v>
      </c>
      <c r="M27" s="13">
        <f t="shared" si="17"/>
        <v>0</v>
      </c>
      <c r="N27" s="15">
        <v>0.0</v>
      </c>
      <c r="O27" s="13">
        <f t="shared" si="18"/>
        <v>0</v>
      </c>
      <c r="P27" s="15">
        <v>0.0</v>
      </c>
      <c r="Q27" s="13">
        <f t="shared" si="19"/>
        <v>0</v>
      </c>
      <c r="R27" s="15">
        <v>0.0</v>
      </c>
      <c r="S27" s="13">
        <f t="shared" si="20"/>
        <v>0</v>
      </c>
      <c r="T27" s="15">
        <v>0.0</v>
      </c>
      <c r="U27" s="13">
        <f t="shared" si="21"/>
        <v>0</v>
      </c>
      <c r="V27" s="15">
        <v>0.0</v>
      </c>
      <c r="W27" s="13">
        <f t="shared" si="22"/>
        <v>0</v>
      </c>
      <c r="X27" s="15">
        <v>0.0</v>
      </c>
    </row>
    <row r="28">
      <c r="A28" s="1" t="s">
        <v>54</v>
      </c>
      <c r="B28" s="30">
        <f>B20/B3</f>
        <v>0.1800660111</v>
      </c>
      <c r="C28" s="31">
        <f t="shared" si="12"/>
        <v>0.01275764425</v>
      </c>
      <c r="D28" s="30">
        <f>D20/D3</f>
        <v>0.1823632293</v>
      </c>
      <c r="E28" s="31">
        <f t="shared" si="13"/>
        <v>0.2521610361</v>
      </c>
      <c r="F28" s="30">
        <f>F20/F3</f>
        <v>0.2283481301</v>
      </c>
      <c r="G28" s="31">
        <f t="shared" si="14"/>
        <v>-0.04866118988</v>
      </c>
      <c r="H28" s="30">
        <f>H20/H3</f>
        <v>0.2172364384</v>
      </c>
      <c r="I28" s="31">
        <f t="shared" si="15"/>
        <v>-0.04097179723</v>
      </c>
      <c r="J28" s="30">
        <f>J20/J3</f>
        <v>0.2083358711</v>
      </c>
      <c r="K28" s="31">
        <f t="shared" si="16"/>
        <v>-0.1638282324</v>
      </c>
      <c r="L28" s="30">
        <f>L20/L3</f>
        <v>0.1742045736</v>
      </c>
      <c r="M28" s="31">
        <f t="shared" si="17"/>
        <v>0.07840524274</v>
      </c>
      <c r="N28" s="30">
        <f>N20/N3</f>
        <v>0.1878631254</v>
      </c>
      <c r="O28" s="31">
        <f t="shared" si="18"/>
        <v>0.1273427988</v>
      </c>
      <c r="P28" s="30">
        <f>P20/P3</f>
        <v>0.2117861416</v>
      </c>
      <c r="Q28" s="31">
        <f t="shared" si="19"/>
        <v>0</v>
      </c>
      <c r="R28" s="30">
        <f>R20/R3</f>
        <v>0.2117861416</v>
      </c>
      <c r="S28" s="31">
        <f t="shared" si="20"/>
        <v>0</v>
      </c>
      <c r="T28" s="30">
        <f>T20/T3</f>
        <v>0.2117861416</v>
      </c>
      <c r="U28" s="31">
        <f t="shared" si="21"/>
        <v>0</v>
      </c>
      <c r="V28" s="30">
        <f>V20/V3</f>
        <v>0.2117861416</v>
      </c>
      <c r="W28" s="31">
        <f t="shared" si="22"/>
        <v>-0.01629129528</v>
      </c>
      <c r="X28" s="30">
        <f>X20/X3</f>
        <v>0.2083358711</v>
      </c>
    </row>
    <row r="29">
      <c r="A29" s="36" t="s">
        <v>56</v>
      </c>
      <c r="B29" s="37">
        <f>B30/$B$3</f>
        <v>0.8199339889</v>
      </c>
      <c r="C29" s="38">
        <f t="shared" si="12"/>
        <v>-0.002801711044</v>
      </c>
      <c r="D29" s="37">
        <f>D30/$D$3</f>
        <v>0.8176367707</v>
      </c>
      <c r="E29" s="38">
        <f t="shared" si="13"/>
        <v>-0.05624123385</v>
      </c>
      <c r="F29" s="37">
        <f>F30/$F$3</f>
        <v>0.7716518699</v>
      </c>
      <c r="G29" s="38">
        <f t="shared" si="14"/>
        <v>0.01439987661</v>
      </c>
      <c r="H29" s="37">
        <f>H30/$H$3</f>
        <v>0.7827635616</v>
      </c>
      <c r="I29" s="38">
        <f t="shared" si="15"/>
        <v>0.01137069703</v>
      </c>
      <c r="J29" s="37">
        <f>J30/$J$3</f>
        <v>0.7916641289</v>
      </c>
      <c r="K29" s="38">
        <f t="shared" si="16"/>
        <v>0.0431133561</v>
      </c>
      <c r="L29" s="37">
        <f>L30/$L$3</f>
        <v>0.8257954264</v>
      </c>
      <c r="M29" s="38">
        <f t="shared" si="17"/>
        <v>-0.01653987348</v>
      </c>
      <c r="N29" s="37">
        <f>N30/$N$3</f>
        <v>0.8121368746</v>
      </c>
      <c r="O29" s="38">
        <f t="shared" si="18"/>
        <v>-0.02945687721</v>
      </c>
      <c r="P29" s="37">
        <f>P30/$P$3</f>
        <v>0.7882138584</v>
      </c>
      <c r="Q29" s="38">
        <f t="shared" si="19"/>
        <v>0</v>
      </c>
      <c r="R29" s="37">
        <f>R30/$P$3</f>
        <v>0.7882138584</v>
      </c>
      <c r="S29" s="38">
        <f t="shared" si="20"/>
        <v>0</v>
      </c>
      <c r="T29" s="37">
        <f>T30/$P$3</f>
        <v>0.7882138584</v>
      </c>
      <c r="U29" s="38">
        <f t="shared" si="21"/>
        <v>0</v>
      </c>
      <c r="V29" s="37">
        <f>V30/$P$3</f>
        <v>0.7882138584</v>
      </c>
      <c r="W29" s="38">
        <f t="shared" si="22"/>
        <v>0.004377327971</v>
      </c>
      <c r="X29" s="37">
        <f>X30/$X$3</f>
        <v>0.7916641289</v>
      </c>
      <c r="Y29" s="13"/>
    </row>
    <row r="30">
      <c r="A30" s="28" t="s">
        <v>57</v>
      </c>
      <c r="B30" s="24">
        <f>B3-B20</f>
        <v>27275592</v>
      </c>
      <c r="C30" s="13">
        <f t="shared" si="12"/>
        <v>0.2994627944</v>
      </c>
      <c r="D30" s="24">
        <f>D3-D20</f>
        <v>35443617</v>
      </c>
      <c r="E30" s="13">
        <f t="shared" si="13"/>
        <v>-0.03918922835</v>
      </c>
      <c r="F30" s="24">
        <f>F3-F20</f>
        <v>34054609</v>
      </c>
      <c r="G30" s="13">
        <f t="shared" si="14"/>
        <v>-0.02447935902</v>
      </c>
      <c r="H30" s="24">
        <f>H3-H20</f>
        <v>33220974</v>
      </c>
      <c r="I30" s="13">
        <f t="shared" si="15"/>
        <v>0.03802642873</v>
      </c>
      <c r="J30" s="24">
        <f>J3-J20</f>
        <v>34484249</v>
      </c>
      <c r="K30" s="13">
        <f t="shared" si="16"/>
        <v>0.3038490993</v>
      </c>
      <c r="L30" s="24">
        <f>L3-L20</f>
        <v>44962257</v>
      </c>
      <c r="M30" s="13">
        <f t="shared" si="17"/>
        <v>0.001380735847</v>
      </c>
      <c r="N30" s="24">
        <f>N3-N20</f>
        <v>45024338</v>
      </c>
      <c r="O30" s="13">
        <f t="shared" si="18"/>
        <v>-0.1824151196</v>
      </c>
      <c r="P30" s="24">
        <f>P3-P20</f>
        <v>36811218</v>
      </c>
      <c r="Q30" s="13">
        <f t="shared" si="19"/>
        <v>0</v>
      </c>
      <c r="R30" s="24">
        <f>R3-R20</f>
        <v>36811218</v>
      </c>
      <c r="S30" s="13">
        <f t="shared" si="20"/>
        <v>0</v>
      </c>
      <c r="T30" s="24">
        <f>T3-T20</f>
        <v>36811218</v>
      </c>
      <c r="U30" s="13">
        <f t="shared" si="21"/>
        <v>0</v>
      </c>
      <c r="V30" s="24">
        <f>V3-V20</f>
        <v>36811218</v>
      </c>
      <c r="W30" s="13">
        <f t="shared" si="22"/>
        <v>-0.06321358342</v>
      </c>
      <c r="X30" s="24">
        <f>X3-X20</f>
        <v>34484249</v>
      </c>
    </row>
    <row r="31">
      <c r="A31" s="28" t="s">
        <v>58</v>
      </c>
      <c r="B31" s="39">
        <f>B30-ABS(B17)</f>
        <v>24561317</v>
      </c>
      <c r="C31" s="12">
        <f t="shared" si="12"/>
        <v>0.443066632</v>
      </c>
      <c r="D31" s="39">
        <f>D30-ABS(D17)</f>
        <v>35443617</v>
      </c>
      <c r="E31" s="12">
        <f t="shared" si="13"/>
        <v>-0.1012185071</v>
      </c>
      <c r="F31" s="39">
        <f>F30-ABS(F17)</f>
        <v>31856067</v>
      </c>
      <c r="G31" s="12">
        <f t="shared" si="14"/>
        <v>0.008575038469</v>
      </c>
      <c r="H31" s="39">
        <f>H30-ABS(H17)</f>
        <v>32129234</v>
      </c>
      <c r="I31" s="12">
        <f t="shared" si="15"/>
        <v>-0.1394983148</v>
      </c>
      <c r="J31" s="39">
        <f>J30-ABS(J17)</f>
        <v>27647260</v>
      </c>
      <c r="K31" s="12">
        <f t="shared" si="16"/>
        <v>0.3156254544</v>
      </c>
      <c r="L31" s="39">
        <f>L30-ABS(L17)</f>
        <v>36373439</v>
      </c>
      <c r="M31" s="12">
        <f t="shared" si="17"/>
        <v>0.03700342989</v>
      </c>
      <c r="N31" s="39">
        <f>N30-ABS(N17)</f>
        <v>37719381</v>
      </c>
      <c r="O31" s="12">
        <f t="shared" si="18"/>
        <v>-0.07822405675</v>
      </c>
      <c r="P31" s="39">
        <f>P30-ABS(P17)</f>
        <v>34768818</v>
      </c>
      <c r="Q31" s="12">
        <f t="shared" si="19"/>
        <v>0</v>
      </c>
      <c r="R31" s="39">
        <f>R30-ABS(R17)</f>
        <v>34768818</v>
      </c>
      <c r="S31" s="12">
        <f t="shared" si="20"/>
        <v>0</v>
      </c>
      <c r="T31" s="39">
        <f>T30-ABS(T17)</f>
        <v>34768818</v>
      </c>
      <c r="U31" s="12">
        <f t="shared" si="21"/>
        <v>0</v>
      </c>
      <c r="V31" s="39">
        <f>V30-ABS(V17)</f>
        <v>34768818</v>
      </c>
      <c r="W31" s="12">
        <f t="shared" si="22"/>
        <v>-0.2048260024</v>
      </c>
      <c r="X31" s="39">
        <f>X30-ABS(X17)</f>
        <v>27647260</v>
      </c>
    </row>
    <row r="32">
      <c r="A32" s="1" t="s">
        <v>59</v>
      </c>
      <c r="B32" s="15">
        <f>(B40-B39)*B38</f>
        <v>-2095864</v>
      </c>
      <c r="C32" s="13">
        <f t="shared" si="12"/>
        <v>-2.255210739</v>
      </c>
      <c r="D32" s="15">
        <f>(D40-D39)*D38</f>
        <v>2630751</v>
      </c>
      <c r="E32" s="13">
        <f t="shared" si="13"/>
        <v>-0.5279891559</v>
      </c>
      <c r="F32" s="15">
        <f>(F40-F39)*F38</f>
        <v>1241743</v>
      </c>
      <c r="G32" s="13">
        <f t="shared" si="14"/>
        <v>-1.178523253</v>
      </c>
      <c r="H32" s="15">
        <f>(H40-H39)*H38</f>
        <v>-221680</v>
      </c>
      <c r="I32" s="13">
        <f t="shared" si="15"/>
        <v>33.53460393</v>
      </c>
      <c r="J32" s="15">
        <f>(J40-J39)*J38</f>
        <v>-7655631</v>
      </c>
      <c r="K32" s="13">
        <f t="shared" si="16"/>
        <v>-1.368666802</v>
      </c>
      <c r="L32" s="15">
        <f>(L40-L39)*L38</f>
        <v>2822377</v>
      </c>
      <c r="M32" s="13">
        <f t="shared" si="17"/>
        <v>0.02199599841</v>
      </c>
      <c r="N32" s="15">
        <f>(N40-N39)*N38</f>
        <v>2884458</v>
      </c>
      <c r="O32" s="13">
        <f t="shared" si="18"/>
        <v>-2.847370286</v>
      </c>
      <c r="P32" s="15">
        <f>(P40-P39)*P38</f>
        <v>-5328662</v>
      </c>
      <c r="Q32" s="13">
        <f t="shared" si="19"/>
        <v>0</v>
      </c>
      <c r="R32" s="15">
        <f>(R40-R39)*R38</f>
        <v>-5328662</v>
      </c>
      <c r="S32" s="13">
        <f t="shared" si="20"/>
        <v>0</v>
      </c>
      <c r="T32" s="15">
        <f>(T40-T39)*T38</f>
        <v>-5328662</v>
      </c>
      <c r="U32" s="13">
        <f t="shared" si="21"/>
        <v>0</v>
      </c>
      <c r="V32" s="15">
        <f>(V40-V39)*V38</f>
        <v>-5328662</v>
      </c>
      <c r="W32" s="13">
        <f t="shared" si="22"/>
        <v>0.4366891726</v>
      </c>
      <c r="X32" s="15">
        <f>(X40-X39)*X38</f>
        <v>-7655631</v>
      </c>
    </row>
    <row r="33">
      <c r="A33" s="4" t="s">
        <v>60</v>
      </c>
      <c r="B33" s="40">
        <f>B32/B30</f>
        <v>-0.07684027536</v>
      </c>
      <c r="C33" s="13">
        <f t="shared" si="12"/>
        <v>-1.965945885</v>
      </c>
      <c r="D33" s="40">
        <f>D32/D30</f>
        <v>0.07422354778</v>
      </c>
      <c r="E33" s="13">
        <f t="shared" si="13"/>
        <v>-0.5087369355</v>
      </c>
      <c r="F33" s="40">
        <f>F32/F30</f>
        <v>0.03646328754</v>
      </c>
      <c r="G33" s="13">
        <f t="shared" si="14"/>
        <v>-1.183003051</v>
      </c>
      <c r="H33" s="40">
        <f>H32/H30</f>
        <v>-0.006672892854</v>
      </c>
      <c r="I33" s="13">
        <f t="shared" si="15"/>
        <v>32.26948426</v>
      </c>
      <c r="J33" s="40">
        <f>J32/J30</f>
        <v>-0.2220037038</v>
      </c>
      <c r="K33" s="13">
        <f t="shared" si="16"/>
        <v>-1.282752661</v>
      </c>
      <c r="L33" s="40">
        <f>L32/L30</f>
        <v>0.06277213797</v>
      </c>
      <c r="M33" s="13">
        <f t="shared" si="17"/>
        <v>0.02058683758</v>
      </c>
      <c r="N33" s="40">
        <f>N32/N30</f>
        <v>0.06406441778</v>
      </c>
      <c r="O33" s="13">
        <f t="shared" si="18"/>
        <v>-3.259545559</v>
      </c>
      <c r="P33" s="40">
        <f>P32/P30</f>
        <v>-0.1447564707</v>
      </c>
      <c r="Q33" s="13">
        <f t="shared" si="19"/>
        <v>0</v>
      </c>
      <c r="R33" s="40">
        <f>R32/R30</f>
        <v>-0.1447564707</v>
      </c>
      <c r="S33" s="13">
        <f t="shared" si="20"/>
        <v>0</v>
      </c>
      <c r="T33" s="40">
        <f>T32/T30</f>
        <v>-0.1447564707</v>
      </c>
      <c r="U33" s="13">
        <f t="shared" si="21"/>
        <v>0</v>
      </c>
      <c r="V33" s="40">
        <f>V32/V30</f>
        <v>-0.1447564707</v>
      </c>
      <c r="W33" s="13">
        <f t="shared" si="22"/>
        <v>0.5336357864</v>
      </c>
      <c r="X33" s="40">
        <f>X32/X30</f>
        <v>-0.2220037038</v>
      </c>
    </row>
    <row r="34">
      <c r="A34" s="4" t="s">
        <v>61</v>
      </c>
      <c r="B34" s="41">
        <f>B44+B32</f>
        <v>74170406.85</v>
      </c>
      <c r="C34" s="13">
        <f t="shared" si="12"/>
        <v>-0.2769813079</v>
      </c>
      <c r="D34" s="41">
        <f>D44+D32</f>
        <v>53626590.55</v>
      </c>
      <c r="E34" s="13">
        <f t="shared" si="13"/>
        <v>1.060322794</v>
      </c>
      <c r="F34" s="41">
        <f>F44+F32</f>
        <v>110488086.9</v>
      </c>
      <c r="G34" s="13">
        <f t="shared" si="14"/>
        <v>-0.06893366113</v>
      </c>
      <c r="H34" s="41">
        <f>H44+H32</f>
        <v>102871738.5</v>
      </c>
      <c r="I34" s="13">
        <f t="shared" si="15"/>
        <v>0.5623661919</v>
      </c>
      <c r="J34" s="41">
        <f>J44+J32</f>
        <v>160723326.4</v>
      </c>
      <c r="K34" s="13">
        <f t="shared" si="16"/>
        <v>0.04637509767</v>
      </c>
      <c r="L34" s="41">
        <f>L44+L32</f>
        <v>168176886.4</v>
      </c>
      <c r="M34" s="13">
        <f t="shared" si="17"/>
        <v>-0.07299076107</v>
      </c>
      <c r="N34" s="41">
        <f>N44+N32</f>
        <v>155901527.4</v>
      </c>
      <c r="O34" s="13">
        <f t="shared" si="18"/>
        <v>-0.3714177632</v>
      </c>
      <c r="P34" s="41">
        <f>P44+P32</f>
        <v>97996930.83</v>
      </c>
      <c r="Q34" s="13">
        <f t="shared" si="19"/>
        <v>0.5070717642</v>
      </c>
      <c r="R34" s="41">
        <f>R44+R32</f>
        <v>147688407.4</v>
      </c>
      <c r="S34" s="13">
        <f t="shared" si="20"/>
        <v>0</v>
      </c>
      <c r="T34" s="41">
        <f>T44+T32</f>
        <v>147688407.4</v>
      </c>
      <c r="U34" s="13">
        <f t="shared" si="21"/>
        <v>0</v>
      </c>
      <c r="V34" s="41">
        <f>V44+V32</f>
        <v>147688407.4</v>
      </c>
      <c r="W34" s="13">
        <f t="shared" si="22"/>
        <v>0.08825959462</v>
      </c>
      <c r="X34" s="41">
        <f>X44+X32</f>
        <v>160723326.4</v>
      </c>
      <c r="Y34" s="13"/>
      <c r="Z34" s="22"/>
    </row>
    <row r="35">
      <c r="A35" s="4" t="s">
        <v>62</v>
      </c>
      <c r="B35" s="42">
        <f>B34/B38</f>
        <v>1.853533123</v>
      </c>
      <c r="C35" s="13">
        <f t="shared" si="12"/>
        <v>-0.2769813079</v>
      </c>
      <c r="D35" s="42">
        <f>D34/D38</f>
        <v>1.340139094</v>
      </c>
      <c r="E35" s="13">
        <f t="shared" si="13"/>
        <v>1.060322794</v>
      </c>
      <c r="F35" s="42">
        <f>F34/F38</f>
        <v>2.761119123</v>
      </c>
      <c r="G35" s="13">
        <f t="shared" si="14"/>
        <v>-0.1119602483</v>
      </c>
      <c r="H35" s="42">
        <f>H34/H38</f>
        <v>2.45198354</v>
      </c>
      <c r="I35" s="13">
        <f t="shared" si="15"/>
        <v>0.2755042695</v>
      </c>
      <c r="J35" s="42">
        <f>J34/J38</f>
        <v>3.127515475</v>
      </c>
      <c r="K35" s="13">
        <f t="shared" si="16"/>
        <v>0.04637509767</v>
      </c>
      <c r="L35" s="42">
        <f>L34/L38</f>
        <v>3.27255431</v>
      </c>
      <c r="M35" s="13">
        <f t="shared" si="17"/>
        <v>-0.07299076107</v>
      </c>
      <c r="N35" s="42">
        <f>N34/N38</f>
        <v>3.03368808</v>
      </c>
      <c r="O35" s="13">
        <f t="shared" si="18"/>
        <v>-0.3714177632</v>
      </c>
      <c r="P35" s="42">
        <f>P34/P38</f>
        <v>1.906922439</v>
      </c>
      <c r="Q35" s="13">
        <f t="shared" si="19"/>
        <v>0.5070717642</v>
      </c>
      <c r="R35" s="42">
        <f>R34/R38</f>
        <v>2.873868965</v>
      </c>
      <c r="S35" s="13">
        <f t="shared" si="20"/>
        <v>0</v>
      </c>
      <c r="T35" s="42">
        <f>T34/T38</f>
        <v>2.873868965</v>
      </c>
      <c r="U35" s="13">
        <f t="shared" si="21"/>
        <v>0</v>
      </c>
      <c r="V35" s="42">
        <f>V34/V38</f>
        <v>2.873868965</v>
      </c>
      <c r="W35" s="13">
        <f t="shared" si="22"/>
        <v>0.08825959462</v>
      </c>
      <c r="X35" s="42">
        <f>X34/X38</f>
        <v>3.127515475</v>
      </c>
      <c r="Y35" s="13"/>
      <c r="Z35" s="13"/>
    </row>
    <row r="36">
      <c r="A36" s="28" t="s">
        <v>63</v>
      </c>
      <c r="B36" s="15">
        <v>2.9371456E7</v>
      </c>
      <c r="C36" s="13">
        <f t="shared" si="12"/>
        <v>0.117168519</v>
      </c>
      <c r="D36" s="15">
        <v>3.2812866E7</v>
      </c>
      <c r="E36" s="13">
        <f t="shared" si="13"/>
        <v>0</v>
      </c>
      <c r="F36" s="15">
        <v>3.2812866E7</v>
      </c>
      <c r="G36" s="13">
        <f t="shared" si="14"/>
        <v>0.01919332496</v>
      </c>
      <c r="H36" s="15">
        <v>3.3442654E7</v>
      </c>
      <c r="I36" s="13">
        <f t="shared" si="15"/>
        <v>0.2600638693</v>
      </c>
      <c r="J36" s="15">
        <v>4.213988E7</v>
      </c>
      <c r="K36" s="13">
        <f t="shared" si="16"/>
        <v>0</v>
      </c>
      <c r="L36" s="15">
        <v>4.213988E7</v>
      </c>
      <c r="M36" s="13">
        <f t="shared" si="17"/>
        <v>0</v>
      </c>
      <c r="N36" s="15">
        <v>4.213988E7</v>
      </c>
      <c r="O36" s="13">
        <f t="shared" si="18"/>
        <v>0</v>
      </c>
      <c r="P36" s="15">
        <v>4.213988E7</v>
      </c>
      <c r="Q36" s="13">
        <f t="shared" si="19"/>
        <v>0</v>
      </c>
      <c r="R36" s="15">
        <v>4.213988E7</v>
      </c>
      <c r="S36" s="13">
        <f t="shared" si="20"/>
        <v>0</v>
      </c>
      <c r="T36" s="15">
        <v>4.213988E7</v>
      </c>
      <c r="U36" s="13">
        <f t="shared" si="21"/>
        <v>0</v>
      </c>
      <c r="V36" s="15">
        <v>4.213988E7</v>
      </c>
      <c r="W36" s="13">
        <f t="shared" si="22"/>
        <v>0</v>
      </c>
      <c r="X36" s="15">
        <v>4.213988E7</v>
      </c>
    </row>
    <row r="37">
      <c r="A37" s="1" t="s">
        <v>64</v>
      </c>
      <c r="B37" s="40">
        <f>B36/B30</f>
        <v>1.076840275</v>
      </c>
      <c r="C37" s="13">
        <f t="shared" si="12"/>
        <v>-0.1402843361</v>
      </c>
      <c r="D37" s="40">
        <f>D36/D30</f>
        <v>0.9257764522</v>
      </c>
      <c r="E37" s="13">
        <f t="shared" si="13"/>
        <v>0.04078766548</v>
      </c>
      <c r="F37" s="40">
        <f>F36/F30</f>
        <v>0.9635367125</v>
      </c>
      <c r="G37" s="13">
        <f t="shared" si="14"/>
        <v>0.04476859038</v>
      </c>
      <c r="H37" s="40">
        <f>H36/H30</f>
        <v>1.006672893</v>
      </c>
      <c r="I37" s="13">
        <f t="shared" si="15"/>
        <v>0.2139034561</v>
      </c>
      <c r="J37" s="40">
        <f>J36/J30</f>
        <v>1.222003704</v>
      </c>
      <c r="K37" s="13">
        <f t="shared" si="16"/>
        <v>-0.2330400807</v>
      </c>
      <c r="L37" s="40">
        <f>L36/L30</f>
        <v>0.937227862</v>
      </c>
      <c r="M37" s="13">
        <f t="shared" si="17"/>
        <v>-0.001378832044</v>
      </c>
      <c r="N37" s="40">
        <f>N36/N30</f>
        <v>0.9359355822</v>
      </c>
      <c r="O37" s="13">
        <f t="shared" si="18"/>
        <v>0.2231145951</v>
      </c>
      <c r="P37" s="40">
        <f>P36/P30</f>
        <v>1.144756471</v>
      </c>
      <c r="Q37" s="13">
        <f t="shared" si="19"/>
        <v>0</v>
      </c>
      <c r="R37" s="40">
        <f>R36/R30</f>
        <v>1.144756471</v>
      </c>
      <c r="S37" s="13">
        <f t="shared" si="20"/>
        <v>0</v>
      </c>
      <c r="T37" s="40">
        <f>T36/T30</f>
        <v>1.144756471</v>
      </c>
      <c r="U37" s="13">
        <f t="shared" si="21"/>
        <v>0</v>
      </c>
      <c r="V37" s="40">
        <f>V36/V30</f>
        <v>1.144756471</v>
      </c>
      <c r="W37" s="13">
        <f t="shared" si="22"/>
        <v>0.06747918448</v>
      </c>
      <c r="X37" s="40">
        <f>X36/X30</f>
        <v>1.222003704</v>
      </c>
    </row>
    <row r="38">
      <c r="A38" s="4" t="s">
        <v>65</v>
      </c>
      <c r="B38" s="48">
        <v>4.00156900002E7</v>
      </c>
      <c r="C38" s="13">
        <f t="shared" si="12"/>
        <v>0</v>
      </c>
      <c r="D38" s="48">
        <v>4.00156900002E7</v>
      </c>
      <c r="E38" s="13">
        <f t="shared" si="13"/>
        <v>0</v>
      </c>
      <c r="F38" s="48">
        <v>4.00156900002E7</v>
      </c>
      <c r="G38" s="13">
        <f t="shared" si="14"/>
        <v>0.04845119502</v>
      </c>
      <c r="H38" s="48">
        <v>4.19544980002E7</v>
      </c>
      <c r="I38" s="13">
        <f t="shared" si="15"/>
        <v>0.2249007936</v>
      </c>
      <c r="J38" s="48">
        <v>5.13900978938E7</v>
      </c>
      <c r="K38" s="13">
        <f t="shared" si="16"/>
        <v>0</v>
      </c>
      <c r="L38" s="48">
        <v>5.13900978938E7</v>
      </c>
      <c r="M38" s="13">
        <f t="shared" si="17"/>
        <v>0</v>
      </c>
      <c r="N38" s="48">
        <v>5.13900978938E7</v>
      </c>
      <c r="O38" s="13">
        <f t="shared" si="18"/>
        <v>0</v>
      </c>
      <c r="P38" s="48">
        <v>5.13900978938E7</v>
      </c>
      <c r="Q38" s="13">
        <f t="shared" si="19"/>
        <v>0</v>
      </c>
      <c r="R38" s="48">
        <v>5.13900978938E7</v>
      </c>
      <c r="S38" s="13">
        <f t="shared" si="20"/>
        <v>0</v>
      </c>
      <c r="T38" s="48">
        <v>5.13900978938E7</v>
      </c>
      <c r="U38" s="13">
        <f t="shared" si="21"/>
        <v>0</v>
      </c>
      <c r="V38" s="48">
        <v>5.13900978938E7</v>
      </c>
      <c r="W38" s="13">
        <f t="shared" si="22"/>
        <v>0</v>
      </c>
      <c r="X38" s="48">
        <v>5.13900978938E7</v>
      </c>
    </row>
    <row r="39">
      <c r="A39" s="28" t="s">
        <v>66</v>
      </c>
      <c r="B39" s="49">
        <f>B36/B38</f>
        <v>0.7339984891</v>
      </c>
      <c r="C39" s="13">
        <f t="shared" si="12"/>
        <v>0.117168519</v>
      </c>
      <c r="D39" s="49">
        <f>D36/D38</f>
        <v>0.820000005</v>
      </c>
      <c r="E39" s="13">
        <f t="shared" si="13"/>
        <v>0</v>
      </c>
      <c r="F39" s="50">
        <f>F36/F38</f>
        <v>0.820000005</v>
      </c>
      <c r="G39" s="13">
        <f t="shared" si="14"/>
        <v>-0.02790580067</v>
      </c>
      <c r="H39" s="50">
        <f>H36/H38</f>
        <v>0.7971172483</v>
      </c>
      <c r="I39" s="13">
        <f t="shared" si="15"/>
        <v>0.02870687647</v>
      </c>
      <c r="J39" s="49">
        <f>J36/J38</f>
        <v>0.8199999947</v>
      </c>
      <c r="K39" s="13">
        <f t="shared" si="16"/>
        <v>0</v>
      </c>
      <c r="L39" s="49">
        <f>L36/L38</f>
        <v>0.8199999947</v>
      </c>
      <c r="M39" s="13">
        <f t="shared" si="17"/>
        <v>0</v>
      </c>
      <c r="N39" s="49">
        <f>N36/N38</f>
        <v>0.8199999947</v>
      </c>
      <c r="O39" s="13">
        <f t="shared" si="18"/>
        <v>0</v>
      </c>
      <c r="P39" s="49">
        <f>P36/P38</f>
        <v>0.8199999947</v>
      </c>
      <c r="Q39" s="13">
        <f t="shared" si="19"/>
        <v>0</v>
      </c>
      <c r="R39" s="49">
        <f>R36/R38</f>
        <v>0.8199999947</v>
      </c>
      <c r="S39" s="13">
        <f t="shared" si="20"/>
        <v>0</v>
      </c>
      <c r="T39" s="49">
        <f>T36/T38</f>
        <v>0.8199999947</v>
      </c>
      <c r="U39" s="13">
        <f t="shared" si="21"/>
        <v>0</v>
      </c>
      <c r="V39" s="49">
        <f>V36/V38</f>
        <v>0.8199999947</v>
      </c>
      <c r="W39" s="13">
        <f t="shared" si="22"/>
        <v>0</v>
      </c>
      <c r="X39" s="49">
        <f>X36/X38</f>
        <v>0.8199999947</v>
      </c>
    </row>
    <row r="40">
      <c r="A40" s="28" t="s">
        <v>67</v>
      </c>
      <c r="B40" s="24">
        <f>B30/B38</f>
        <v>0.6816224336</v>
      </c>
      <c r="C40" s="13">
        <f t="shared" si="12"/>
        <v>0.2994627944</v>
      </c>
      <c r="D40" s="24">
        <f>D30/D38</f>
        <v>0.8857429923</v>
      </c>
      <c r="E40" s="13">
        <f t="shared" si="13"/>
        <v>-0.03918922835</v>
      </c>
      <c r="F40" s="24">
        <f>F30/F38</f>
        <v>0.8510314079</v>
      </c>
      <c r="G40" s="13">
        <f t="shared" si="14"/>
        <v>-0.06956027556</v>
      </c>
      <c r="H40" s="24">
        <f>H30/H38</f>
        <v>0.7918334287</v>
      </c>
      <c r="I40" s="13">
        <f t="shared" si="15"/>
        <v>-0.1525628572</v>
      </c>
      <c r="J40" s="24">
        <f>J30/J38</f>
        <v>0.6710290584</v>
      </c>
      <c r="K40" s="13">
        <f t="shared" si="16"/>
        <v>0.3038490993</v>
      </c>
      <c r="L40" s="24">
        <f>L30/L38</f>
        <v>0.8749206334</v>
      </c>
      <c r="M40" s="13">
        <f t="shared" si="17"/>
        <v>0.001380735847</v>
      </c>
      <c r="N40" s="24">
        <f>N30/N38</f>
        <v>0.8761286677</v>
      </c>
      <c r="O40" s="13">
        <f t="shared" si="18"/>
        <v>-0.1824151196</v>
      </c>
      <c r="P40" s="24">
        <f>P30/P38</f>
        <v>0.716309552</v>
      </c>
      <c r="Q40" s="13">
        <f t="shared" si="19"/>
        <v>0</v>
      </c>
      <c r="R40" s="24">
        <f>R30/R38</f>
        <v>0.716309552</v>
      </c>
      <c r="S40" s="13">
        <f t="shared" si="20"/>
        <v>0</v>
      </c>
      <c r="T40" s="24">
        <f>T30/T38</f>
        <v>0.716309552</v>
      </c>
      <c r="U40" s="13">
        <f t="shared" si="21"/>
        <v>0</v>
      </c>
      <c r="V40" s="24">
        <f>V30/V38</f>
        <v>0.716309552</v>
      </c>
      <c r="W40" s="13">
        <f t="shared" si="22"/>
        <v>-0.06321358342</v>
      </c>
      <c r="X40" s="24">
        <f>X30/X38</f>
        <v>0.6710290584</v>
      </c>
    </row>
    <row r="41">
      <c r="A41" s="4" t="s">
        <v>68</v>
      </c>
      <c r="B41" s="51">
        <f>B31/B38</f>
        <v>0.613792165</v>
      </c>
      <c r="C41" s="13">
        <f t="shared" si="12"/>
        <v>0.443066632</v>
      </c>
      <c r="D41" s="24">
        <f>D31/D38</f>
        <v>0.8857429923</v>
      </c>
      <c r="E41" s="13">
        <f t="shared" si="13"/>
        <v>-0.1012185071</v>
      </c>
      <c r="F41" s="24">
        <f>F31/F38</f>
        <v>0.7960894089</v>
      </c>
      <c r="G41" s="13">
        <f t="shared" si="14"/>
        <v>-0.0380333932</v>
      </c>
      <c r="H41" s="24">
        <f>H31/H38</f>
        <v>0.7658114274</v>
      </c>
      <c r="I41" s="13">
        <f t="shared" si="15"/>
        <v>-0.2974927523</v>
      </c>
      <c r="J41" s="24">
        <f>J31/J38</f>
        <v>0.5379880781</v>
      </c>
      <c r="K41" s="13">
        <f t="shared" si="16"/>
        <v>0.3156254544</v>
      </c>
      <c r="L41" s="24">
        <f>L31/L38</f>
        <v>0.7077908097</v>
      </c>
      <c r="M41" s="13">
        <f t="shared" si="17"/>
        <v>0.03700342989</v>
      </c>
      <c r="N41" s="24">
        <f>N31/N38</f>
        <v>0.7339814973</v>
      </c>
      <c r="O41" s="13">
        <f t="shared" si="18"/>
        <v>-0.07822405675</v>
      </c>
      <c r="P41" s="24">
        <f>P31/P38</f>
        <v>0.676566487</v>
      </c>
      <c r="Q41" s="13">
        <f t="shared" si="19"/>
        <v>0</v>
      </c>
      <c r="R41" s="24">
        <f>R31/R38</f>
        <v>0.676566487</v>
      </c>
      <c r="S41" s="13">
        <f t="shared" si="20"/>
        <v>0</v>
      </c>
      <c r="T41" s="24">
        <f>T31/T38</f>
        <v>0.676566487</v>
      </c>
      <c r="U41" s="13">
        <f t="shared" si="21"/>
        <v>0</v>
      </c>
      <c r="V41" s="24">
        <f>V31/V38</f>
        <v>0.676566487</v>
      </c>
      <c r="W41" s="13">
        <f t="shared" si="22"/>
        <v>-0.2048260024</v>
      </c>
      <c r="X41" s="24">
        <f>X31/X38</f>
        <v>0.5379880781</v>
      </c>
    </row>
    <row r="42">
      <c r="A42" s="52"/>
      <c r="B42" s="2" t="s">
        <v>1</v>
      </c>
      <c r="C42" s="3">
        <v>46037.0</v>
      </c>
      <c r="D42" s="2" t="s">
        <v>1</v>
      </c>
      <c r="E42" s="3">
        <v>46066.0</v>
      </c>
      <c r="F42" s="2" t="s">
        <v>1</v>
      </c>
      <c r="G42" s="3">
        <v>46094.0</v>
      </c>
      <c r="H42" s="2" t="s">
        <v>1</v>
      </c>
      <c r="I42" s="3">
        <v>46135.0</v>
      </c>
      <c r="J42" s="2" t="s">
        <v>1</v>
      </c>
      <c r="K42" s="3">
        <v>46157.0</v>
      </c>
      <c r="L42" s="2" t="s">
        <v>1</v>
      </c>
      <c r="M42" s="3">
        <v>46188.0</v>
      </c>
      <c r="N42" s="2" t="s">
        <v>1</v>
      </c>
      <c r="O42" s="3">
        <v>46218.0</v>
      </c>
      <c r="P42" s="2" t="s">
        <v>2</v>
      </c>
      <c r="Q42" s="3">
        <v>46195.0</v>
      </c>
      <c r="R42" s="2" t="s">
        <v>3</v>
      </c>
      <c r="S42" s="3">
        <v>46195.0</v>
      </c>
      <c r="T42" s="2" t="s">
        <v>3</v>
      </c>
      <c r="U42" s="3">
        <v>46195.0</v>
      </c>
      <c r="V42" s="2" t="s">
        <v>3</v>
      </c>
      <c r="W42" s="3">
        <v>46195.0</v>
      </c>
      <c r="X42" s="2" t="s">
        <v>3</v>
      </c>
      <c r="Y42" s="3">
        <v>46195.0</v>
      </c>
    </row>
    <row r="43">
      <c r="A43" s="1" t="s">
        <v>69</v>
      </c>
      <c r="B43" s="1" t="s">
        <v>5</v>
      </c>
      <c r="C43" s="53"/>
      <c r="D43" s="54" t="s">
        <v>6</v>
      </c>
      <c r="E43" s="55"/>
      <c r="F43" s="54" t="s">
        <v>7</v>
      </c>
      <c r="G43" s="55"/>
      <c r="H43" s="54" t="s">
        <v>8</v>
      </c>
      <c r="I43" s="55"/>
      <c r="J43" s="54" t="s">
        <v>9</v>
      </c>
      <c r="K43" s="55"/>
      <c r="L43" s="54" t="s">
        <v>10</v>
      </c>
      <c r="M43" s="55"/>
      <c r="N43" s="54" t="s">
        <v>11</v>
      </c>
      <c r="O43" s="55"/>
      <c r="P43" s="1" t="s">
        <v>12</v>
      </c>
      <c r="Q43" s="53"/>
      <c r="R43" s="1" t="s">
        <v>13</v>
      </c>
      <c r="S43" s="53"/>
      <c r="T43" s="1" t="s">
        <v>14</v>
      </c>
      <c r="U43" s="53"/>
      <c r="V43" s="1" t="s">
        <v>15</v>
      </c>
      <c r="W43" s="53"/>
      <c r="X43" s="1" t="s">
        <v>16</v>
      </c>
    </row>
    <row r="44">
      <c r="A44" s="4" t="s">
        <v>61</v>
      </c>
      <c r="B44" s="56">
        <v>7.626627085E7</v>
      </c>
      <c r="C44" s="13">
        <f t="shared" ref="C44:C47" si="23">IFERROR(SUM((D44/B44)-1),0)</f>
        <v>-0.3313447874</v>
      </c>
      <c r="D44" s="57">
        <v>5.099583955E7</v>
      </c>
      <c r="E44" s="13">
        <f t="shared" ref="E44:E47" si="24">IFERROR(SUM((F44/D44)-1),0)</f>
        <v>1.142259934</v>
      </c>
      <c r="F44" s="57">
        <v>1.0924634388E8</v>
      </c>
      <c r="G44" s="13">
        <f t="shared" ref="G44:G47" si="25">IFERROR(SUM((H44/F44)-1),0)</f>
        <v>-0.05632156758</v>
      </c>
      <c r="H44" s="57">
        <v>1.0309341854E8</v>
      </c>
      <c r="I44" s="13">
        <f t="shared" ref="I44:I47" si="26">IFERROR(SUM((J44/H44)-1),0)</f>
        <v>0.6332658261</v>
      </c>
      <c r="J44" s="57">
        <v>1.683789574E8</v>
      </c>
      <c r="K44" s="13">
        <f t="shared" ref="K44:K47" si="27">IFERROR(SUM((L44/J44)-1),0)</f>
        <v>-0.01796214971</v>
      </c>
      <c r="L44" s="57">
        <v>1.6535450936E8</v>
      </c>
      <c r="M44" s="13">
        <f t="shared" ref="M44:M47" si="28">IFERROR(SUM((N44/L44)-1),0)</f>
        <v>-0.07461205611</v>
      </c>
      <c r="N44" s="57">
        <v>1.5301706943E8</v>
      </c>
      <c r="O44" s="13">
        <f t="shared" ref="O44:O47" si="29">IFERROR(SUM((P44/N44)-1),0)</f>
        <v>-0.3247446627</v>
      </c>
      <c r="P44" s="57">
        <v>1.0332559283E8</v>
      </c>
      <c r="Q44" s="13">
        <f t="shared" ref="Q44:Q47" si="30">IFERROR(SUM((R44/P44)-1),0)</f>
        <v>0.4809212823</v>
      </c>
      <c r="R44" s="57">
        <v>1.5301706943E8</v>
      </c>
      <c r="S44" s="13">
        <f t="shared" ref="S44:S47" si="31">IFERROR(SUM((T44/R44)-1),0)</f>
        <v>0</v>
      </c>
      <c r="T44" s="57">
        <v>1.5301706943E8</v>
      </c>
      <c r="U44" s="13">
        <f t="shared" ref="U44:U47" si="32">IFERROR(SUM((V44/T44)-1),0)</f>
        <v>0</v>
      </c>
      <c r="V44" s="57">
        <v>1.5301706943E8</v>
      </c>
      <c r="W44" s="13">
        <f t="shared" ref="W44:W47" si="33">IFERROR(SUM((X44/V44)-1),0)</f>
        <v>0.1003932962</v>
      </c>
      <c r="X44" s="57">
        <v>1.683789574E8</v>
      </c>
    </row>
    <row r="45">
      <c r="A45" s="4" t="s">
        <v>70</v>
      </c>
      <c r="B45" s="58">
        <v>4.81654882104E9</v>
      </c>
      <c r="C45" s="13">
        <f t="shared" si="23"/>
        <v>0.001701390986</v>
      </c>
      <c r="D45" s="58">
        <v>4.82474365379E9</v>
      </c>
      <c r="E45" s="13">
        <f t="shared" si="24"/>
        <v>0.06095140223</v>
      </c>
      <c r="F45" s="58">
        <v>5.11881854491E9</v>
      </c>
      <c r="G45" s="13">
        <f t="shared" si="25"/>
        <v>0.00008960029467</v>
      </c>
      <c r="H45" s="58">
        <v>5.11927719256E9</v>
      </c>
      <c r="I45" s="13">
        <f t="shared" si="26"/>
        <v>0.183297708</v>
      </c>
      <c r="J45" s="58">
        <v>6.05762896851E9</v>
      </c>
      <c r="K45" s="13">
        <f t="shared" si="27"/>
        <v>-0.001120374264</v>
      </c>
      <c r="L45" s="58">
        <v>6.05084215691E9</v>
      </c>
      <c r="M45" s="13">
        <f t="shared" si="28"/>
        <v>0.00002988475245</v>
      </c>
      <c r="N45" s="58">
        <v>6.05102298483E9</v>
      </c>
      <c r="O45" s="13">
        <f t="shared" si="29"/>
        <v>-0.0001394447124</v>
      </c>
      <c r="P45" s="58">
        <v>6.05017920167E9</v>
      </c>
      <c r="Q45" s="13">
        <f t="shared" si="30"/>
        <v>0.00013946416</v>
      </c>
      <c r="R45" s="58">
        <v>6.05102298483E9</v>
      </c>
      <c r="S45" s="13">
        <f t="shared" si="31"/>
        <v>0</v>
      </c>
      <c r="T45" s="58">
        <v>6.05102298483E9</v>
      </c>
      <c r="U45" s="13">
        <f t="shared" si="32"/>
        <v>0</v>
      </c>
      <c r="V45" s="58">
        <v>6.05102298483E9</v>
      </c>
      <c r="W45" s="13">
        <f t="shared" si="33"/>
        <v>0.001091713533</v>
      </c>
      <c r="X45" s="58">
        <v>6.05762896851E9</v>
      </c>
    </row>
    <row r="46">
      <c r="A46" s="4" t="s">
        <v>71</v>
      </c>
      <c r="B46" s="58">
        <v>3.227620377E7</v>
      </c>
      <c r="C46" s="13">
        <f t="shared" si="23"/>
        <v>-0.2364249598</v>
      </c>
      <c r="D46" s="58">
        <v>2.464530359E7</v>
      </c>
      <c r="E46" s="13">
        <f t="shared" si="24"/>
        <v>1.026016422</v>
      </c>
      <c r="F46" s="58">
        <v>4.99317898E7</v>
      </c>
      <c r="G46" s="13">
        <f t="shared" si="25"/>
        <v>0.247042973</v>
      </c>
      <c r="H46" s="58">
        <v>6.22670876E7</v>
      </c>
      <c r="I46" s="13">
        <f t="shared" si="26"/>
        <v>-0.1233398022</v>
      </c>
      <c r="J46" s="58">
        <v>5.458707733E7</v>
      </c>
      <c r="K46" s="13">
        <f t="shared" si="27"/>
        <v>-0.02799601123</v>
      </c>
      <c r="L46" s="58">
        <v>5.30588569E7</v>
      </c>
      <c r="M46" s="13">
        <f t="shared" si="28"/>
        <v>0.02421849084</v>
      </c>
      <c r="N46" s="58">
        <v>5.434386234E7</v>
      </c>
      <c r="O46" s="13">
        <f t="shared" si="29"/>
        <v>0.1077487743</v>
      </c>
      <c r="P46" s="58">
        <v>6.01993469E7</v>
      </c>
      <c r="Q46" s="13">
        <f t="shared" si="30"/>
        <v>-0.09726824063</v>
      </c>
      <c r="R46" s="58">
        <v>5.434386234E7</v>
      </c>
      <c r="S46" s="13">
        <f t="shared" si="31"/>
        <v>0</v>
      </c>
      <c r="T46" s="58">
        <v>5.434386234E7</v>
      </c>
      <c r="U46" s="13">
        <f t="shared" si="32"/>
        <v>0</v>
      </c>
      <c r="V46" s="58">
        <v>5.434386234E7</v>
      </c>
      <c r="W46" s="13">
        <f t="shared" si="33"/>
        <v>0.004475482226</v>
      </c>
      <c r="X46" s="58">
        <v>5.458707733E7</v>
      </c>
    </row>
    <row r="47">
      <c r="A47" s="59" t="s">
        <v>72</v>
      </c>
      <c r="B47" s="24">
        <f>SUM(B44:B46)</f>
        <v>4925091296</v>
      </c>
      <c r="C47" s="13">
        <f t="shared" si="23"/>
        <v>-0.005016454975</v>
      </c>
      <c r="D47" s="24">
        <f>SUM(D44:D46)</f>
        <v>4900384797</v>
      </c>
      <c r="E47" s="13">
        <f t="shared" si="24"/>
        <v>0.07705759799</v>
      </c>
      <c r="F47" s="24">
        <f>SUM(F44:F46)</f>
        <v>5277996679</v>
      </c>
      <c r="G47" s="13">
        <f t="shared" si="25"/>
        <v>0.00125824636</v>
      </c>
      <c r="H47" s="24">
        <f>SUM(H44:H46)</f>
        <v>5284637699</v>
      </c>
      <c r="I47" s="13">
        <f t="shared" si="26"/>
        <v>0.1884627407</v>
      </c>
      <c r="J47" s="24">
        <f>SUM(J44:J46)</f>
        <v>6280595003</v>
      </c>
      <c r="K47" s="13">
        <f t="shared" si="27"/>
        <v>-0.001805478631</v>
      </c>
      <c r="L47" s="24">
        <f>SUM(L44:L46)</f>
        <v>6269255523</v>
      </c>
      <c r="M47" s="13">
        <f t="shared" si="28"/>
        <v>-0.001734114446</v>
      </c>
      <c r="N47" s="24">
        <f>SUM(N44:N46)</f>
        <v>6258383917</v>
      </c>
      <c r="O47" s="13">
        <f t="shared" si="29"/>
        <v>-0.007139187336</v>
      </c>
      <c r="P47" s="24">
        <f>SUM(P44:P46)</f>
        <v>6213704141</v>
      </c>
      <c r="Q47" s="13">
        <f t="shared" si="30"/>
        <v>0.007190521818</v>
      </c>
      <c r="R47" s="24">
        <f>SUM(R44:R46)</f>
        <v>6258383917</v>
      </c>
      <c r="S47" s="13">
        <f t="shared" si="31"/>
        <v>0</v>
      </c>
      <c r="T47" s="24">
        <f>SUM(T44:T46)</f>
        <v>6258383917</v>
      </c>
      <c r="U47" s="13">
        <f t="shared" si="32"/>
        <v>0</v>
      </c>
      <c r="V47" s="24">
        <f>SUM(V44:V46)</f>
        <v>6258383917</v>
      </c>
      <c r="W47" s="13">
        <f t="shared" si="33"/>
        <v>0.003549013122</v>
      </c>
      <c r="X47" s="24">
        <f>SUM(X44:X46)</f>
        <v>6280595003</v>
      </c>
    </row>
    <row r="49">
      <c r="A49" s="25" t="s">
        <v>73</v>
      </c>
      <c r="B49" s="15">
        <v>5.6028574295E8</v>
      </c>
      <c r="C49" s="13">
        <f t="shared" ref="C49:C59" si="34">IFERROR(SUM((D49/B49)-1),0)</f>
        <v>0.03007871996</v>
      </c>
      <c r="D49" s="15">
        <v>5.7713842091E8</v>
      </c>
      <c r="E49" s="13">
        <f t="shared" ref="E49:E59" si="35">IFERROR(SUM((F49/D49)-1),0)</f>
        <v>0.6314892511</v>
      </c>
      <c r="F49" s="15">
        <v>9.4159513014E8</v>
      </c>
      <c r="G49" s="13">
        <f t="shared" ref="G49:G59" si="36">IFERROR(SUM((H49/F49)-1),0)</f>
        <v>-0.218655568</v>
      </c>
      <c r="H49" s="15">
        <v>7.3571011217E8</v>
      </c>
      <c r="I49" s="13">
        <f t="shared" ref="I49:I59" si="37">IFERROR(SUM((J49/H49)-1),0)</f>
        <v>0.008119223198</v>
      </c>
      <c r="J49" s="15">
        <v>7.4168350678E8</v>
      </c>
      <c r="K49" s="13">
        <f t="shared" ref="K49:K59" si="38">IFERROR(SUM((L49/J49)-1),0)</f>
        <v>0.00146493627</v>
      </c>
      <c r="L49" s="15">
        <v>7.4277002585E8</v>
      </c>
      <c r="M49" s="13">
        <f t="shared" ref="M49:M59" si="39">IFERROR(SUM((N49/L49)-1),0)</f>
        <v>0.004442920009</v>
      </c>
      <c r="N49" s="15">
        <v>7.4607009366E8</v>
      </c>
      <c r="O49" s="13">
        <f t="shared" ref="O49:O59" si="40">IFERROR(SUM((P49/N49)-1),0)</f>
        <v>0.003019217777</v>
      </c>
      <c r="P49" s="15">
        <v>7.4832264175E8</v>
      </c>
      <c r="Q49" s="13">
        <f t="shared" ref="Q49:Q59" si="41">IFERROR(SUM((R49/P49)-1),0)</f>
        <v>-0.003010129541</v>
      </c>
      <c r="R49" s="15">
        <v>7.4607009366E8</v>
      </c>
      <c r="S49" s="13">
        <f t="shared" ref="S49:S59" si="42">IFERROR(SUM((T49/R49)-1),0)</f>
        <v>0</v>
      </c>
      <c r="T49" s="15">
        <v>7.4607009366E8</v>
      </c>
      <c r="U49" s="13">
        <f t="shared" ref="U49:U59" si="43">IFERROR(SUM((V49/T49)-1),0)</f>
        <v>0</v>
      </c>
      <c r="V49" s="15">
        <v>7.4607009366E8</v>
      </c>
      <c r="W49" s="13">
        <f t="shared" ref="W49:W57" si="44">IFERROR(SUM((X49/V49)-1),0)</f>
        <v>-1</v>
      </c>
      <c r="X49" s="15">
        <v>0.0</v>
      </c>
    </row>
    <row r="50">
      <c r="A50" s="25" t="s">
        <v>74</v>
      </c>
      <c r="B50" s="15">
        <v>9.535305131E7</v>
      </c>
      <c r="C50" s="13">
        <f t="shared" si="34"/>
        <v>-0.3988531625</v>
      </c>
      <c r="D50" s="15">
        <v>5.732118524E7</v>
      </c>
      <c r="E50" s="13">
        <f t="shared" si="35"/>
        <v>-0.02872321748</v>
      </c>
      <c r="F50" s="15">
        <v>5.567473637E7</v>
      </c>
      <c r="G50" s="13">
        <f t="shared" si="36"/>
        <v>0</v>
      </c>
      <c r="H50" s="15">
        <v>5.567473637E7</v>
      </c>
      <c r="I50" s="13">
        <f t="shared" si="37"/>
        <v>0.1859200692</v>
      </c>
      <c r="J50" s="15">
        <v>6.602578721E7</v>
      </c>
      <c r="K50" s="13">
        <f t="shared" si="38"/>
        <v>0</v>
      </c>
      <c r="L50" s="15">
        <v>6.602578721E7</v>
      </c>
      <c r="M50" s="13">
        <f t="shared" si="39"/>
        <v>0</v>
      </c>
      <c r="N50" s="15">
        <v>6.602578721E7</v>
      </c>
      <c r="O50" s="13">
        <f t="shared" si="40"/>
        <v>-0.6161903056</v>
      </c>
      <c r="P50" s="15">
        <v>2.534133721E7</v>
      </c>
      <c r="Q50" s="13">
        <f t="shared" si="41"/>
        <v>1.605457899</v>
      </c>
      <c r="R50" s="15">
        <v>6.602578721E7</v>
      </c>
      <c r="S50" s="13">
        <f t="shared" si="42"/>
        <v>0</v>
      </c>
      <c r="T50" s="15">
        <v>6.602578721E7</v>
      </c>
      <c r="U50" s="13">
        <f t="shared" si="43"/>
        <v>0</v>
      </c>
      <c r="V50" s="15">
        <v>6.602578721E7</v>
      </c>
      <c r="W50" s="13">
        <f t="shared" si="44"/>
        <v>0</v>
      </c>
      <c r="X50" s="15">
        <v>6.602578721E7</v>
      </c>
    </row>
    <row r="51">
      <c r="A51" s="25" t="s">
        <v>75</v>
      </c>
      <c r="B51" s="26">
        <f>SUM(B49:B50)</f>
        <v>655638794.3</v>
      </c>
      <c r="C51" s="27">
        <f t="shared" si="34"/>
        <v>-0.03230313443</v>
      </c>
      <c r="D51" s="26">
        <f>SUM(D49:D50)</f>
        <v>634459606.2</v>
      </c>
      <c r="E51" s="27">
        <f t="shared" si="35"/>
        <v>0.5718413857</v>
      </c>
      <c r="F51" s="26">
        <f>SUM(F49:F50)</f>
        <v>997269866.5</v>
      </c>
      <c r="G51" s="27">
        <f t="shared" si="36"/>
        <v>-0.2064486503</v>
      </c>
      <c r="H51" s="26">
        <f>SUM(H49:H50)</f>
        <v>791384848.5</v>
      </c>
      <c r="I51" s="27">
        <f t="shared" si="37"/>
        <v>0.02062769521</v>
      </c>
      <c r="J51" s="26">
        <f>SUM(J49:J50)</f>
        <v>807709294</v>
      </c>
      <c r="K51" s="27">
        <f t="shared" si="38"/>
        <v>0.001345185797</v>
      </c>
      <c r="L51" s="26">
        <f>SUM(L49:L50)</f>
        <v>808795813.1</v>
      </c>
      <c r="M51" s="27">
        <f t="shared" si="39"/>
        <v>0.004080223657</v>
      </c>
      <c r="N51" s="26">
        <f>SUM(N49:N50)</f>
        <v>812095880.9</v>
      </c>
      <c r="O51" s="27">
        <f t="shared" si="40"/>
        <v>-0.04732434041</v>
      </c>
      <c r="P51" s="26">
        <f>SUM(P49:P50)</f>
        <v>773663979</v>
      </c>
      <c r="Q51" s="27">
        <f t="shared" si="41"/>
        <v>0.04967518581</v>
      </c>
      <c r="R51" s="26">
        <f>SUM(R49:R50)</f>
        <v>812095880.9</v>
      </c>
      <c r="S51" s="27">
        <f t="shared" si="42"/>
        <v>0</v>
      </c>
      <c r="T51" s="26">
        <f>SUM(T49:T50)</f>
        <v>812095880.9</v>
      </c>
      <c r="U51" s="27">
        <f t="shared" si="43"/>
        <v>0</v>
      </c>
      <c r="V51" s="26">
        <f>SUM(V49:V50)</f>
        <v>812095880.9</v>
      </c>
      <c r="W51" s="27">
        <f t="shared" si="44"/>
        <v>-0.9186970544</v>
      </c>
      <c r="X51" s="26">
        <f>SUM(X49:X50)</f>
        <v>66025787.21</v>
      </c>
    </row>
    <row r="52">
      <c r="A52" s="1" t="s">
        <v>76</v>
      </c>
      <c r="B52" s="62">
        <f>B22/B64</f>
        <v>0.0008073948083</v>
      </c>
      <c r="C52" s="31">
        <f t="shared" si="34"/>
        <v>0.2672749791</v>
      </c>
      <c r="D52" s="62">
        <f>D22/D64</f>
        <v>0.001023191239</v>
      </c>
      <c r="E52" s="31">
        <f t="shared" si="35"/>
        <v>0.4368265135</v>
      </c>
      <c r="F52" s="62">
        <f>F22/F64</f>
        <v>0.0014701483</v>
      </c>
      <c r="G52" s="31">
        <f t="shared" si="36"/>
        <v>-0.1605346513</v>
      </c>
      <c r="H52" s="62">
        <f>H22/H64</f>
        <v>0.001234138556</v>
      </c>
      <c r="I52" s="31">
        <f t="shared" si="37"/>
        <v>-0.176675765</v>
      </c>
      <c r="J52" s="62">
        <f>J22/J64</f>
        <v>0.001016096182</v>
      </c>
      <c r="K52" s="31">
        <f t="shared" si="38"/>
        <v>-0.01183819364</v>
      </c>
      <c r="L52" s="62">
        <f>L22/L64</f>
        <v>0.001004067439</v>
      </c>
      <c r="M52" s="31">
        <f t="shared" si="39"/>
        <v>0.0915751745</v>
      </c>
      <c r="N52" s="62">
        <f>N22/N64</f>
        <v>0.00109601509</v>
      </c>
      <c r="O52" s="31">
        <f t="shared" si="40"/>
        <v>-0.05619920701</v>
      </c>
      <c r="P52" s="62">
        <f>P22/P64</f>
        <v>0.001034419911</v>
      </c>
      <c r="Q52" s="31">
        <f t="shared" si="41"/>
        <v>-0.001286463618</v>
      </c>
      <c r="R52" s="62">
        <f>R22/R64</f>
        <v>0.001033089167</v>
      </c>
      <c r="S52" s="31">
        <f t="shared" si="42"/>
        <v>0</v>
      </c>
      <c r="T52" s="62">
        <f>T22/T64</f>
        <v>0.001033089167</v>
      </c>
      <c r="U52" s="31">
        <f t="shared" si="43"/>
        <v>0</v>
      </c>
      <c r="V52" s="62">
        <f>V22/V64</f>
        <v>0.001033089167</v>
      </c>
      <c r="W52" s="31">
        <f t="shared" si="44"/>
        <v>-0.01644871092</v>
      </c>
      <c r="X52" s="62">
        <f>X22/X64</f>
        <v>0.001016096182</v>
      </c>
      <c r="Y52" s="13"/>
    </row>
    <row r="53">
      <c r="A53" s="1" t="s">
        <v>77</v>
      </c>
      <c r="B53" s="31">
        <f>B51/B47</f>
        <v>0.1331221606</v>
      </c>
      <c r="C53" s="31">
        <f t="shared" si="34"/>
        <v>-0.02742425198</v>
      </c>
      <c r="D53" s="31">
        <f>D51/D47</f>
        <v>0.1294713849</v>
      </c>
      <c r="E53" s="31">
        <f t="shared" si="35"/>
        <v>0.4593847058</v>
      </c>
      <c r="F53" s="31">
        <f>F51/F47</f>
        <v>0.1889485589</v>
      </c>
      <c r="G53" s="31">
        <f t="shared" si="36"/>
        <v>-0.2074458787</v>
      </c>
      <c r="H53" s="31">
        <f>H51/H47</f>
        <v>0.1497519591</v>
      </c>
      <c r="I53" s="31">
        <f t="shared" si="37"/>
        <v>-0.1412202838</v>
      </c>
      <c r="J53" s="31">
        <f>J51/J47</f>
        <v>0.1286039449</v>
      </c>
      <c r="K53" s="31">
        <f t="shared" si="38"/>
        <v>0.003156363174</v>
      </c>
      <c r="L53" s="31">
        <f>L51/L47</f>
        <v>0.1290098657</v>
      </c>
      <c r="M53" s="31">
        <f t="shared" si="39"/>
        <v>0.005824438346</v>
      </c>
      <c r="N53" s="31">
        <f>N51/N47</f>
        <v>0.1297612757</v>
      </c>
      <c r="O53" s="31">
        <f t="shared" si="40"/>
        <v>-0.04047410529</v>
      </c>
      <c r="P53" s="31">
        <f>P51/P47</f>
        <v>0.1245093042</v>
      </c>
      <c r="Q53" s="31">
        <f t="shared" si="41"/>
        <v>0.04218135802</v>
      </c>
      <c r="R53" s="31">
        <f>R51/R47</f>
        <v>0.1297612757</v>
      </c>
      <c r="S53" s="31">
        <f t="shared" si="42"/>
        <v>0</v>
      </c>
      <c r="T53" s="31">
        <f>T51/T47</f>
        <v>0.1297612757</v>
      </c>
      <c r="U53" s="31">
        <f t="shared" si="43"/>
        <v>0</v>
      </c>
      <c r="V53" s="31">
        <f>V51/V47</f>
        <v>0.1297612757</v>
      </c>
      <c r="W53" s="31">
        <f t="shared" si="44"/>
        <v>-0.9189845792</v>
      </c>
      <c r="X53" s="31">
        <f>X51/X47</f>
        <v>0.01051266435</v>
      </c>
      <c r="Y53" s="13"/>
    </row>
    <row r="54">
      <c r="A54" s="1" t="s">
        <v>78</v>
      </c>
      <c r="B54" s="31">
        <f>B51/B64</f>
        <v>0.155301792</v>
      </c>
      <c r="C54" s="31">
        <f t="shared" si="34"/>
        <v>-0.03427556012</v>
      </c>
      <c r="D54" s="31">
        <f>D51/D64</f>
        <v>0.1499787361</v>
      </c>
      <c r="E54" s="31">
        <f t="shared" si="35"/>
        <v>0.5672426459</v>
      </c>
      <c r="F54" s="31">
        <f>F51/F64</f>
        <v>0.2350530712</v>
      </c>
      <c r="G54" s="31">
        <f t="shared" si="36"/>
        <v>-0.2440919134</v>
      </c>
      <c r="H54" s="31">
        <f>H51/H64</f>
        <v>0.1776785173</v>
      </c>
      <c r="I54" s="31">
        <f t="shared" si="37"/>
        <v>-0.1619691026</v>
      </c>
      <c r="J54" s="31">
        <f>J51/J64</f>
        <v>0.1489000873</v>
      </c>
      <c r="K54" s="31">
        <f t="shared" si="38"/>
        <v>0.004267327795</v>
      </c>
      <c r="L54" s="31">
        <f>L51/L64</f>
        <v>0.1495354927</v>
      </c>
      <c r="M54" s="31">
        <f t="shared" si="39"/>
        <v>0.006175597826</v>
      </c>
      <c r="N54" s="31">
        <f>N51/N64</f>
        <v>0.1504589638</v>
      </c>
      <c r="O54" s="31">
        <f t="shared" si="40"/>
        <v>-0.04609717913</v>
      </c>
      <c r="P54" s="31">
        <f>P51/P64</f>
        <v>0.14352323</v>
      </c>
      <c r="Q54" s="31">
        <f t="shared" si="41"/>
        <v>0.04832481687</v>
      </c>
      <c r="R54" s="31">
        <f>R51/R64</f>
        <v>0.1504589638</v>
      </c>
      <c r="S54" s="31">
        <f t="shared" si="42"/>
        <v>0</v>
      </c>
      <c r="T54" s="31">
        <f>T51/T64</f>
        <v>0.1504589638</v>
      </c>
      <c r="U54" s="31">
        <f t="shared" si="43"/>
        <v>0</v>
      </c>
      <c r="V54" s="31">
        <f>V51/V64</f>
        <v>0.1504589638</v>
      </c>
      <c r="W54" s="31">
        <f t="shared" si="44"/>
        <v>-0.9191024455</v>
      </c>
      <c r="X54" s="31">
        <f>X51/X64</f>
        <v>0.01217176223</v>
      </c>
      <c r="Y54" s="13"/>
    </row>
    <row r="55">
      <c r="A55" s="4" t="s">
        <v>79</v>
      </c>
      <c r="B55" s="15">
        <f>B36</f>
        <v>29371456</v>
      </c>
      <c r="C55" s="13">
        <f t="shared" si="34"/>
        <v>0.117168519</v>
      </c>
      <c r="D55" s="15">
        <f>D36</f>
        <v>32812866</v>
      </c>
      <c r="E55" s="13">
        <f t="shared" si="35"/>
        <v>0</v>
      </c>
      <c r="F55" s="15">
        <f>F36</f>
        <v>32812866</v>
      </c>
      <c r="G55" s="13">
        <f t="shared" si="36"/>
        <v>0.01919332496</v>
      </c>
      <c r="H55" s="15">
        <f>H36</f>
        <v>33442654</v>
      </c>
      <c r="I55" s="13">
        <f t="shared" si="37"/>
        <v>0.2600638693</v>
      </c>
      <c r="J55" s="15">
        <f>J36</f>
        <v>42139880</v>
      </c>
      <c r="K55" s="13">
        <f t="shared" si="38"/>
        <v>0</v>
      </c>
      <c r="L55" s="15">
        <f>L36</f>
        <v>42139880</v>
      </c>
      <c r="M55" s="13">
        <f t="shared" si="39"/>
        <v>0</v>
      </c>
      <c r="N55" s="15">
        <f>N36</f>
        <v>42139880</v>
      </c>
      <c r="O55" s="13">
        <f t="shared" si="40"/>
        <v>0</v>
      </c>
      <c r="P55" s="15">
        <f>P36</f>
        <v>42139880</v>
      </c>
      <c r="Q55" s="13">
        <f t="shared" si="41"/>
        <v>0</v>
      </c>
      <c r="R55" s="15">
        <f>R36</f>
        <v>42139880</v>
      </c>
      <c r="S55" s="13">
        <f t="shared" si="42"/>
        <v>0</v>
      </c>
      <c r="T55" s="15">
        <f>T36</f>
        <v>42139880</v>
      </c>
      <c r="U55" s="13">
        <f t="shared" si="43"/>
        <v>0</v>
      </c>
      <c r="V55" s="15">
        <f>V36</f>
        <v>42139880</v>
      </c>
      <c r="W55" s="13">
        <f t="shared" si="44"/>
        <v>0</v>
      </c>
      <c r="X55" s="15">
        <f>X36</f>
        <v>42139880</v>
      </c>
    </row>
    <row r="56">
      <c r="A56" s="44" t="s">
        <v>80</v>
      </c>
      <c r="B56" s="43">
        <v>2634170.62</v>
      </c>
      <c r="C56" s="12">
        <f t="shared" si="34"/>
        <v>0.05609241439</v>
      </c>
      <c r="D56" s="43">
        <v>2781927.61</v>
      </c>
      <c r="E56" s="12">
        <f t="shared" si="35"/>
        <v>0.8586195634</v>
      </c>
      <c r="F56" s="43">
        <v>5170545.08</v>
      </c>
      <c r="G56" s="12">
        <f t="shared" si="36"/>
        <v>0.1185590205</v>
      </c>
      <c r="H56" s="43">
        <v>5783559.84</v>
      </c>
      <c r="I56" s="12">
        <f t="shared" si="37"/>
        <v>0.07903327408</v>
      </c>
      <c r="J56" s="43">
        <v>6240653.51</v>
      </c>
      <c r="K56" s="12">
        <f t="shared" si="38"/>
        <v>0.5380559127</v>
      </c>
      <c r="L56" s="43">
        <v>9598474.03</v>
      </c>
      <c r="M56" s="12">
        <f t="shared" si="39"/>
        <v>-0.3029585381</v>
      </c>
      <c r="N56" s="43">
        <v>6690534.37</v>
      </c>
      <c r="O56" s="12">
        <f t="shared" si="40"/>
        <v>0.1039916293</v>
      </c>
      <c r="P56" s="43">
        <v>7386293.94</v>
      </c>
      <c r="Q56" s="12">
        <f t="shared" si="41"/>
        <v>-0.0941960306</v>
      </c>
      <c r="R56" s="43">
        <v>6690534.37</v>
      </c>
      <c r="S56" s="12">
        <f t="shared" si="42"/>
        <v>0</v>
      </c>
      <c r="T56" s="43">
        <v>6690534.37</v>
      </c>
      <c r="U56" s="12">
        <f t="shared" si="43"/>
        <v>0</v>
      </c>
      <c r="V56" s="43">
        <v>6690534.37</v>
      </c>
      <c r="W56" s="12">
        <f t="shared" si="44"/>
        <v>-0.06724139435</v>
      </c>
      <c r="X56" s="43">
        <v>6240653.51</v>
      </c>
    </row>
    <row r="57">
      <c r="A57" s="1" t="s">
        <v>81</v>
      </c>
      <c r="B57" s="62">
        <f>IFERROR(B56/B31,0)</f>
        <v>0.107248753</v>
      </c>
      <c r="C57" s="31">
        <f t="shared" si="34"/>
        <v>-0.2681610184</v>
      </c>
      <c r="D57" s="62">
        <f>IFERROR(D56/D31,0)</f>
        <v>0.07848881817</v>
      </c>
      <c r="E57" s="31">
        <f t="shared" si="35"/>
        <v>1.067932616</v>
      </c>
      <c r="F57" s="62">
        <f>IFERROR(F56/F31,0)</f>
        <v>0.1623095871</v>
      </c>
      <c r="G57" s="31">
        <f t="shared" si="36"/>
        <v>0.1090488836</v>
      </c>
      <c r="H57" s="62">
        <f>IFERROR(H56/H31,0)</f>
        <v>0.1800092663</v>
      </c>
      <c r="I57" s="31">
        <f t="shared" si="37"/>
        <v>0.2539583509</v>
      </c>
      <c r="J57" s="62">
        <f>IFERROR(J56/J31,0)</f>
        <v>0.2257241228</v>
      </c>
      <c r="K57" s="31">
        <f t="shared" si="38"/>
        <v>0.1690682234</v>
      </c>
      <c r="L57" s="62">
        <f>IFERROR(L56/L31,0)</f>
        <v>0.2638868992</v>
      </c>
      <c r="M57" s="31">
        <f t="shared" si="39"/>
        <v>-0.3278310931</v>
      </c>
      <c r="N57" s="62">
        <f>IFERROR(N56/N31,0)</f>
        <v>0.1773765686</v>
      </c>
      <c r="O57" s="31">
        <f t="shared" si="40"/>
        <v>0.1976789342</v>
      </c>
      <c r="P57" s="62">
        <f>IFERROR(P56/P31,0)</f>
        <v>0.2124401796</v>
      </c>
      <c r="Q57" s="31">
        <f t="shared" si="41"/>
        <v>-0.0941960306</v>
      </c>
      <c r="R57" s="62">
        <f>IFERROR(R56/R31,0)</f>
        <v>0.1924291579</v>
      </c>
      <c r="S57" s="31">
        <f t="shared" si="42"/>
        <v>0</v>
      </c>
      <c r="T57" s="62">
        <f>IFERROR(T56/T31,0)</f>
        <v>0.1924291579</v>
      </c>
      <c r="U57" s="31">
        <f t="shared" si="43"/>
        <v>0</v>
      </c>
      <c r="V57" s="62">
        <f>IFERROR(V56/V31,0)</f>
        <v>0.1924291579</v>
      </c>
      <c r="W57" s="31">
        <f t="shared" si="44"/>
        <v>0.1730245311</v>
      </c>
      <c r="X57" s="62">
        <f>IFERROR(X56/X31,0)</f>
        <v>0.2257241228</v>
      </c>
      <c r="Y57" s="13"/>
    </row>
    <row r="58">
      <c r="A58" s="25" t="s">
        <v>82</v>
      </c>
      <c r="B58" s="63">
        <f>IFERROR(B56/(B84*B38),0)*12</f>
        <v>0.007464953048</v>
      </c>
      <c r="C58" s="27">
        <f t="shared" si="34"/>
        <v>0.07467736601</v>
      </c>
      <c r="D58" s="63">
        <f>IFERROR(D56/(D84*D38),0)*12</f>
        <v>0.008022416079</v>
      </c>
      <c r="E58" s="27">
        <f t="shared" si="35"/>
        <v>0.8743003142</v>
      </c>
      <c r="F58" s="63">
        <f>IFERROR(F56/(F84*F38),0)*12</f>
        <v>0.01503641698</v>
      </c>
      <c r="G58" s="27">
        <f t="shared" si="36"/>
        <v>0.09370143423</v>
      </c>
      <c r="H58" s="63">
        <f>IFERROR(H56/(H84*H38),0)*12</f>
        <v>0.01644535081</v>
      </c>
      <c r="I58" s="27">
        <f t="shared" si="37"/>
        <v>-0.1204841416</v>
      </c>
      <c r="J58" s="63">
        <f>IFERROR(J56/(J84*J38),0)*12</f>
        <v>0.01446394684</v>
      </c>
      <c r="K58" s="27">
        <f t="shared" si="38"/>
        <v>0.5975168371</v>
      </c>
      <c r="L58" s="63">
        <f>IFERROR(L56/(L84*L38),0)*12</f>
        <v>0.0231063986</v>
      </c>
      <c r="M58" s="27">
        <f t="shared" si="39"/>
        <v>-0.2791020172</v>
      </c>
      <c r="N58" s="63">
        <f>IFERROR(N56/(N84*N38),0)*12</f>
        <v>0.01665735614</v>
      </c>
      <c r="O58" s="27">
        <f t="shared" si="40"/>
        <v>0.114568083</v>
      </c>
      <c r="P58" s="63">
        <f>IFERROR(P56/(P84*P38),0)*12</f>
        <v>0.0185657575</v>
      </c>
      <c r="Q58" s="27">
        <f t="shared" si="41"/>
        <v>-0.0941960306</v>
      </c>
      <c r="R58" s="63">
        <f>IFERROR(R56/(R84*R38),0)*12</f>
        <v>0.01681693684</v>
      </c>
      <c r="S58" s="27">
        <f t="shared" si="42"/>
        <v>0</v>
      </c>
      <c r="T58" s="63">
        <f>IFERROR(T56/(T84*T38),0)*12</f>
        <v>0.01681693684</v>
      </c>
      <c r="U58" s="27">
        <f t="shared" si="43"/>
        <v>-0.04226804124</v>
      </c>
      <c r="V58" s="63">
        <f>IFERROR(V56/(V84*V38),0)*12</f>
        <v>0.01610611786</v>
      </c>
      <c r="W58" s="27">
        <f>IFERROR(SUM((X58/V62)-1),0)</f>
        <v>-0.9058146392</v>
      </c>
      <c r="X58" s="63">
        <f>IFERROR(X56/(X84*X38),0)*12</f>
        <v>0.01502312004</v>
      </c>
    </row>
    <row r="59">
      <c r="A59" s="4" t="s">
        <v>83</v>
      </c>
      <c r="B59" s="15">
        <v>1.573902529E7</v>
      </c>
      <c r="C59" s="13">
        <f t="shared" si="34"/>
        <v>-1</v>
      </c>
      <c r="D59" s="15">
        <v>0.0</v>
      </c>
      <c r="E59" s="13">
        <f t="shared" si="35"/>
        <v>0</v>
      </c>
      <c r="F59" s="15">
        <v>0.0</v>
      </c>
      <c r="G59" s="13">
        <f t="shared" si="36"/>
        <v>0</v>
      </c>
      <c r="H59" s="15">
        <v>0.0</v>
      </c>
      <c r="I59" s="13">
        <f t="shared" si="37"/>
        <v>0</v>
      </c>
      <c r="J59" s="15">
        <v>0.0</v>
      </c>
      <c r="K59" s="13">
        <f t="shared" si="38"/>
        <v>0</v>
      </c>
      <c r="L59" s="15">
        <v>0.0</v>
      </c>
      <c r="M59" s="13">
        <f t="shared" si="39"/>
        <v>0</v>
      </c>
      <c r="N59" s="15">
        <v>0.0</v>
      </c>
      <c r="O59" s="13">
        <f t="shared" si="40"/>
        <v>0</v>
      </c>
      <c r="P59" s="15">
        <v>0.0</v>
      </c>
      <c r="Q59" s="13">
        <f t="shared" si="41"/>
        <v>0</v>
      </c>
      <c r="R59" s="15">
        <v>0.0</v>
      </c>
      <c r="S59" s="13">
        <f t="shared" si="42"/>
        <v>0</v>
      </c>
      <c r="T59" s="15">
        <v>0.0</v>
      </c>
      <c r="U59" s="13">
        <f t="shared" si="43"/>
        <v>0</v>
      </c>
      <c r="V59" s="15">
        <v>0.0</v>
      </c>
      <c r="W59" s="13">
        <f>IFERROR(SUM((X59/V59)-1),0)</f>
        <v>0</v>
      </c>
      <c r="X59" s="15">
        <v>7.4168350678E8</v>
      </c>
    </row>
    <row r="60">
      <c r="M60" s="13"/>
      <c r="N60" s="15"/>
      <c r="O60" s="13"/>
      <c r="P60" s="15"/>
      <c r="Q60" s="13"/>
      <c r="R60" s="15"/>
      <c r="S60" s="13"/>
      <c r="T60" s="15"/>
      <c r="U60" s="13"/>
      <c r="V60" s="15"/>
      <c r="W60" s="13"/>
      <c r="X60" s="15"/>
    </row>
    <row r="61">
      <c r="A61" s="25" t="s">
        <v>84</v>
      </c>
      <c r="B61" s="24">
        <f>SUM(B55,B51,B56,B59)</f>
        <v>703383446.2</v>
      </c>
      <c r="C61" s="13">
        <f t="shared" ref="C61:C64" si="45">IFERROR(SUM((D61/B61)-1),0)</f>
        <v>-0.04738389365</v>
      </c>
      <c r="D61" s="24">
        <f>SUM(D55,D51,D56,D59)</f>
        <v>670054399.8</v>
      </c>
      <c r="E61" s="13">
        <f t="shared" ref="E61:E64" si="46">IFERROR(SUM((F61/D61)-1),0)</f>
        <v>0.5450286991</v>
      </c>
      <c r="F61" s="24">
        <f>SUM(F55,F51,F56,F59)</f>
        <v>1035253278</v>
      </c>
      <c r="G61" s="13">
        <f t="shared" ref="G61:G64" si="47">IFERROR(SUM((H61/F61)-1),0)</f>
        <v>-0.1976735738</v>
      </c>
      <c r="H61" s="24">
        <f>SUM(H55,H51,H56,H59)</f>
        <v>830611062.4</v>
      </c>
      <c r="I61" s="13">
        <f t="shared" ref="I61:I64" si="48">IFERROR(SUM((J61/H61)-1),0)</f>
        <v>0.03067472404</v>
      </c>
      <c r="J61" s="24">
        <f>SUM(J55,J51,J56,J59)</f>
        <v>856089827.5</v>
      </c>
      <c r="K61" s="13">
        <f t="shared" ref="K61:K64" si="49">IFERROR(SUM((L61/J61)-1),0)</f>
        <v>0.005191440719</v>
      </c>
      <c r="L61" s="24">
        <f>SUM(L55,L51,L56,L59)</f>
        <v>860534167.1</v>
      </c>
      <c r="M61" s="13">
        <f t="shared" ref="M61:M64" si="50">IFERROR(SUM((N61/L61)-1),0)</f>
        <v>0.0004556799311</v>
      </c>
      <c r="N61" s="24">
        <f>SUM(N55,N51,N56,N59)</f>
        <v>860926295.2</v>
      </c>
      <c r="O61" s="13">
        <f t="shared" ref="O61:O64" si="51">IFERROR(SUM((P61/N61)-1),0)</f>
        <v>-0.04383202435</v>
      </c>
      <c r="P61" s="24">
        <f>SUM(P55,P51,P56,P59)</f>
        <v>823190152.9</v>
      </c>
      <c r="Q61" s="13">
        <f t="shared" ref="Q61:Q64" si="52">IFERROR(SUM((R61/P61)-1),0)</f>
        <v>0.04584134323</v>
      </c>
      <c r="R61" s="24">
        <f>SUM(R55,R51,R56,R59)</f>
        <v>860926295.2</v>
      </c>
      <c r="S61" s="13">
        <f t="shared" ref="S61:S64" si="53">IFERROR(SUM((T61/R61)-1),0)</f>
        <v>0</v>
      </c>
      <c r="T61" s="24">
        <f>SUM(T55,T51,T56,T59)</f>
        <v>860926295.2</v>
      </c>
      <c r="U61" s="13">
        <f t="shared" ref="U61:U64" si="54">IFERROR(SUM((V61/T61)-1),0)</f>
        <v>0</v>
      </c>
      <c r="V61" s="24">
        <f>SUM(V55,V51,V56,V59)</f>
        <v>860926295.2</v>
      </c>
      <c r="W61" s="13">
        <f t="shared" ref="W61:W64" si="55">IFERROR(SUM((X61/V61)-1),0)</f>
        <v>-0.005617748891</v>
      </c>
      <c r="X61" s="24">
        <f>SUM(X55,X51,X56,X59)</f>
        <v>856089827.5</v>
      </c>
    </row>
    <row r="62">
      <c r="A62" s="4" t="s">
        <v>85</v>
      </c>
      <c r="B62" s="13">
        <f>(B47/B64)-1</f>
        <v>0.1666111136</v>
      </c>
      <c r="C62" s="13">
        <f t="shared" si="45"/>
        <v>-0.04932558071</v>
      </c>
      <c r="D62" s="13">
        <f>(D47/D64)-1</f>
        <v>0.1583929237</v>
      </c>
      <c r="E62" s="13">
        <f t="shared" si="46"/>
        <v>0.5405084052</v>
      </c>
      <c r="F62" s="13">
        <f>(F47/F64)-1</f>
        <v>0.2440056303</v>
      </c>
      <c r="G62" s="13">
        <f t="shared" si="47"/>
        <v>-0.2357330955</v>
      </c>
      <c r="H62" s="13">
        <f>(H47/H64)-1</f>
        <v>0.1864854277</v>
      </c>
      <c r="I62" s="13">
        <f t="shared" si="48"/>
        <v>-0.1537195513</v>
      </c>
      <c r="J62" s="13">
        <f>(J47/J64)-1</f>
        <v>0.1578189715</v>
      </c>
      <c r="K62" s="13">
        <f t="shared" si="49"/>
        <v>0.008124806922</v>
      </c>
      <c r="L62" s="13">
        <f>(L47/L64)-1</f>
        <v>0.1591012201</v>
      </c>
      <c r="M62" s="13">
        <f t="shared" si="50"/>
        <v>0.002543490187</v>
      </c>
      <c r="N62" s="13">
        <f>(N47/N64)-1</f>
        <v>0.1595058925</v>
      </c>
      <c r="O62" s="13">
        <f t="shared" si="51"/>
        <v>-0.04260036456</v>
      </c>
      <c r="P62" s="13">
        <f>(P47/P64)-1</f>
        <v>0.1527108834</v>
      </c>
      <c r="Q62" s="13">
        <f t="shared" si="52"/>
        <v>0.04449590639</v>
      </c>
      <c r="R62" s="13">
        <f>(R47/R64)-1</f>
        <v>0.1595058925</v>
      </c>
      <c r="S62" s="13">
        <f t="shared" si="53"/>
        <v>0</v>
      </c>
      <c r="T62" s="13">
        <f>(T47/T64)-1</f>
        <v>0.1595058925</v>
      </c>
      <c r="U62" s="13">
        <f t="shared" si="54"/>
        <v>0</v>
      </c>
      <c r="V62" s="13">
        <f>(V47/V64)-1</f>
        <v>0.1595058925</v>
      </c>
      <c r="W62" s="13">
        <f t="shared" si="55"/>
        <v>-0.0105759169</v>
      </c>
      <c r="X62" s="13">
        <f>(X47/X64)-1</f>
        <v>0.1578189715</v>
      </c>
    </row>
    <row r="63">
      <c r="A63" s="1" t="s">
        <v>86</v>
      </c>
      <c r="B63" s="69">
        <f>B31/B22</f>
        <v>7.205722316</v>
      </c>
      <c r="C63" s="13">
        <f t="shared" si="45"/>
        <v>0.1363952567</v>
      </c>
      <c r="D63" s="69">
        <f>D31/D22</f>
        <v>8.188548661</v>
      </c>
      <c r="E63" s="13">
        <f t="shared" si="46"/>
        <v>-0.3762977524</v>
      </c>
      <c r="F63" s="69">
        <f>F31/F22</f>
        <v>5.107216204</v>
      </c>
      <c r="G63" s="13">
        <f t="shared" si="47"/>
        <v>0.1444567846</v>
      </c>
      <c r="H63" s="69">
        <f>H31/H22</f>
        <v>5.844988235</v>
      </c>
      <c r="I63" s="13">
        <f t="shared" si="48"/>
        <v>-0.1418296453</v>
      </c>
      <c r="J63" s="69">
        <f>J31/J22</f>
        <v>5.015995627</v>
      </c>
      <c r="K63" s="13">
        <f t="shared" si="49"/>
        <v>0.335271942</v>
      </c>
      <c r="L63" s="69">
        <f>L31/L22</f>
        <v>6.697718222</v>
      </c>
      <c r="M63" s="13">
        <f t="shared" si="50"/>
        <v>-0.04801104455</v>
      </c>
      <c r="N63" s="69">
        <f>N31/N22</f>
        <v>6.376153774</v>
      </c>
      <c r="O63" s="13">
        <f t="shared" si="51"/>
        <v>-0.02207827244</v>
      </c>
      <c r="P63" s="69">
        <f>P31/P22</f>
        <v>6.235379314</v>
      </c>
      <c r="Q63" s="13">
        <f t="shared" si="52"/>
        <v>0</v>
      </c>
      <c r="R63" s="69">
        <f>R31/R22</f>
        <v>6.235379314</v>
      </c>
      <c r="S63" s="13">
        <f t="shared" si="53"/>
        <v>0</v>
      </c>
      <c r="T63" s="69">
        <f>T31/T22</f>
        <v>6.235379314</v>
      </c>
      <c r="U63" s="13">
        <f t="shared" si="54"/>
        <v>0</v>
      </c>
      <c r="V63" s="69">
        <f>V31/V22</f>
        <v>6.235379314</v>
      </c>
      <c r="W63" s="13">
        <f t="shared" si="55"/>
        <v>-0.1955588627</v>
      </c>
      <c r="X63" s="69">
        <f>X31/X22</f>
        <v>5.015995627</v>
      </c>
    </row>
    <row r="64">
      <c r="A64" s="28" t="s">
        <v>87</v>
      </c>
      <c r="B64" s="22">
        <f>SUM(B47-B61)</f>
        <v>4221707849</v>
      </c>
      <c r="C64" s="13">
        <f t="shared" si="45"/>
        <v>0.002042431165</v>
      </c>
      <c r="D64" s="22">
        <f>SUM(D47-D61)</f>
        <v>4230330397</v>
      </c>
      <c r="E64" s="13">
        <f t="shared" si="46"/>
        <v>0.00293428708</v>
      </c>
      <c r="F64" s="22">
        <f>SUM(F47-F61)</f>
        <v>4242743401</v>
      </c>
      <c r="G64" s="13">
        <f t="shared" si="47"/>
        <v>0.04979873053</v>
      </c>
      <c r="H64" s="22">
        <f>SUM(H47-H61)</f>
        <v>4454026636</v>
      </c>
      <c r="I64" s="13">
        <f t="shared" si="48"/>
        <v>0.2178879065</v>
      </c>
      <c r="J64" s="22">
        <f>SUM(J47-J61)</f>
        <v>5424505176</v>
      </c>
      <c r="K64" s="13">
        <f t="shared" si="49"/>
        <v>-0.002909725247</v>
      </c>
      <c r="L64" s="22">
        <f>SUM(L47-L61)</f>
        <v>5408721356</v>
      </c>
      <c r="M64" s="13">
        <f t="shared" si="50"/>
        <v>-0.002082513404</v>
      </c>
      <c r="N64" s="22">
        <f>SUM(N47-N61)</f>
        <v>5397457621</v>
      </c>
      <c r="O64" s="13">
        <f t="shared" si="51"/>
        <v>-0.001286463618</v>
      </c>
      <c r="P64" s="22">
        <f>SUM(P47-P61)</f>
        <v>5390513989</v>
      </c>
      <c r="Q64" s="13">
        <f t="shared" si="52"/>
        <v>0.001288120739</v>
      </c>
      <c r="R64" s="22">
        <f>SUM(R47-R61)</f>
        <v>5397457621</v>
      </c>
      <c r="S64" s="13">
        <f t="shared" si="53"/>
        <v>0</v>
      </c>
      <c r="T64" s="22">
        <f>SUM(T47-T61)</f>
        <v>5397457621</v>
      </c>
      <c r="U64" s="13">
        <f t="shared" si="54"/>
        <v>0</v>
      </c>
      <c r="V64" s="22">
        <f>SUM(V47-V61)</f>
        <v>5397457621</v>
      </c>
      <c r="W64" s="13">
        <f t="shared" si="55"/>
        <v>0.005011165678</v>
      </c>
      <c r="X64" s="22">
        <f>SUM(X47-X61)</f>
        <v>5424505176</v>
      </c>
    </row>
    <row r="65">
      <c r="A65" s="52"/>
      <c r="B65" s="2" t="s">
        <v>1</v>
      </c>
      <c r="C65" s="3">
        <f>$C$1</f>
        <v>46035</v>
      </c>
      <c r="D65" s="2" t="s">
        <v>1</v>
      </c>
      <c r="E65" s="3">
        <f>$E$1</f>
        <v>46059</v>
      </c>
      <c r="F65" s="2" t="s">
        <v>1</v>
      </c>
      <c r="G65" s="3">
        <f>$G$1</f>
        <v>46087</v>
      </c>
      <c r="H65" s="2" t="s">
        <v>1</v>
      </c>
      <c r="I65" s="3">
        <f>$I$1</f>
        <v>46120</v>
      </c>
      <c r="J65" s="2" t="s">
        <v>1</v>
      </c>
      <c r="K65" s="3">
        <f>$K$1</f>
        <v>46157</v>
      </c>
      <c r="L65" s="2" t="s">
        <v>1</v>
      </c>
      <c r="M65" s="3">
        <f>$M$1</f>
        <v>46181</v>
      </c>
      <c r="N65" s="2" t="s">
        <v>1</v>
      </c>
      <c r="O65" s="3">
        <f>$O$1</f>
        <v>46210</v>
      </c>
      <c r="P65" s="2" t="s">
        <v>2</v>
      </c>
      <c r="Q65" s="3">
        <f>$Q$1</f>
        <v>46241</v>
      </c>
      <c r="R65" s="2" t="s">
        <v>3</v>
      </c>
      <c r="S65" s="3">
        <f>$S$1</f>
        <v>46195</v>
      </c>
      <c r="T65" s="2" t="s">
        <v>3</v>
      </c>
      <c r="U65" s="3">
        <f>$U$1</f>
        <v>46195</v>
      </c>
      <c r="V65" s="2" t="s">
        <v>3</v>
      </c>
      <c r="W65" s="3">
        <f>$W$1</f>
        <v>46195</v>
      </c>
      <c r="X65" s="2" t="s">
        <v>3</v>
      </c>
      <c r="Y65" s="3">
        <f>$Y$1</f>
        <v>46195</v>
      </c>
    </row>
    <row r="66">
      <c r="A66" s="1" t="s">
        <v>88</v>
      </c>
      <c r="B66" s="1" t="s">
        <v>5</v>
      </c>
      <c r="C66" s="53"/>
      <c r="D66" s="54" t="s">
        <v>6</v>
      </c>
      <c r="E66" s="55"/>
      <c r="F66" s="54" t="s">
        <v>7</v>
      </c>
      <c r="G66" s="55"/>
      <c r="H66" s="54" t="s">
        <v>8</v>
      </c>
      <c r="I66" s="55"/>
      <c r="J66" s="54" t="s">
        <v>9</v>
      </c>
      <c r="K66" s="55"/>
      <c r="L66" s="54" t="s">
        <v>10</v>
      </c>
      <c r="M66" s="55"/>
      <c r="N66" s="54" t="s">
        <v>11</v>
      </c>
      <c r="O66" s="55"/>
      <c r="P66" s="1" t="s">
        <v>12</v>
      </c>
      <c r="Q66" s="53"/>
      <c r="R66" s="1" t="s">
        <v>13</v>
      </c>
      <c r="S66" s="53"/>
      <c r="T66" s="1" t="s">
        <v>14</v>
      </c>
      <c r="U66" s="53"/>
      <c r="V66" s="1" t="s">
        <v>15</v>
      </c>
      <c r="W66" s="53"/>
      <c r="X66" s="1" t="s">
        <v>16</v>
      </c>
      <c r="Y66" s="15"/>
    </row>
    <row r="67">
      <c r="A67" s="4" t="s">
        <v>89</v>
      </c>
      <c r="B67" s="4">
        <v>24.0</v>
      </c>
      <c r="C67" s="13">
        <f t="shared" ref="C67:C74" si="56">IFERROR(SUM((D67/B67)-1),0)</f>
        <v>0</v>
      </c>
      <c r="D67" s="4">
        <v>24.0</v>
      </c>
      <c r="E67" s="13">
        <f t="shared" ref="E67:E74" si="57">IFERROR(SUM((F67/D67)-1),0)</f>
        <v>0.04166666667</v>
      </c>
      <c r="F67" s="4">
        <v>25.0</v>
      </c>
      <c r="G67" s="13">
        <f t="shared" ref="G67:G74" si="58">IFERROR(SUM((H67/F67)-1),0)</f>
        <v>0</v>
      </c>
      <c r="H67" s="4">
        <v>25.0</v>
      </c>
      <c r="I67" s="13">
        <f t="shared" ref="I67:I74" si="59">IFERROR(SUM((J67/H67)-1),0)</f>
        <v>0.24</v>
      </c>
      <c r="J67" s="4">
        <v>31.0</v>
      </c>
      <c r="K67" s="13">
        <f t="shared" ref="K67:K74" si="60">IFERROR(SUM((L67/J67)-1),0)</f>
        <v>0</v>
      </c>
      <c r="L67" s="4">
        <v>31.0</v>
      </c>
      <c r="M67" s="13">
        <f t="shared" ref="M67:M74" si="61">IFERROR(SUM((N67/L67)-1),0)</f>
        <v>0</v>
      </c>
      <c r="N67" s="4">
        <v>31.0</v>
      </c>
      <c r="O67" s="13">
        <f t="shared" ref="O67:O74" si="62">IFERROR(SUM((P67/N67)-1),0)</f>
        <v>0</v>
      </c>
      <c r="P67" s="4">
        <v>31.0</v>
      </c>
      <c r="Q67" s="13">
        <f t="shared" ref="Q67:Q74" si="63">IFERROR(SUM((R67/P67)-1),0)</f>
        <v>0</v>
      </c>
      <c r="R67" s="4">
        <v>31.0</v>
      </c>
      <c r="S67" s="13">
        <f t="shared" ref="S67:S74" si="64">IFERROR(SUM((T67/R67)-1),0)</f>
        <v>0</v>
      </c>
      <c r="T67" s="4">
        <v>31.0</v>
      </c>
      <c r="U67" s="13">
        <f t="shared" ref="U67:U74" si="65">IFERROR(SUM((V67/T67)-1),0)</f>
        <v>0</v>
      </c>
      <c r="V67" s="4">
        <v>31.0</v>
      </c>
      <c r="W67" s="13">
        <f t="shared" ref="W67:W74" si="66">IFERROR(SUM((X67/V67)-1),0)</f>
        <v>0</v>
      </c>
      <c r="X67" s="4">
        <v>31.0</v>
      </c>
      <c r="Y67" s="15"/>
    </row>
    <row r="68">
      <c r="A68" s="44" t="s">
        <v>90</v>
      </c>
      <c r="B68" s="15">
        <v>77.0</v>
      </c>
      <c r="C68" s="13">
        <f t="shared" si="56"/>
        <v>0</v>
      </c>
      <c r="D68" s="15">
        <v>77.0</v>
      </c>
      <c r="E68" s="13">
        <f t="shared" si="57"/>
        <v>0</v>
      </c>
      <c r="F68" s="15">
        <v>77.0</v>
      </c>
      <c r="G68" s="13">
        <f t="shared" si="58"/>
        <v>-0.03896103896</v>
      </c>
      <c r="H68" s="15">
        <v>74.0</v>
      </c>
      <c r="I68" s="13">
        <f t="shared" si="59"/>
        <v>0.2702702703</v>
      </c>
      <c r="J68" s="15">
        <v>94.0</v>
      </c>
      <c r="K68" s="13">
        <f t="shared" si="60"/>
        <v>0</v>
      </c>
      <c r="L68" s="15">
        <v>94.0</v>
      </c>
      <c r="M68" s="13">
        <f t="shared" si="61"/>
        <v>-0.01063829787</v>
      </c>
      <c r="N68" s="15">
        <v>93.0</v>
      </c>
      <c r="O68" s="13">
        <f t="shared" si="62"/>
        <v>-0.01075268817</v>
      </c>
      <c r="P68" s="15">
        <v>92.0</v>
      </c>
      <c r="Q68" s="13">
        <f t="shared" si="63"/>
        <v>0</v>
      </c>
      <c r="R68" s="15">
        <v>92.0</v>
      </c>
      <c r="S68" s="13">
        <f t="shared" si="64"/>
        <v>0</v>
      </c>
      <c r="T68" s="15">
        <v>92.0</v>
      </c>
      <c r="U68" s="13">
        <f t="shared" si="65"/>
        <v>0.02173913043</v>
      </c>
      <c r="V68" s="15">
        <v>94.0</v>
      </c>
      <c r="W68" s="13">
        <f t="shared" si="66"/>
        <v>0</v>
      </c>
      <c r="X68" s="15">
        <v>94.0</v>
      </c>
      <c r="Y68" s="15"/>
    </row>
    <row r="69">
      <c r="A69" s="4" t="s">
        <v>94</v>
      </c>
      <c r="B69" s="15">
        <v>0.0</v>
      </c>
      <c r="C69" s="13">
        <f t="shared" si="56"/>
        <v>0</v>
      </c>
      <c r="D69" s="15">
        <v>0.0</v>
      </c>
      <c r="E69" s="13">
        <f t="shared" si="57"/>
        <v>0</v>
      </c>
      <c r="F69" s="15">
        <v>0.0</v>
      </c>
      <c r="G69" s="13">
        <f t="shared" si="58"/>
        <v>0</v>
      </c>
      <c r="H69" s="15">
        <v>0.0</v>
      </c>
      <c r="I69" s="13">
        <f t="shared" si="59"/>
        <v>0</v>
      </c>
      <c r="J69" s="15">
        <v>1.0</v>
      </c>
      <c r="K69" s="13">
        <f t="shared" si="60"/>
        <v>0</v>
      </c>
      <c r="L69" s="15">
        <v>1.0</v>
      </c>
      <c r="M69" s="13">
        <f t="shared" si="61"/>
        <v>0</v>
      </c>
      <c r="N69" s="15">
        <v>1.0</v>
      </c>
      <c r="O69" s="13">
        <f t="shared" si="62"/>
        <v>0</v>
      </c>
      <c r="P69" s="15">
        <v>1.0</v>
      </c>
      <c r="Q69" s="13">
        <f t="shared" si="63"/>
        <v>0</v>
      </c>
      <c r="R69" s="15">
        <v>1.0</v>
      </c>
      <c r="S69" s="13">
        <f t="shared" si="64"/>
        <v>0</v>
      </c>
      <c r="T69" s="15">
        <v>1.0</v>
      </c>
      <c r="U69" s="13">
        <f t="shared" si="65"/>
        <v>0</v>
      </c>
      <c r="V69" s="15">
        <v>1.0</v>
      </c>
      <c r="W69" s="13">
        <f t="shared" si="66"/>
        <v>0</v>
      </c>
      <c r="X69" s="15">
        <v>1.0</v>
      </c>
      <c r="Y69" s="15"/>
    </row>
    <row r="70">
      <c r="A70" s="4" t="s">
        <v>91</v>
      </c>
      <c r="B70" s="58">
        <v>1347671.0</v>
      </c>
      <c r="C70" s="13">
        <f t="shared" si="56"/>
        <v>0</v>
      </c>
      <c r="D70" s="58">
        <v>1347671.0</v>
      </c>
      <c r="E70" s="13">
        <f t="shared" si="57"/>
        <v>0</v>
      </c>
      <c r="F70" s="58">
        <v>1347671.0</v>
      </c>
      <c r="G70" s="13">
        <f t="shared" si="58"/>
        <v>0.04634513913</v>
      </c>
      <c r="H70" s="58">
        <v>1410129.0</v>
      </c>
      <c r="I70" s="13">
        <f t="shared" si="59"/>
        <v>0.2166901042</v>
      </c>
      <c r="J70" s="58">
        <v>1715690.0</v>
      </c>
      <c r="K70" s="13">
        <f t="shared" si="60"/>
        <v>0</v>
      </c>
      <c r="L70" s="58">
        <v>1715690.0</v>
      </c>
      <c r="M70" s="13">
        <f t="shared" si="61"/>
        <v>0</v>
      </c>
      <c r="N70" s="58">
        <v>1715690.0</v>
      </c>
      <c r="O70" s="13">
        <f t="shared" si="62"/>
        <v>0</v>
      </c>
      <c r="P70" s="58">
        <v>1715690.0</v>
      </c>
      <c r="Q70" s="13">
        <f t="shared" si="63"/>
        <v>0</v>
      </c>
      <c r="R70" s="58">
        <v>1715690.0</v>
      </c>
      <c r="S70" s="13">
        <f t="shared" si="64"/>
        <v>0</v>
      </c>
      <c r="T70" s="58">
        <v>1715690.0</v>
      </c>
      <c r="U70" s="13">
        <f t="shared" si="65"/>
        <v>0</v>
      </c>
      <c r="V70" s="58">
        <v>1715690.0</v>
      </c>
      <c r="W70" s="13">
        <f t="shared" si="66"/>
        <v>0</v>
      </c>
      <c r="X70" s="58">
        <v>1715690.0</v>
      </c>
    </row>
    <row r="71">
      <c r="A71" s="4" t="s">
        <v>95</v>
      </c>
      <c r="B71" s="15">
        <v>5.1</v>
      </c>
      <c r="C71" s="13">
        <f t="shared" si="56"/>
        <v>0</v>
      </c>
      <c r="D71" s="15">
        <v>5.1</v>
      </c>
      <c r="E71" s="13">
        <f t="shared" si="57"/>
        <v>-0.01960784314</v>
      </c>
      <c r="F71" s="15">
        <v>5.0</v>
      </c>
      <c r="G71" s="13">
        <f t="shared" si="58"/>
        <v>-0.02</v>
      </c>
      <c r="H71" s="15">
        <v>4.9</v>
      </c>
      <c r="I71" s="13">
        <f t="shared" si="59"/>
        <v>0</v>
      </c>
      <c r="J71" s="15">
        <v>4.9</v>
      </c>
      <c r="K71" s="13">
        <f t="shared" si="60"/>
        <v>0</v>
      </c>
      <c r="L71" s="15">
        <v>4.9</v>
      </c>
      <c r="M71" s="13">
        <f t="shared" si="61"/>
        <v>-0.02040816327</v>
      </c>
      <c r="N71" s="15">
        <v>4.8</v>
      </c>
      <c r="O71" s="13">
        <f t="shared" si="62"/>
        <v>0.02083333333</v>
      </c>
      <c r="P71" s="15">
        <v>4.9</v>
      </c>
      <c r="Q71" s="13">
        <f t="shared" si="63"/>
        <v>0</v>
      </c>
      <c r="R71" s="15">
        <v>4.9</v>
      </c>
      <c r="S71" s="13">
        <f t="shared" si="64"/>
        <v>0</v>
      </c>
      <c r="T71" s="15">
        <v>4.9</v>
      </c>
      <c r="U71" s="13">
        <f t="shared" si="65"/>
        <v>0</v>
      </c>
      <c r="V71" s="15">
        <v>4.9</v>
      </c>
      <c r="W71" s="13">
        <f t="shared" si="66"/>
        <v>0</v>
      </c>
      <c r="X71" s="15">
        <v>4.9</v>
      </c>
    </row>
    <row r="72">
      <c r="A72" s="73" t="s">
        <v>97</v>
      </c>
      <c r="B72" s="73">
        <v>1.1</v>
      </c>
      <c r="C72" s="74">
        <f t="shared" si="56"/>
        <v>-0.6363636364</v>
      </c>
      <c r="D72" s="73">
        <v>0.4</v>
      </c>
      <c r="E72" s="74">
        <f t="shared" si="57"/>
        <v>3.75</v>
      </c>
      <c r="F72" s="73">
        <v>1.9</v>
      </c>
      <c r="G72" s="74">
        <f t="shared" si="58"/>
        <v>1.052631579</v>
      </c>
      <c r="H72" s="73">
        <v>3.9</v>
      </c>
      <c r="I72" s="74">
        <f t="shared" si="59"/>
        <v>1.051282051</v>
      </c>
      <c r="J72" s="73">
        <v>8.0</v>
      </c>
      <c r="K72" s="74">
        <f t="shared" si="60"/>
        <v>-0.2625</v>
      </c>
      <c r="L72" s="73">
        <v>5.9</v>
      </c>
      <c r="M72" s="74">
        <f t="shared" si="61"/>
        <v>-0.8305084746</v>
      </c>
      <c r="N72" s="73">
        <v>1.0</v>
      </c>
      <c r="O72" s="74">
        <f t="shared" si="62"/>
        <v>3.8</v>
      </c>
      <c r="P72" s="73">
        <v>4.8</v>
      </c>
      <c r="Q72" s="74">
        <f t="shared" si="63"/>
        <v>0</v>
      </c>
      <c r="R72" s="73">
        <v>4.8</v>
      </c>
      <c r="S72" s="74">
        <f t="shared" si="64"/>
        <v>0</v>
      </c>
      <c r="T72" s="73">
        <v>4.8</v>
      </c>
      <c r="U72" s="74">
        <f t="shared" si="65"/>
        <v>0.2291666667</v>
      </c>
      <c r="V72" s="73">
        <v>5.9</v>
      </c>
      <c r="W72" s="74">
        <f t="shared" si="66"/>
        <v>0</v>
      </c>
      <c r="X72" s="73">
        <v>5.9</v>
      </c>
      <c r="Y72" s="49"/>
    </row>
    <row r="73">
      <c r="A73" s="76" t="s">
        <v>93</v>
      </c>
      <c r="B73" s="77">
        <f>B4</f>
        <v>0.035</v>
      </c>
      <c r="C73" s="74">
        <f t="shared" si="56"/>
        <v>0</v>
      </c>
      <c r="D73" s="77">
        <f>D4</f>
        <v>0.035</v>
      </c>
      <c r="E73" s="74">
        <f t="shared" si="57"/>
        <v>1.228571429</v>
      </c>
      <c r="F73" s="77">
        <f>F4</f>
        <v>0.078</v>
      </c>
      <c r="G73" s="74">
        <f t="shared" si="58"/>
        <v>0.1153846154</v>
      </c>
      <c r="H73" s="77">
        <f>H4</f>
        <v>0.087</v>
      </c>
      <c r="I73" s="74">
        <f t="shared" si="59"/>
        <v>-0.06896551724</v>
      </c>
      <c r="J73" s="77">
        <f>J4</f>
        <v>0.081</v>
      </c>
      <c r="K73" s="74">
        <f t="shared" si="60"/>
        <v>0</v>
      </c>
      <c r="L73" s="77">
        <f>L4</f>
        <v>0.081</v>
      </c>
      <c r="M73" s="74">
        <f t="shared" si="61"/>
        <v>-0.01234567901</v>
      </c>
      <c r="N73" s="77">
        <f>N4</f>
        <v>0.08</v>
      </c>
      <c r="O73" s="74">
        <f t="shared" si="62"/>
        <v>0.1</v>
      </c>
      <c r="P73" s="77">
        <f>P4</f>
        <v>0.088</v>
      </c>
      <c r="Q73" s="74">
        <f t="shared" si="63"/>
        <v>0</v>
      </c>
      <c r="R73" s="77">
        <f>R4</f>
        <v>0.088</v>
      </c>
      <c r="S73" s="74">
        <f t="shared" si="64"/>
        <v>0</v>
      </c>
      <c r="T73" s="77">
        <f>T4</f>
        <v>0.088</v>
      </c>
      <c r="U73" s="74">
        <f t="shared" si="65"/>
        <v>0</v>
      </c>
      <c r="V73" s="77">
        <f>V4</f>
        <v>0.088</v>
      </c>
      <c r="W73" s="74">
        <f t="shared" si="66"/>
        <v>-0.07954545455</v>
      </c>
      <c r="X73" s="77">
        <f>X4</f>
        <v>0.081</v>
      </c>
      <c r="Y73" s="49"/>
    </row>
    <row r="74">
      <c r="A74" s="76" t="s">
        <v>96</v>
      </c>
      <c r="B74" s="73">
        <v>3.5</v>
      </c>
      <c r="C74" s="74">
        <f t="shared" si="56"/>
        <v>0</v>
      </c>
      <c r="D74" s="73">
        <v>3.5</v>
      </c>
      <c r="E74" s="74">
        <f t="shared" si="57"/>
        <v>-0.02857142857</v>
      </c>
      <c r="F74" s="73">
        <v>3.4</v>
      </c>
      <c r="G74" s="74">
        <f t="shared" si="58"/>
        <v>0.2647058824</v>
      </c>
      <c r="H74" s="73">
        <v>4.3</v>
      </c>
      <c r="I74" s="74">
        <f t="shared" si="59"/>
        <v>-0.09302325581</v>
      </c>
      <c r="J74" s="73">
        <v>3.9</v>
      </c>
      <c r="K74" s="74">
        <f t="shared" si="60"/>
        <v>0</v>
      </c>
      <c r="L74" s="73">
        <v>3.9</v>
      </c>
      <c r="M74" s="74">
        <f t="shared" si="61"/>
        <v>-0.02564102564</v>
      </c>
      <c r="N74" s="73">
        <v>3.8</v>
      </c>
      <c r="O74" s="74">
        <f t="shared" si="62"/>
        <v>0.2105263158</v>
      </c>
      <c r="P74" s="73">
        <v>4.6</v>
      </c>
      <c r="Q74" s="74">
        <f t="shared" si="63"/>
        <v>0</v>
      </c>
      <c r="R74" s="73">
        <v>4.6</v>
      </c>
      <c r="S74" s="74">
        <f t="shared" si="64"/>
        <v>0</v>
      </c>
      <c r="T74" s="73">
        <v>4.6</v>
      </c>
      <c r="U74" s="74">
        <f t="shared" si="65"/>
        <v>-0.152173913</v>
      </c>
      <c r="V74" s="73">
        <v>3.9</v>
      </c>
      <c r="W74" s="74">
        <f t="shared" si="66"/>
        <v>0</v>
      </c>
      <c r="X74" s="73">
        <v>3.9</v>
      </c>
      <c r="Y74" s="15"/>
    </row>
    <row r="75">
      <c r="A75" s="1" t="s">
        <v>99</v>
      </c>
      <c r="B75" s="53"/>
      <c r="C75" s="31"/>
      <c r="D75" s="53"/>
      <c r="E75" s="53"/>
      <c r="F75" s="53"/>
      <c r="G75" s="79"/>
      <c r="H75" s="53"/>
      <c r="I75" s="79"/>
      <c r="J75" s="53"/>
      <c r="K75" s="79"/>
      <c r="L75" s="53"/>
      <c r="M75" s="79"/>
      <c r="N75" s="53"/>
      <c r="O75" s="79"/>
      <c r="P75" s="53"/>
      <c r="Q75" s="79"/>
      <c r="R75" s="53"/>
      <c r="S75" s="79"/>
      <c r="T75" s="53"/>
      <c r="U75" s="79"/>
      <c r="V75" s="53"/>
      <c r="W75" s="79"/>
      <c r="X75" s="53"/>
    </row>
    <row r="76">
      <c r="A76" s="65" t="s">
        <v>102</v>
      </c>
      <c r="B76" s="81">
        <v>0.52</v>
      </c>
      <c r="C76" s="68">
        <f t="shared" ref="C76:C86" si="67">IFERROR(SUM((D76/B76)-1),0)</f>
        <v>0.09615384615</v>
      </c>
      <c r="D76" s="81">
        <v>0.57</v>
      </c>
      <c r="E76" s="68">
        <f t="shared" ref="E76:E86" si="68">IFERROR(SUM((F76/D76)-1),0)</f>
        <v>-0.0701754386</v>
      </c>
      <c r="F76" s="81">
        <v>0.53</v>
      </c>
      <c r="G76" s="68">
        <f t="shared" ref="G76:G86" si="69">IFERROR(SUM((H76/F76)-1),0)</f>
        <v>-0.03773584906</v>
      </c>
      <c r="H76" s="81">
        <v>0.51</v>
      </c>
      <c r="I76" s="68">
        <f t="shared" ref="I76:I86" si="70">IFERROR(SUM((J76/H76)-1),0)</f>
        <v>0</v>
      </c>
      <c r="J76" s="81">
        <v>0.51</v>
      </c>
      <c r="K76" s="68">
        <f t="shared" ref="K76:K86" si="71">IFERROR(SUM((L76/J76)-1),0)</f>
        <v>0.09803921569</v>
      </c>
      <c r="L76" s="81">
        <v>0.56</v>
      </c>
      <c r="M76" s="68">
        <f t="shared" ref="M76:M86" si="72">IFERROR(SUM((N76/L76)-1),0)</f>
        <v>0.01785714286</v>
      </c>
      <c r="N76" s="81">
        <v>0.57</v>
      </c>
      <c r="O76" s="68">
        <f t="shared" ref="O76:O86" si="73">IFERROR(SUM((P76/N76)-1),0)</f>
        <v>0</v>
      </c>
      <c r="P76" s="81">
        <v>0.57</v>
      </c>
      <c r="Q76" s="68">
        <f t="shared" ref="Q76:Q86" si="74">IFERROR(SUM((R76/P76)-1),0)</f>
        <v>0</v>
      </c>
      <c r="R76" s="81">
        <v>0.57</v>
      </c>
      <c r="S76" s="68">
        <f t="shared" ref="S76:S86" si="75">IFERROR(SUM((T76/R76)-1),0)</f>
        <v>0</v>
      </c>
      <c r="T76" s="81">
        <v>0.57</v>
      </c>
      <c r="U76" s="68">
        <f t="shared" ref="U76:U86" si="76">IFERROR(SUM((V76/T76)-1),0)</f>
        <v>-0.01754385965</v>
      </c>
      <c r="V76" s="81">
        <v>0.56</v>
      </c>
      <c r="W76" s="68">
        <f t="shared" ref="W76:W86" si="77">IFERROR(SUM((X76/V76)-1),0)</f>
        <v>0</v>
      </c>
      <c r="X76" s="81">
        <v>0.56</v>
      </c>
    </row>
    <row r="77">
      <c r="A77" s="65" t="s">
        <v>101</v>
      </c>
      <c r="B77" s="81">
        <f>(1-B76)</f>
        <v>0.48</v>
      </c>
      <c r="C77" s="68">
        <f t="shared" si="67"/>
        <v>-0.1041666667</v>
      </c>
      <c r="D77" s="81">
        <f>(1-D76)</f>
        <v>0.43</v>
      </c>
      <c r="E77" s="68">
        <f t="shared" si="68"/>
        <v>0.09302325581</v>
      </c>
      <c r="F77" s="81">
        <f>(1-F76)</f>
        <v>0.47</v>
      </c>
      <c r="G77" s="68">
        <f t="shared" si="69"/>
        <v>0.04255319149</v>
      </c>
      <c r="H77" s="81">
        <f>(1-H76)</f>
        <v>0.49</v>
      </c>
      <c r="I77" s="68">
        <f t="shared" si="70"/>
        <v>0</v>
      </c>
      <c r="J77" s="81">
        <f>(1-J76)</f>
        <v>0.49</v>
      </c>
      <c r="K77" s="68">
        <f t="shared" si="71"/>
        <v>-0.1020408163</v>
      </c>
      <c r="L77" s="81">
        <f>(1-L76)</f>
        <v>0.44</v>
      </c>
      <c r="M77" s="68">
        <f t="shared" si="72"/>
        <v>-0.02272727273</v>
      </c>
      <c r="N77" s="81">
        <f>(1-N76)</f>
        <v>0.43</v>
      </c>
      <c r="O77" s="68">
        <f t="shared" si="73"/>
        <v>0</v>
      </c>
      <c r="P77" s="81">
        <f>(1-P76)</f>
        <v>0.43</v>
      </c>
      <c r="Q77" s="68">
        <f t="shared" si="74"/>
        <v>0</v>
      </c>
      <c r="R77" s="81">
        <f>(1-R76)</f>
        <v>0.43</v>
      </c>
      <c r="S77" s="68">
        <f t="shared" si="75"/>
        <v>0</v>
      </c>
      <c r="T77" s="81">
        <f>(1-T76)</f>
        <v>0.43</v>
      </c>
      <c r="U77" s="68">
        <f t="shared" si="76"/>
        <v>0.02325581395</v>
      </c>
      <c r="V77" s="81">
        <f>(1-V76)</f>
        <v>0.44</v>
      </c>
      <c r="W77" s="68">
        <f t="shared" si="77"/>
        <v>0</v>
      </c>
      <c r="X77" s="81">
        <f>(1-X76)</f>
        <v>0.44</v>
      </c>
    </row>
    <row r="78">
      <c r="A78" s="4" t="s">
        <v>106</v>
      </c>
      <c r="B78" s="64">
        <v>0.91</v>
      </c>
      <c r="C78" s="13">
        <f t="shared" si="67"/>
        <v>0</v>
      </c>
      <c r="D78" s="64">
        <v>0.91</v>
      </c>
      <c r="E78" s="13">
        <f t="shared" si="68"/>
        <v>0.01098901099</v>
      </c>
      <c r="F78" s="64">
        <v>0.92</v>
      </c>
      <c r="G78" s="13">
        <f t="shared" si="69"/>
        <v>0.01086956522</v>
      </c>
      <c r="H78" s="64">
        <v>0.93</v>
      </c>
      <c r="I78" s="13">
        <f t="shared" si="70"/>
        <v>0</v>
      </c>
      <c r="J78" s="64">
        <v>0.93</v>
      </c>
      <c r="K78" s="13">
        <f t="shared" si="71"/>
        <v>0</v>
      </c>
      <c r="L78" s="64">
        <v>0.93</v>
      </c>
      <c r="M78" s="13">
        <f t="shared" si="72"/>
        <v>0</v>
      </c>
      <c r="N78" s="64">
        <v>0.93</v>
      </c>
      <c r="O78" s="13">
        <f t="shared" si="73"/>
        <v>-0.01075268817</v>
      </c>
      <c r="P78" s="64">
        <v>0.92</v>
      </c>
      <c r="Q78" s="13">
        <f t="shared" si="74"/>
        <v>0</v>
      </c>
      <c r="R78" s="64">
        <v>0.92</v>
      </c>
      <c r="S78" s="13">
        <f t="shared" si="75"/>
        <v>0</v>
      </c>
      <c r="T78" s="64">
        <v>0.92</v>
      </c>
      <c r="U78" s="13">
        <f t="shared" si="76"/>
        <v>0.01086956522</v>
      </c>
      <c r="V78" s="64">
        <v>0.93</v>
      </c>
      <c r="W78" s="13">
        <f t="shared" si="77"/>
        <v>0</v>
      </c>
      <c r="X78" s="64">
        <v>0.93</v>
      </c>
    </row>
    <row r="79">
      <c r="A79" s="4" t="s">
        <v>108</v>
      </c>
      <c r="B79" s="64">
        <f>(1-B78)</f>
        <v>0.09</v>
      </c>
      <c r="C79" s="13">
        <f t="shared" si="67"/>
        <v>0</v>
      </c>
      <c r="D79" s="64">
        <f>(1-D78)</f>
        <v>0.09</v>
      </c>
      <c r="E79" s="13">
        <f t="shared" si="68"/>
        <v>-0.1111111111</v>
      </c>
      <c r="F79" s="64">
        <f>(1-F78)</f>
        <v>0.08</v>
      </c>
      <c r="G79" s="13">
        <f t="shared" si="69"/>
        <v>-0.125</v>
      </c>
      <c r="H79" s="64">
        <f>(1-H78)</f>
        <v>0.07</v>
      </c>
      <c r="I79" s="13">
        <f t="shared" si="70"/>
        <v>0</v>
      </c>
      <c r="J79" s="64">
        <f>(1-J78)</f>
        <v>0.07</v>
      </c>
      <c r="K79" s="13">
        <f t="shared" si="71"/>
        <v>0</v>
      </c>
      <c r="L79" s="64">
        <f>(1-L78)</f>
        <v>0.07</v>
      </c>
      <c r="M79" s="13">
        <f t="shared" si="72"/>
        <v>0</v>
      </c>
      <c r="N79" s="64">
        <f>(1-N78)</f>
        <v>0.07</v>
      </c>
      <c r="O79" s="13">
        <f t="shared" si="73"/>
        <v>0.1428571429</v>
      </c>
      <c r="P79" s="64">
        <f>(1-P78)</f>
        <v>0.08</v>
      </c>
      <c r="Q79" s="13">
        <f t="shared" si="74"/>
        <v>0</v>
      </c>
      <c r="R79" s="64">
        <f>(1-R78)</f>
        <v>0.08</v>
      </c>
      <c r="S79" s="13">
        <f t="shared" si="75"/>
        <v>0</v>
      </c>
      <c r="T79" s="64">
        <f>(1-T78)</f>
        <v>0.08</v>
      </c>
      <c r="U79" s="13">
        <f t="shared" si="76"/>
        <v>-0.125</v>
      </c>
      <c r="V79" s="64">
        <f>(1-V78)</f>
        <v>0.07</v>
      </c>
      <c r="W79" s="13">
        <f t="shared" si="77"/>
        <v>0</v>
      </c>
      <c r="X79" s="64">
        <f>(1-X78)</f>
        <v>0.07</v>
      </c>
    </row>
    <row r="80">
      <c r="A80" s="65" t="s">
        <v>112</v>
      </c>
      <c r="B80" s="81">
        <v>0.58</v>
      </c>
      <c r="C80" s="68">
        <f t="shared" si="67"/>
        <v>-0.03448275862</v>
      </c>
      <c r="D80" s="81">
        <v>0.56</v>
      </c>
      <c r="E80" s="68">
        <f t="shared" si="68"/>
        <v>-0.05357142857</v>
      </c>
      <c r="F80" s="81">
        <v>0.53</v>
      </c>
      <c r="G80" s="68">
        <f t="shared" si="69"/>
        <v>0.1886792453</v>
      </c>
      <c r="H80" s="81">
        <v>0.63</v>
      </c>
      <c r="I80" s="68">
        <f t="shared" si="70"/>
        <v>0.03174603175</v>
      </c>
      <c r="J80" s="81">
        <v>0.65</v>
      </c>
      <c r="K80" s="68">
        <f t="shared" si="71"/>
        <v>-0.1384615385</v>
      </c>
      <c r="L80" s="81">
        <v>0.56</v>
      </c>
      <c r="M80" s="68">
        <f t="shared" si="72"/>
        <v>0</v>
      </c>
      <c r="N80" s="81">
        <v>0.56</v>
      </c>
      <c r="O80" s="68">
        <f t="shared" si="73"/>
        <v>0</v>
      </c>
      <c r="P80" s="81">
        <v>0.56</v>
      </c>
      <c r="Q80" s="68">
        <f t="shared" si="74"/>
        <v>0</v>
      </c>
      <c r="R80" s="81">
        <v>0.56</v>
      </c>
      <c r="S80" s="68">
        <f t="shared" si="75"/>
        <v>0</v>
      </c>
      <c r="T80" s="81">
        <v>0.56</v>
      </c>
      <c r="U80" s="68">
        <f t="shared" si="76"/>
        <v>0</v>
      </c>
      <c r="V80" s="81">
        <v>0.56</v>
      </c>
      <c r="W80" s="68">
        <f t="shared" si="77"/>
        <v>0</v>
      </c>
      <c r="X80" s="81">
        <v>0.56</v>
      </c>
    </row>
    <row r="81">
      <c r="A81" s="65" t="s">
        <v>114</v>
      </c>
      <c r="B81" s="81">
        <v>0.12</v>
      </c>
      <c r="C81" s="68">
        <f t="shared" si="67"/>
        <v>-0.08333333333</v>
      </c>
      <c r="D81" s="81">
        <v>0.11</v>
      </c>
      <c r="E81" s="68">
        <f t="shared" si="68"/>
        <v>-0.1818181818</v>
      </c>
      <c r="F81" s="81">
        <v>0.09</v>
      </c>
      <c r="G81" s="68">
        <f t="shared" si="69"/>
        <v>0</v>
      </c>
      <c r="H81" s="81">
        <v>0.09</v>
      </c>
      <c r="I81" s="68">
        <f t="shared" si="70"/>
        <v>0.1111111111</v>
      </c>
      <c r="J81" s="81">
        <v>0.1</v>
      </c>
      <c r="K81" s="68">
        <f t="shared" si="71"/>
        <v>-0.2</v>
      </c>
      <c r="L81" s="81">
        <v>0.08</v>
      </c>
      <c r="M81" s="68">
        <f t="shared" si="72"/>
        <v>0</v>
      </c>
      <c r="N81" s="81">
        <v>0.08</v>
      </c>
      <c r="O81" s="68">
        <f t="shared" si="73"/>
        <v>0</v>
      </c>
      <c r="P81" s="81">
        <v>0.08</v>
      </c>
      <c r="Q81" s="68">
        <f t="shared" si="74"/>
        <v>0</v>
      </c>
      <c r="R81" s="81">
        <v>0.08</v>
      </c>
      <c r="S81" s="68">
        <f t="shared" si="75"/>
        <v>0</v>
      </c>
      <c r="T81" s="81">
        <v>0.08</v>
      </c>
      <c r="U81" s="68">
        <f t="shared" si="76"/>
        <v>0</v>
      </c>
      <c r="V81" s="81">
        <v>0.08</v>
      </c>
      <c r="W81" s="68">
        <f t="shared" si="77"/>
        <v>0</v>
      </c>
      <c r="X81" s="81">
        <v>0.08</v>
      </c>
    </row>
    <row r="82">
      <c r="A82" s="65" t="s">
        <v>117</v>
      </c>
      <c r="B82" s="81">
        <v>0.11</v>
      </c>
      <c r="C82" s="68">
        <f t="shared" si="67"/>
        <v>0.1818181818</v>
      </c>
      <c r="D82" s="81">
        <v>0.13</v>
      </c>
      <c r="E82" s="68">
        <f t="shared" si="68"/>
        <v>-0.07692307692</v>
      </c>
      <c r="F82" s="81">
        <v>0.12</v>
      </c>
      <c r="G82" s="68">
        <f t="shared" si="69"/>
        <v>-0.4166666667</v>
      </c>
      <c r="H82" s="81">
        <v>0.07</v>
      </c>
      <c r="I82" s="68">
        <f t="shared" si="70"/>
        <v>0</v>
      </c>
      <c r="J82" s="81">
        <v>0.07</v>
      </c>
      <c r="K82" s="68">
        <f t="shared" si="71"/>
        <v>0.8571428571</v>
      </c>
      <c r="L82" s="81">
        <v>0.13</v>
      </c>
      <c r="M82" s="68">
        <f t="shared" si="72"/>
        <v>-0.07692307692</v>
      </c>
      <c r="N82" s="81">
        <v>0.12</v>
      </c>
      <c r="O82" s="68">
        <f t="shared" si="73"/>
        <v>0</v>
      </c>
      <c r="P82" s="81">
        <v>0.12</v>
      </c>
      <c r="Q82" s="68">
        <f t="shared" si="74"/>
        <v>0</v>
      </c>
      <c r="R82" s="81">
        <v>0.12</v>
      </c>
      <c r="S82" s="68">
        <f t="shared" si="75"/>
        <v>0</v>
      </c>
      <c r="T82" s="81">
        <v>0.12</v>
      </c>
      <c r="U82" s="68">
        <f t="shared" si="76"/>
        <v>0.08333333333</v>
      </c>
      <c r="V82" s="81">
        <v>0.13</v>
      </c>
      <c r="W82" s="68">
        <f t="shared" si="77"/>
        <v>0</v>
      </c>
      <c r="X82" s="81">
        <v>0.13</v>
      </c>
    </row>
    <row r="83">
      <c r="A83" s="65" t="s">
        <v>115</v>
      </c>
      <c r="B83" s="81">
        <v>0.19</v>
      </c>
      <c r="C83" s="68">
        <f t="shared" si="67"/>
        <v>0.05263157895</v>
      </c>
      <c r="D83" s="81">
        <v>0.2</v>
      </c>
      <c r="E83" s="68">
        <f t="shared" si="68"/>
        <v>-0.2</v>
      </c>
      <c r="F83" s="81">
        <v>0.16</v>
      </c>
      <c r="G83" s="68">
        <f t="shared" si="69"/>
        <v>0.25</v>
      </c>
      <c r="H83" s="81">
        <v>0.2</v>
      </c>
      <c r="I83" s="68">
        <f t="shared" si="70"/>
        <v>-0.15</v>
      </c>
      <c r="J83" s="81">
        <v>0.17</v>
      </c>
      <c r="K83" s="68">
        <f t="shared" si="71"/>
        <v>0.3529411765</v>
      </c>
      <c r="L83" s="81">
        <v>0.23</v>
      </c>
      <c r="M83" s="68">
        <f t="shared" si="72"/>
        <v>0</v>
      </c>
      <c r="N83" s="81">
        <v>0.23</v>
      </c>
      <c r="O83" s="68">
        <f t="shared" si="73"/>
        <v>0</v>
      </c>
      <c r="P83" s="81">
        <v>0.23</v>
      </c>
      <c r="Q83" s="68">
        <f t="shared" si="74"/>
        <v>0</v>
      </c>
      <c r="R83" s="81">
        <v>0.23</v>
      </c>
      <c r="S83" s="68">
        <f t="shared" si="75"/>
        <v>0</v>
      </c>
      <c r="T83" s="81">
        <v>0.23</v>
      </c>
      <c r="U83" s="68">
        <f t="shared" si="76"/>
        <v>0</v>
      </c>
      <c r="V83" s="81">
        <v>0.23</v>
      </c>
      <c r="W83" s="68">
        <f t="shared" si="77"/>
        <v>0</v>
      </c>
      <c r="X83" s="81">
        <v>0.23</v>
      </c>
    </row>
    <row r="84">
      <c r="A84" s="4" t="s">
        <v>113</v>
      </c>
      <c r="B84" s="75">
        <v>105.82</v>
      </c>
      <c r="C84" s="13">
        <f t="shared" si="67"/>
        <v>-0.01729351729</v>
      </c>
      <c r="D84" s="75">
        <v>103.99</v>
      </c>
      <c r="E84" s="13">
        <f t="shared" si="68"/>
        <v>-0.008366189057</v>
      </c>
      <c r="F84" s="75">
        <v>103.12</v>
      </c>
      <c r="G84" s="13">
        <f t="shared" si="69"/>
        <v>-0.02453452289</v>
      </c>
      <c r="H84" s="75">
        <v>100.59</v>
      </c>
      <c r="I84" s="13">
        <f t="shared" si="70"/>
        <v>0.001590615369</v>
      </c>
      <c r="J84" s="75">
        <v>100.75</v>
      </c>
      <c r="K84" s="13">
        <f t="shared" si="71"/>
        <v>-0.03722084367</v>
      </c>
      <c r="L84" s="75">
        <v>97.0</v>
      </c>
      <c r="M84" s="13">
        <f t="shared" si="72"/>
        <v>-0.03309278351</v>
      </c>
      <c r="N84" s="75">
        <v>93.79</v>
      </c>
      <c r="O84" s="13">
        <f t="shared" si="73"/>
        <v>-0.009489284572</v>
      </c>
      <c r="P84" s="75">
        <v>92.9</v>
      </c>
      <c r="Q84" s="13">
        <f t="shared" si="74"/>
        <v>0</v>
      </c>
      <c r="R84" s="75">
        <v>92.9</v>
      </c>
      <c r="S84" s="13">
        <f t="shared" si="75"/>
        <v>0</v>
      </c>
      <c r="T84" s="75">
        <v>92.9</v>
      </c>
      <c r="U84" s="13">
        <f t="shared" si="76"/>
        <v>0.04413347686</v>
      </c>
      <c r="V84" s="75">
        <v>97.0</v>
      </c>
      <c r="W84" s="13">
        <f t="shared" si="77"/>
        <v>0</v>
      </c>
      <c r="X84" s="75">
        <v>97.0</v>
      </c>
    </row>
    <row r="85">
      <c r="A85" s="4" t="s">
        <v>116</v>
      </c>
      <c r="B85" s="75">
        <v>105.5</v>
      </c>
      <c r="C85" s="13">
        <f t="shared" si="67"/>
        <v>0.002085308057</v>
      </c>
      <c r="D85" s="75">
        <v>105.72</v>
      </c>
      <c r="E85" s="13">
        <f t="shared" si="68"/>
        <v>0.002932273931</v>
      </c>
      <c r="F85" s="75">
        <v>106.03</v>
      </c>
      <c r="G85" s="13">
        <f t="shared" si="69"/>
        <v>0.001226068094</v>
      </c>
      <c r="H85" s="75">
        <v>106.16</v>
      </c>
      <c r="I85" s="13">
        <f t="shared" si="70"/>
        <v>-0.00565184627</v>
      </c>
      <c r="J85" s="75">
        <v>105.56</v>
      </c>
      <c r="K85" s="13">
        <f t="shared" si="71"/>
        <v>-0.002936718454</v>
      </c>
      <c r="L85" s="75">
        <v>105.25</v>
      </c>
      <c r="M85" s="13">
        <f t="shared" si="72"/>
        <v>-0.002090261283</v>
      </c>
      <c r="N85" s="75">
        <v>105.03</v>
      </c>
      <c r="O85" s="13">
        <f t="shared" si="73"/>
        <v>-0.00180900695</v>
      </c>
      <c r="P85" s="75">
        <v>104.84</v>
      </c>
      <c r="Q85" s="13">
        <f t="shared" si="74"/>
        <v>0</v>
      </c>
      <c r="R85" s="75">
        <v>104.84</v>
      </c>
      <c r="S85" s="13">
        <f t="shared" si="75"/>
        <v>0</v>
      </c>
      <c r="T85" s="75">
        <v>104.84</v>
      </c>
      <c r="U85" s="13">
        <f t="shared" si="76"/>
        <v>0.003910721099</v>
      </c>
      <c r="V85" s="75">
        <v>105.25</v>
      </c>
      <c r="W85" s="13">
        <f t="shared" si="77"/>
        <v>0</v>
      </c>
      <c r="X85" s="75">
        <v>105.25</v>
      </c>
    </row>
    <row r="86">
      <c r="A86" s="4" t="s">
        <v>119</v>
      </c>
      <c r="B86" s="24">
        <f>B84/B85</f>
        <v>1.003033175</v>
      </c>
      <c r="C86" s="13">
        <f t="shared" si="67"/>
        <v>-0.01933849862</v>
      </c>
      <c r="D86" s="24">
        <f>D84/D85</f>
        <v>0.9836360197</v>
      </c>
      <c r="E86" s="13">
        <f t="shared" si="68"/>
        <v>-0.01126542966</v>
      </c>
      <c r="F86" s="24">
        <f>F84/F85</f>
        <v>0.9725549373</v>
      </c>
      <c r="G86" s="13">
        <f t="shared" si="69"/>
        <v>-0.02572904542</v>
      </c>
      <c r="H86" s="24">
        <f>H84/H85</f>
        <v>0.9475320271</v>
      </c>
      <c r="I86" s="13">
        <f t="shared" si="70"/>
        <v>0.007283627582</v>
      </c>
      <c r="J86" s="24">
        <f>J84/J85</f>
        <v>0.9544334975</v>
      </c>
      <c r="K86" s="13">
        <f t="shared" si="71"/>
        <v>-0.03438510459</v>
      </c>
      <c r="L86" s="24">
        <f>L84/L85</f>
        <v>0.9216152019</v>
      </c>
      <c r="M86" s="13">
        <f t="shared" si="72"/>
        <v>-0.03106746133</v>
      </c>
      <c r="N86" s="24">
        <f>N84/N85</f>
        <v>0.8929829573</v>
      </c>
      <c r="O86" s="13">
        <f t="shared" si="73"/>
        <v>-0.007694196476</v>
      </c>
      <c r="P86" s="24">
        <f>P84/P85</f>
        <v>0.8861121709</v>
      </c>
      <c r="Q86" s="13">
        <f t="shared" si="74"/>
        <v>0</v>
      </c>
      <c r="R86" s="24">
        <f>R84/R85</f>
        <v>0.8861121709</v>
      </c>
      <c r="S86" s="13">
        <f t="shared" si="75"/>
        <v>0</v>
      </c>
      <c r="T86" s="24">
        <f>T84/T85</f>
        <v>0.8861121709</v>
      </c>
      <c r="U86" s="13">
        <f t="shared" si="76"/>
        <v>0.04006606854</v>
      </c>
      <c r="V86" s="24">
        <f>V84/V85</f>
        <v>0.9216152019</v>
      </c>
      <c r="W86" s="13">
        <f t="shared" si="77"/>
        <v>0</v>
      </c>
      <c r="X86" s="24">
        <f>X84/X85</f>
        <v>0.9216152019</v>
      </c>
    </row>
    <row r="87">
      <c r="A87" s="4" t="s">
        <v>121</v>
      </c>
      <c r="B87" s="4" t="s">
        <v>138</v>
      </c>
    </row>
    <row r="88">
      <c r="A88" s="5" t="s">
        <v>123</v>
      </c>
      <c r="B88" s="89">
        <v>0.0075</v>
      </c>
      <c r="D88" s="6"/>
      <c r="E88" s="6"/>
      <c r="F88" s="6"/>
      <c r="G88" s="6"/>
    </row>
    <row r="89">
      <c r="A89" s="4" t="s">
        <v>125</v>
      </c>
      <c r="B89" s="90" t="s">
        <v>139</v>
      </c>
      <c r="D89" s="6"/>
      <c r="E89" s="6"/>
      <c r="F89" s="6"/>
      <c r="G89" s="6"/>
    </row>
    <row r="90" ht="22.5" customHeight="1">
      <c r="A90" s="4" t="s">
        <v>126</v>
      </c>
      <c r="B90" s="83">
        <f>SUM(B30,D30,F30,H30,J30,L30,N30,P30,R30,T30,V30,X30)</f>
        <v>436194757</v>
      </c>
      <c r="D90" s="86" t="s">
        <v>128</v>
      </c>
      <c r="E90" s="86" t="s">
        <v>113</v>
      </c>
      <c r="F90" s="86" t="s">
        <v>116</v>
      </c>
      <c r="G90" s="86" t="s">
        <v>119</v>
      </c>
      <c r="H90" s="86" t="s">
        <v>129</v>
      </c>
      <c r="I90" s="92" t="s">
        <v>131</v>
      </c>
      <c r="J90" s="87" t="s">
        <v>132</v>
      </c>
      <c r="K90" s="87" t="s">
        <v>133</v>
      </c>
      <c r="L90" s="87" t="s">
        <v>134</v>
      </c>
    </row>
    <row r="91" ht="22.5" customHeight="1">
      <c r="A91" s="4" t="s">
        <v>135</v>
      </c>
      <c r="B91" s="83">
        <f>SUM(B56,D56,F56,H56,J56,L56,N56,P56,R56,T56,V56,X56)</f>
        <v>72598415.62</v>
      </c>
      <c r="D91" s="95" t="s">
        <v>138</v>
      </c>
      <c r="E91" s="96">
        <f t="array" ref="E91">IFERROR(INDEX(FCD[], MATCH(D91, FCD[FIIs], 0), MATCH(FCD[[#HEADERS],[V/Mercado]], FCD[#HEADERS], 0)),"")</f>
        <v>91.6</v>
      </c>
      <c r="F91" s="96">
        <f t="array" ref="F91">IFERROR(INDEX(Indicador_Fii[], MATCH(D91, Indicador_Fii[Fii], 0), MATCH(Indicador_Fii[[#HEADERS],[VP/Cota]], Indicador_Fii[#HEADERS], 0)),"")</f>
        <v>105.25</v>
      </c>
      <c r="G91" s="99">
        <f t="shared" ref="G91:G96" si="78">E91/F91</f>
        <v>0.8703087886</v>
      </c>
      <c r="H91" s="94">
        <f t="shared" ref="H91:H96" si="79">I91/F91</f>
        <v>0.9323973024</v>
      </c>
      <c r="I91" s="101">
        <f t="array" ref="I91">IFERROR(INDEX(FCD[], MATCH(D91, FCD[FIIs], 0), MATCH(FCD[[#HEADERS],[Preço_Justo]], FCD[#HEADERS], 0)),"")</f>
        <v>98.13481608</v>
      </c>
      <c r="J91" s="98">
        <f t="array" ref="J91">IFERROR(INDEX(Indicador_Fii[], MATCH(D91, Indicador_Fii[Fii], 0), MATCH(Indicador_Fii[[#HEADERS],[FFO_Yield]], Indicador_Fii[#HEADERS], 0)),"")</f>
        <v>6.94</v>
      </c>
      <c r="K91" s="98">
        <f t="array" ref="K91">IFERROR(INDEX(Indicador_Fii[], MATCH(D91, Indicador_Fii[Fii], 0), MATCH(Indicador_Fii[[#HEADERS],[DIV_Yield]], Indicador_Fii[#HEADERS], 0)),"")</f>
        <v>8.8</v>
      </c>
      <c r="L91" s="100">
        <f>IFERROR(__xludf.DUMMYFUNCTION("GOOGLEFINANCE(D91, ""volumeavg"")"),83200.0)</f>
        <v>83200</v>
      </c>
    </row>
    <row r="92" ht="22.5" customHeight="1">
      <c r="A92" s="4" t="s">
        <v>144</v>
      </c>
      <c r="B92" s="13">
        <f>B91/B90</f>
        <v>0.1664357823</v>
      </c>
      <c r="D92" s="102" t="s">
        <v>137</v>
      </c>
      <c r="E92" s="103">
        <f t="array" ref="E92">IFERROR(INDEX(FCD[], MATCH(D92, FCD[FIIs], 0), MATCH(FCD[[#HEADERS],[V/Mercado]], FCD[#HEADERS], 0)),"")</f>
        <v>9</v>
      </c>
      <c r="F92" s="103">
        <f t="array" ref="F92">IFERROR(INDEX(Indicador_Fii[], MATCH(D92, Indicador_Fii[Fii], 0), MATCH(Indicador_Fii[[#HEADERS],[VP/Cota]], Indicador_Fii[#HEADERS], 0)),"")</f>
        <v>11.03</v>
      </c>
      <c r="G92" s="104">
        <f t="shared" si="78"/>
        <v>0.8159564823</v>
      </c>
      <c r="H92" s="94">
        <f t="shared" si="79"/>
        <v>0.943436746</v>
      </c>
      <c r="I92" s="101">
        <f t="array" ref="I92">IFERROR(INDEX(FCD[], MATCH(D92, FCD[FIIs], 0), MATCH(FCD[[#HEADERS],[Preço_Justo]], FCD[#HEADERS], 0)),"")</f>
        <v>10.40610731</v>
      </c>
      <c r="J92" s="98">
        <f t="array" ref="J92">IFERROR(INDEX(Indicador_Fii[], MATCH(D92, Indicador_Fii[Fii], 0), MATCH(Indicador_Fii[[#HEADERS],[FFO_Yield]], Indicador_Fii[#HEADERS], 0)),"")</f>
        <v>6.11</v>
      </c>
      <c r="K92" s="98">
        <f t="array" ref="K92">IFERROR(INDEX(Indicador_Fii[], MATCH(D92, Indicador_Fii[Fii], 0), MATCH(Indicador_Fii[[#HEADERS],[DIV_Yield]], Indicador_Fii[#HEADERS], 0)),"")</f>
        <v>11.8</v>
      </c>
      <c r="L92" s="100">
        <f>IFERROR(__xludf.DUMMYFUNCTION("GOOGLEFINANCE(D92, ""volumeavg"")"),2033352.0)</f>
        <v>2033352</v>
      </c>
    </row>
    <row r="93" ht="22.5" customHeight="1">
      <c r="A93" s="4" t="s">
        <v>146</v>
      </c>
      <c r="B93" s="83">
        <f>IFERROR(__xludf.DUMMYFUNCTION("GOOGLEFINANCE(B87)*B95"),4.707332976799999E9)</f>
        <v>4707332977</v>
      </c>
      <c r="D93" s="95" t="s">
        <v>140</v>
      </c>
      <c r="E93" s="96">
        <f t="array" ref="E93">IFERROR(INDEX(FCD[], MATCH(D93, FCD[FIIs], 0), MATCH(FCD[[#HEADERS],[V/Mercado]], FCD[#HEADERS], 0)),"")</f>
        <v>146.52</v>
      </c>
      <c r="F93" s="96">
        <f t="array" ref="F93">IFERROR(INDEX(Indicador_Fii[], MATCH(D93, Indicador_Fii[Fii], 0), MATCH(Indicador_Fii[[#HEADERS],[VP/Cota]], Indicador_Fii[#HEADERS], 0)),"")</f>
        <v>166</v>
      </c>
      <c r="G93" s="99">
        <f t="shared" si="78"/>
        <v>0.8826506024</v>
      </c>
      <c r="H93" s="94">
        <f t="shared" si="79"/>
        <v>0.9284179884</v>
      </c>
      <c r="I93" s="101">
        <f t="array" ref="I93">IFERROR(INDEX(FCD[], MATCH(D93, FCD[FIIs], 0), MATCH(FCD[[#HEADERS],[Preço_Justo]], FCD[#HEADERS], 0)),"")</f>
        <v>154.1173861</v>
      </c>
      <c r="J93" s="98">
        <f t="array" ref="J93">IFERROR(INDEX(Indicador_Fii[], MATCH(D93, Indicador_Fii[Fii], 0), MATCH(Indicador_Fii[[#HEADERS],[FFO_Yield]], Indicador_Fii[#HEADERS], 0)),"")</f>
        <v>6.55</v>
      </c>
      <c r="K93" s="98">
        <f t="array" ref="K93">IFERROR(INDEX(Indicador_Fii[], MATCH(D93, Indicador_Fii[Fii], 0), MATCH(Indicador_Fii[[#HEADERS],[DIV_Yield]], Indicador_Fii[#HEADERS], 0)),"")</f>
        <v>7.2</v>
      </c>
      <c r="L93" s="100">
        <f>IFERROR(__xludf.DUMMYFUNCTION("GOOGLEFINANCE(D93, ""volumeavg"")"),129710.0)</f>
        <v>129710</v>
      </c>
    </row>
    <row r="94" ht="22.5" customHeight="1">
      <c r="A94" s="4" t="s">
        <v>147</v>
      </c>
      <c r="B94" s="13">
        <f>B91/B93</f>
        <v>0.01542240924</v>
      </c>
      <c r="D94" s="102" t="s">
        <v>148</v>
      </c>
      <c r="E94" s="103">
        <f t="array" ref="E94">IFERROR(INDEX(FCD[], MATCH(D94, FCD[FIIs], 0), MATCH(FCD[[#HEADERS],[V/Mercado]], FCD[#HEADERS], 0)),"")</f>
        <v>110.21</v>
      </c>
      <c r="F94" s="103">
        <f t="array" ref="F94">IFERROR(INDEX(Indicador_Fii[], MATCH(D94, Indicador_Fii[Fii], 0), MATCH(Indicador_Fii[[#HEADERS],[VP/Cota]], Indicador_Fii[#HEADERS], 0)),"")</f>
        <v>115.72</v>
      </c>
      <c r="G94" s="104">
        <f t="shared" si="78"/>
        <v>0.9523850674</v>
      </c>
      <c r="H94" s="94">
        <f t="shared" si="79"/>
        <v>0.9696288982</v>
      </c>
      <c r="I94" s="101">
        <f t="array" ref="I94">IFERROR(INDEX(FCD[], MATCH(D94, FCD[FIIs], 0), MATCH(FCD[[#HEADERS],[Preço_Justo]], FCD[#HEADERS], 0)),"")</f>
        <v>112.2054561</v>
      </c>
      <c r="J94" s="98">
        <f t="array" ref="J94">IFERROR(INDEX(Indicador_Fii[], MATCH(D94, Indicador_Fii[Fii], 0), MATCH(Indicador_Fii[[#HEADERS],[FFO_Yield]], Indicador_Fii[#HEADERS], 0)),"")</f>
        <v>7.31</v>
      </c>
      <c r="K94" s="98">
        <f t="array" ref="K94">IFERROR(INDEX(Indicador_Fii[], MATCH(D94, Indicador_Fii[Fii], 0), MATCH(Indicador_Fii[[#HEADERS],[DIV_Yield]], Indicador_Fii[#HEADERS], 0)),"")</f>
        <v>8</v>
      </c>
      <c r="L94" s="100">
        <f>IFERROR(__xludf.DUMMYFUNCTION("GOOGLEFINANCE(D94, ""volumeavg"")"),42729.0)</f>
        <v>42729</v>
      </c>
    </row>
    <row r="95" ht="22.5" customHeight="1">
      <c r="A95" s="4" t="s">
        <v>149</v>
      </c>
      <c r="B95" s="22">
        <f t="array" ref="B95">IFERROR(INDEX(Indicador_Fii[], MATCH(B87, Indicador_Fii[Fii], 0), MATCH(Indicador_Fii[[#HEADERS],[Qtd_Cotas]], Indicador_Fii[#HEADERS], 0)),"")</f>
        <v>51390098</v>
      </c>
      <c r="D95" s="112" t="s">
        <v>145</v>
      </c>
      <c r="E95" s="113">
        <f t="array" ref="E95">IFERROR(INDEX(FCD[], MATCH(D95, FCD[FIIs], 0), MATCH(FCD[[#HEADERS],[V/Mercado]], FCD[#HEADERS], 0)),"")</f>
        <v>100.09</v>
      </c>
      <c r="F95" s="113">
        <f t="array" ref="F95">IFERROR(INDEX(Indicador_Fii[], MATCH(D95, Indicador_Fii[Fii], 0), MATCH(Indicador_Fii[[#HEADERS],[VP/Cota]], Indicador_Fii[#HEADERS], 0)),"")</f>
        <v>102.4</v>
      </c>
      <c r="G95" s="116">
        <f t="shared" si="78"/>
        <v>0.9774414063</v>
      </c>
      <c r="H95" s="94">
        <f t="shared" si="79"/>
        <v>0.9927610269</v>
      </c>
      <c r="I95" s="101">
        <f t="array" ref="I95">IFERROR(INDEX(FCD[], MATCH(D95, FCD[FIIs], 0), MATCH(FCD[[#HEADERS],[Preço_Justo]], FCD[#HEADERS], 0)),"")</f>
        <v>101.6587292</v>
      </c>
      <c r="J95" s="98">
        <f t="array" ref="J95">IFERROR(INDEX(Indicador_Fii[], MATCH(D95, Indicador_Fii[Fii], 0), MATCH(Indicador_Fii[[#HEADERS],[FFO_Yield]], Indicador_Fii[#HEADERS], 0)),"")</f>
        <v>6.08</v>
      </c>
      <c r="K95" s="98">
        <f t="array" ref="K95">IFERROR(INDEX(Indicador_Fii[], MATCH(D95, Indicador_Fii[Fii], 0), MATCH(Indicador_Fii[[#HEADERS],[DIV_Yield]], Indicador_Fii[#HEADERS], 0)),"")</f>
        <v>7.9</v>
      </c>
      <c r="L95" s="100">
        <f>IFERROR(__xludf.DUMMYFUNCTION("GOOGLEFINANCE(D95, ""volumeavg"")"),176536.0)</f>
        <v>176536</v>
      </c>
    </row>
    <row r="96" ht="22.5" customHeight="1">
      <c r="A96" s="4" t="s">
        <v>150</v>
      </c>
      <c r="B96" s="24">
        <f t="array" ref="B96">IFERROR(INDEX(Indicador_Fii[], MATCH(B87, Indicador_Fii[Fii], 0), MATCH(Indicador_Fii[[#HEADERS],[Patrimonio_Liq]], Indicador_Fii[#HEADERS], 0)),"")</f>
        <v>5408720000</v>
      </c>
      <c r="D96" s="118" t="s">
        <v>122</v>
      </c>
      <c r="E96" s="119">
        <f t="array" ref="E96">IFERROR(INDEX(FCD[], MATCH(D96, FCD[FIIs], 0), MATCH(FCD[[#HEADERS],[V/Mercado]], FCD[#HEADERS], 0)),"")</f>
        <v>156.75</v>
      </c>
      <c r="F96" s="119">
        <f t="array" ref="F96">IFERROR(INDEX(Indicador_Fii[], MATCH(D96, Indicador_Fii[Fii], 0), MATCH(Indicador_Fii[[#HEADERS],[VP/Cota]], Indicador_Fii[#HEADERS], 0)),"")</f>
        <v>163.15</v>
      </c>
      <c r="G96" s="122">
        <f t="shared" si="78"/>
        <v>0.9607722954</v>
      </c>
      <c r="H96" s="94">
        <f t="shared" si="79"/>
        <v>0.9320399007</v>
      </c>
      <c r="I96" s="101">
        <f t="array" ref="I96">IFERROR(INDEX(FCD[], MATCH(D96, FCD[FIIs], 0), MATCH(FCD[[#HEADERS],[Preço_Justo]], FCD[#HEADERS], 0)),"")</f>
        <v>152.0623098</v>
      </c>
      <c r="J96" s="98">
        <f t="array" ref="J96">IFERROR(INDEX(Indicador_Fii[], MATCH(D96, Indicador_Fii[Fii], 0), MATCH(Indicador_Fii[[#HEADERS],[FFO_Yield]], Indicador_Fii[#HEADERS], 0)),"")</f>
        <v>7.34</v>
      </c>
      <c r="K96" s="98">
        <f t="array" ref="K96">IFERROR(INDEX(Indicador_Fii[], MATCH(D96, Indicador_Fii[Fii], 0), MATCH(Indicador_Fii[[#HEADERS],[DIV_Yield]], Indicador_Fii[#HEADERS], 0)),"")</f>
        <v>6.8</v>
      </c>
      <c r="L96" s="100">
        <f>IFERROR(__xludf.DUMMYFUNCTION("GOOGLEFINANCE(D96, ""volumeavg"")"),51677.0)</f>
        <v>51677</v>
      </c>
    </row>
    <row r="97">
      <c r="A97" s="4" t="s">
        <v>151</v>
      </c>
      <c r="B97" s="40">
        <f>B90/B96</f>
        <v>0.08064657756</v>
      </c>
      <c r="J97" s="123" t="str">
        <f t="array" ref="J97">IFERROR(INDEX(Indicador_Fii[], MATCH(D97, Indicador_Fii[Fii], 0), MATCH(Indicador_Fii[[#HEADERS],[FFO_Yield]], Indicador_Fii[#HEADERS], 0)),"")</f>
        <v/>
      </c>
      <c r="K97" s="123" t="str">
        <f t="array" ref="K97">IFERROR(INDEX(Indicador_Fii[], MATCH(D97, Indicador_Fii[Fii], 0), MATCH(Indicador_Fii[[#HEADERS],[DIV_Yield]], Indicador_Fii[#HEADERS], 0)),"")</f>
        <v/>
      </c>
    </row>
    <row r="98">
      <c r="A98" s="4" t="s">
        <v>63</v>
      </c>
      <c r="B98" s="24">
        <f>SUM(B36,D36,F36,H36,J36,L36,N36,P36,R36,T36,V36,X36)</f>
        <v>465558882</v>
      </c>
    </row>
    <row r="99">
      <c r="A99" s="4" t="s">
        <v>152</v>
      </c>
      <c r="B99" s="40">
        <f>B98/B90</f>
        <v>1.06731884</v>
      </c>
    </row>
    <row r="100">
      <c r="A100" s="4" t="s">
        <v>153</v>
      </c>
      <c r="B100" s="4" t="s">
        <v>154</v>
      </c>
    </row>
    <row r="101">
      <c r="A101" s="4" t="s">
        <v>155</v>
      </c>
      <c r="B101" s="4" t="s">
        <v>3</v>
      </c>
    </row>
    <row r="102">
      <c r="A102" s="4" t="s">
        <v>156</v>
      </c>
      <c r="B102" s="4" t="s">
        <v>3</v>
      </c>
    </row>
    <row r="103">
      <c r="B103" s="124"/>
    </row>
  </sheetData>
  <mergeCells count="1">
    <mergeCell ref="B103:G108"/>
  </mergeCells>
  <dataValidations>
    <dataValidation type="list" allowBlank="1" showErrorMessage="1" sqref="B1 D1 F1 H1 J1 L1 N1 P1 R1 T1 V1 X1 B42 D42 F42 H42 J42 L42 N42 P42 R42 T42 V42 X42 B65 D65 F65 H65 J65 L65 N65 P65 R65 T65 V65 X65">
      <formula1>"Feito,Não,Atual"</formula1>
    </dataValidation>
    <dataValidation type="list" allowBlank="1" showErrorMessage="1" sqref="B100">
      <formula1>"Bom,Normal,Cuidado_Ver_DRE"</formula1>
    </dataValidation>
    <dataValidation type="list" allowBlank="1" showErrorMessage="1" sqref="B101:B102">
      <formula1>"Feito,Não"</formula1>
    </dataValidation>
    <dataValidation type="custom" allowBlank="1" showDropDown="1" sqref="E91:G96 L91:L96">
      <formula1>AND(ISNUMBER(E91),(NOT(OR(NOT(ISERROR(DATEVALUE(E91))), AND(ISNUMBER(E91), LEFT(CELL("format", E91))="D")))))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3" width="15.25"/>
    <col customWidth="1" min="4" max="4" width="16.88"/>
    <col customWidth="1" min="5" max="5" width="16.25"/>
    <col customWidth="1" min="6" max="6" width="19.38"/>
    <col customWidth="1" min="7" max="7" width="17.75"/>
    <col customWidth="1" min="8" max="8" width="20.38"/>
    <col customWidth="1" min="9" max="9" width="16.13"/>
    <col customWidth="1" min="10" max="10" width="20.75"/>
    <col customWidth="1" min="11" max="11" width="16.0"/>
    <col customWidth="1" min="12" max="12" width="16.38"/>
    <col customWidth="1" min="13" max="13" width="16.5"/>
    <col customWidth="1" min="14" max="14" width="14.75"/>
    <col customWidth="1" min="15" max="15" width="15.38"/>
    <col customWidth="1" min="16" max="16" width="15.5"/>
    <col customWidth="1" min="17" max="17" width="15.63"/>
    <col customWidth="1" min="18" max="18" width="15.25"/>
    <col customWidth="1" min="19" max="19" width="15.5"/>
    <col customWidth="1" min="20" max="20" width="16.0"/>
    <col customWidth="1" min="21" max="21" width="15.13"/>
    <col customWidth="1" min="22" max="22" width="16.63"/>
    <col customWidth="1" min="23" max="24" width="15.38"/>
    <col customWidth="1" min="25" max="25" width="15.63"/>
  </cols>
  <sheetData>
    <row r="1">
      <c r="A1" s="1" t="s">
        <v>0</v>
      </c>
      <c r="B1" s="2" t="s">
        <v>1</v>
      </c>
      <c r="C1" s="3">
        <v>46080.0</v>
      </c>
      <c r="D1" s="2" t="s">
        <v>1</v>
      </c>
      <c r="E1" s="3">
        <v>46080.0</v>
      </c>
      <c r="F1" s="2" t="s">
        <v>1</v>
      </c>
      <c r="G1" s="3">
        <v>46105.0</v>
      </c>
      <c r="H1" s="2" t="s">
        <v>1</v>
      </c>
      <c r="I1" s="3">
        <v>46142.0</v>
      </c>
      <c r="J1" s="2" t="s">
        <v>1</v>
      </c>
      <c r="K1" s="3">
        <v>46155.0</v>
      </c>
      <c r="L1" s="2" t="s">
        <v>1</v>
      </c>
      <c r="M1" s="3">
        <v>46184.0</v>
      </c>
      <c r="N1" s="2" t="s">
        <v>1</v>
      </c>
      <c r="O1" s="3">
        <v>46216.0</v>
      </c>
      <c r="P1" s="2" t="s">
        <v>2</v>
      </c>
      <c r="Q1" s="3">
        <v>46246.0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4" t="s">
        <v>4</v>
      </c>
      <c r="B2" s="4" t="s">
        <v>5</v>
      </c>
      <c r="D2" s="5" t="s">
        <v>6</v>
      </c>
      <c r="E2" s="6"/>
      <c r="F2" s="5" t="s">
        <v>7</v>
      </c>
      <c r="G2" s="6"/>
      <c r="H2" s="5" t="s">
        <v>8</v>
      </c>
      <c r="I2" s="6"/>
      <c r="J2" s="5" t="s">
        <v>9</v>
      </c>
      <c r="K2" s="6"/>
      <c r="L2" s="5" t="s">
        <v>10</v>
      </c>
      <c r="M2" s="6"/>
      <c r="N2" s="5" t="s">
        <v>11</v>
      </c>
      <c r="O2" s="6"/>
      <c r="P2" s="4" t="s">
        <v>12</v>
      </c>
      <c r="R2" s="4" t="s">
        <v>13</v>
      </c>
      <c r="T2" s="4" t="s">
        <v>14</v>
      </c>
      <c r="V2" s="4" t="s">
        <v>15</v>
      </c>
      <c r="X2" s="4" t="s">
        <v>16</v>
      </c>
    </row>
    <row r="3">
      <c r="A3" s="7" t="s">
        <v>17</v>
      </c>
      <c r="B3" s="8">
        <f>SUM(B6,B9,B11)</f>
        <v>68285509</v>
      </c>
      <c r="C3" s="9">
        <f t="shared" ref="C3:C14" si="1">IFERROR(SUM((D3/B3)-1),0)</f>
        <v>-0.3727595265</v>
      </c>
      <c r="D3" s="8">
        <f>SUM(D6,D9,D11)</f>
        <v>42831435</v>
      </c>
      <c r="E3" s="9">
        <f t="shared" ref="E3:E14" si="2">IFERROR(SUM((F3/D3)-1),0)</f>
        <v>0.4070758311</v>
      </c>
      <c r="F3" s="8">
        <f>SUM(F6,F9,F11)</f>
        <v>60267077</v>
      </c>
      <c r="G3" s="9">
        <f t="shared" ref="G3:G14" si="3">IFERROR(SUM((H3/F3)-1),0)</f>
        <v>-0.1074370838</v>
      </c>
      <c r="H3" s="8">
        <f>SUM(H6,H9,H11)</f>
        <v>53792158</v>
      </c>
      <c r="I3" s="9">
        <f t="shared" ref="I3:I14" si="4">IFERROR(SUM((J3/H3)-1),0)</f>
        <v>0.1586423434</v>
      </c>
      <c r="J3" s="8">
        <f>SUM(J6,J9,J11)</f>
        <v>62325872</v>
      </c>
      <c r="K3" s="9">
        <f t="shared" ref="K3:K14" si="5">IFERROR(SUM((L3/J3)-1),0)</f>
        <v>-0.09354216496</v>
      </c>
      <c r="L3" s="8">
        <f>SUM(L6,L9,L11)</f>
        <v>56495775</v>
      </c>
      <c r="M3" s="9">
        <f t="shared" ref="M3:M14" si="6">IFERROR(SUM((N3/L3)-1),0)</f>
        <v>0.3936052209</v>
      </c>
      <c r="N3" s="8">
        <f>SUM(N6,N9,N11)</f>
        <v>78732807</v>
      </c>
      <c r="O3" s="9">
        <f t="shared" ref="O3:O14" si="7">IFERROR(SUM((P3/N3)-1),0)</f>
        <v>0.207874349</v>
      </c>
      <c r="P3" s="8">
        <f>SUM(P6,P9,P11)</f>
        <v>95099338</v>
      </c>
      <c r="Q3" s="9">
        <f t="shared" ref="Q3:Q14" si="8">IFERROR(SUM((R3/P3)-1),0)</f>
        <v>-0.1720993158</v>
      </c>
      <c r="R3" s="8">
        <f>SUM(R6,R9,R11)</f>
        <v>78732807</v>
      </c>
      <c r="S3" s="9">
        <f t="shared" ref="S3:S14" si="9">IFERROR(SUM((T3/R3)-1),0)</f>
        <v>0</v>
      </c>
      <c r="T3" s="8">
        <f>SUM(T6,T9,T11)</f>
        <v>78732807</v>
      </c>
      <c r="U3" s="9">
        <f t="shared" ref="U3:U14" si="10">IFERROR(SUM((V3/T3)-1),0)</f>
        <v>0</v>
      </c>
      <c r="V3" s="8">
        <f>SUM(V6,V9,V11)</f>
        <v>78732807</v>
      </c>
      <c r="W3" s="9">
        <f t="shared" ref="W3:W14" si="11">IFERROR(SUM((X3/V3)-1),0)</f>
        <v>0</v>
      </c>
      <c r="X3" s="8">
        <f>SUM(X6,X9,X11)</f>
        <v>78732807</v>
      </c>
      <c r="Y3" s="10"/>
      <c r="Z3" s="10"/>
    </row>
    <row r="4">
      <c r="A4" s="1" t="s">
        <v>18</v>
      </c>
      <c r="B4" s="11">
        <v>0.044</v>
      </c>
      <c r="C4" s="12">
        <f t="shared" si="1"/>
        <v>-0.25</v>
      </c>
      <c r="D4" s="11">
        <v>0.033</v>
      </c>
      <c r="E4" s="12">
        <f t="shared" si="2"/>
        <v>-0.09090909091</v>
      </c>
      <c r="F4" s="11">
        <v>0.03</v>
      </c>
      <c r="G4" s="12">
        <f t="shared" si="3"/>
        <v>0.1333333333</v>
      </c>
      <c r="H4" s="11">
        <v>0.034</v>
      </c>
      <c r="I4" s="12">
        <f t="shared" si="4"/>
        <v>-0.2352941176</v>
      </c>
      <c r="J4" s="11">
        <v>0.026</v>
      </c>
      <c r="K4" s="12">
        <f t="shared" si="5"/>
        <v>0.5</v>
      </c>
      <c r="L4" s="11">
        <v>0.039</v>
      </c>
      <c r="M4" s="12">
        <f t="shared" si="6"/>
        <v>0</v>
      </c>
      <c r="N4" s="11">
        <v>0.039</v>
      </c>
      <c r="O4" s="12">
        <f t="shared" si="7"/>
        <v>-0.2564102564</v>
      </c>
      <c r="P4" s="11">
        <v>0.029</v>
      </c>
      <c r="Q4" s="12">
        <f t="shared" si="8"/>
        <v>0.3448275862</v>
      </c>
      <c r="R4" s="11">
        <v>0.039</v>
      </c>
      <c r="S4" s="12">
        <f t="shared" si="9"/>
        <v>0</v>
      </c>
      <c r="T4" s="11">
        <v>0.039</v>
      </c>
      <c r="U4" s="12">
        <f t="shared" si="10"/>
        <v>0</v>
      </c>
      <c r="V4" s="11">
        <v>0.039</v>
      </c>
      <c r="W4" s="12">
        <f t="shared" si="11"/>
        <v>0</v>
      </c>
      <c r="X4" s="11">
        <v>0.039</v>
      </c>
      <c r="Y4" s="13"/>
    </row>
    <row r="5">
      <c r="A5" s="1" t="s">
        <v>19</v>
      </c>
      <c r="B5" s="14">
        <f>B6/(1-B4)</f>
        <v>62395956.07</v>
      </c>
      <c r="C5" s="12">
        <f t="shared" si="1"/>
        <v>-0.3483536305</v>
      </c>
      <c r="D5" s="14">
        <f>D6/(1-D4)</f>
        <v>40660098.24</v>
      </c>
      <c r="E5" s="12">
        <f t="shared" si="2"/>
        <v>0.2715579238</v>
      </c>
      <c r="F5" s="14">
        <f>F6/(1-F4)</f>
        <v>51701670.1</v>
      </c>
      <c r="G5" s="12">
        <f t="shared" si="3"/>
        <v>0.04799102273</v>
      </c>
      <c r="H5" s="14">
        <f>H6/(1-H4)</f>
        <v>54182886.13</v>
      </c>
      <c r="I5" s="12">
        <f t="shared" si="4"/>
        <v>0.1381034564</v>
      </c>
      <c r="J5" s="14">
        <f>J6/(1-J4)</f>
        <v>61665729.98</v>
      </c>
      <c r="K5" s="12">
        <f t="shared" si="5"/>
        <v>-0.1089106654</v>
      </c>
      <c r="L5" s="14">
        <f>L6/(1-L4)</f>
        <v>54949674.3</v>
      </c>
      <c r="M5" s="12">
        <f t="shared" si="6"/>
        <v>0.1653767878</v>
      </c>
      <c r="N5" s="14">
        <f>N6/(1-N4)</f>
        <v>64037074.92</v>
      </c>
      <c r="O5" s="12">
        <f t="shared" si="7"/>
        <v>-0.1051832547</v>
      </c>
      <c r="P5" s="14">
        <f>P6/(1-P4)</f>
        <v>57301446.96</v>
      </c>
      <c r="Q5" s="12">
        <f t="shared" si="8"/>
        <v>0.1175472578</v>
      </c>
      <c r="R5" s="14">
        <f>R6/(1-R4)</f>
        <v>64037074.92</v>
      </c>
      <c r="S5" s="12">
        <f t="shared" si="9"/>
        <v>0</v>
      </c>
      <c r="T5" s="14">
        <f>T6/(1-T4)</f>
        <v>64037074.92</v>
      </c>
      <c r="U5" s="12">
        <f t="shared" si="10"/>
        <v>0</v>
      </c>
      <c r="V5" s="14">
        <f>V6/(1-V4)</f>
        <v>64037074.92</v>
      </c>
      <c r="W5" s="12">
        <f t="shared" si="11"/>
        <v>0</v>
      </c>
      <c r="X5" s="14">
        <f>X6/(1-X4)</f>
        <v>64037074.92</v>
      </c>
      <c r="Y5" s="13"/>
    </row>
    <row r="6">
      <c r="A6" s="4" t="s">
        <v>20</v>
      </c>
      <c r="B6" s="15">
        <v>5.9650534E7</v>
      </c>
      <c r="C6" s="13">
        <f t="shared" si="1"/>
        <v>-0.3408556074</v>
      </c>
      <c r="D6" s="15">
        <v>3.9318315E7</v>
      </c>
      <c r="E6" s="13">
        <f t="shared" si="2"/>
        <v>0.2755027778</v>
      </c>
      <c r="F6" s="15">
        <v>5.015062E7</v>
      </c>
      <c r="G6" s="13">
        <f t="shared" si="3"/>
        <v>0.04366941027</v>
      </c>
      <c r="H6" s="15">
        <v>5.2340668E7</v>
      </c>
      <c r="I6" s="13">
        <f t="shared" si="4"/>
        <v>0.1475287438</v>
      </c>
      <c r="J6" s="15">
        <v>6.0062421E7</v>
      </c>
      <c r="K6" s="13">
        <f t="shared" si="5"/>
        <v>-0.1208040548</v>
      </c>
      <c r="L6" s="15">
        <v>5.2806637E7</v>
      </c>
      <c r="M6" s="13">
        <f t="shared" si="6"/>
        <v>0.1653767878</v>
      </c>
      <c r="N6" s="15">
        <v>6.1539629E7</v>
      </c>
      <c r="O6" s="13">
        <f t="shared" si="7"/>
        <v>-0.09587194619</v>
      </c>
      <c r="P6" s="15">
        <v>5.5639705E7</v>
      </c>
      <c r="Q6" s="13">
        <f t="shared" si="8"/>
        <v>0.1060380173</v>
      </c>
      <c r="R6" s="15">
        <v>6.1539629E7</v>
      </c>
      <c r="S6" s="13">
        <f t="shared" si="9"/>
        <v>0</v>
      </c>
      <c r="T6" s="15">
        <v>6.1539629E7</v>
      </c>
      <c r="U6" s="13">
        <f t="shared" si="10"/>
        <v>0</v>
      </c>
      <c r="V6" s="15">
        <v>6.1539629E7</v>
      </c>
      <c r="W6" s="13">
        <f t="shared" si="11"/>
        <v>0</v>
      </c>
      <c r="X6" s="15">
        <v>6.1539629E7</v>
      </c>
      <c r="Y6" s="13"/>
    </row>
    <row r="7">
      <c r="A7" s="16" t="s">
        <v>21</v>
      </c>
      <c r="B7" s="17">
        <f>B6/B3</f>
        <v>0.8735460111</v>
      </c>
      <c r="C7" s="18">
        <f t="shared" si="1"/>
        <v>0.05086393559</v>
      </c>
      <c r="D7" s="17">
        <f>D6/D3</f>
        <v>0.9179779991</v>
      </c>
      <c r="E7" s="18">
        <f t="shared" si="2"/>
        <v>-0.09350814677</v>
      </c>
      <c r="F7" s="17">
        <f>F6/F3</f>
        <v>0.8321395776</v>
      </c>
      <c r="G7" s="18">
        <f t="shared" si="3"/>
        <v>0.1692950618</v>
      </c>
      <c r="H7" s="17">
        <f>H6/H3</f>
        <v>0.9730166988</v>
      </c>
      <c r="I7" s="18">
        <f t="shared" si="4"/>
        <v>-0.009591915596</v>
      </c>
      <c r="J7" s="17">
        <f>J6/J3</f>
        <v>0.9636836048</v>
      </c>
      <c r="K7" s="18">
        <f t="shared" si="5"/>
        <v>-0.03007518808</v>
      </c>
      <c r="L7" s="17">
        <f>L6/L3</f>
        <v>0.9347006391</v>
      </c>
      <c r="M7" s="18">
        <f t="shared" si="6"/>
        <v>-0.163768354</v>
      </c>
      <c r="N7" s="17">
        <f>N6/N3</f>
        <v>0.781626254</v>
      </c>
      <c r="O7" s="18">
        <f t="shared" si="7"/>
        <v>-0.2514717656</v>
      </c>
      <c r="P7" s="17">
        <f>P6/P3</f>
        <v>0.5850693198</v>
      </c>
      <c r="Q7" s="18">
        <f t="shared" si="8"/>
        <v>0.3359549501</v>
      </c>
      <c r="R7" s="17">
        <f>R6/R3</f>
        <v>0.781626254</v>
      </c>
      <c r="S7" s="18">
        <f t="shared" si="9"/>
        <v>0</v>
      </c>
      <c r="T7" s="17">
        <f>T6/T3</f>
        <v>0.781626254</v>
      </c>
      <c r="U7" s="18">
        <f t="shared" si="10"/>
        <v>0</v>
      </c>
      <c r="V7" s="17">
        <f>V6/V3</f>
        <v>0.781626254</v>
      </c>
      <c r="W7" s="18">
        <f t="shared" si="11"/>
        <v>0</v>
      </c>
      <c r="X7" s="17">
        <f>X6/X3</f>
        <v>0.781626254</v>
      </c>
      <c r="Y7" s="13"/>
    </row>
    <row r="8">
      <c r="A8" s="1" t="s">
        <v>22</v>
      </c>
      <c r="B8" s="14">
        <f>B5-B6</f>
        <v>2745422.067</v>
      </c>
      <c r="C8" s="12">
        <f t="shared" si="1"/>
        <v>-0.5112652229</v>
      </c>
      <c r="D8" s="14">
        <f>D5-D6</f>
        <v>1341783.242</v>
      </c>
      <c r="E8" s="12">
        <f t="shared" si="2"/>
        <v>0.1559617489</v>
      </c>
      <c r="F8" s="14">
        <f>F5-F6</f>
        <v>1551050.103</v>
      </c>
      <c r="G8" s="12">
        <f t="shared" si="3"/>
        <v>0.1877231591</v>
      </c>
      <c r="H8" s="14">
        <f>H5-H6</f>
        <v>1842218.128</v>
      </c>
      <c r="I8" s="12">
        <f t="shared" si="4"/>
        <v>-0.1296855922</v>
      </c>
      <c r="J8" s="14">
        <f>J5-J6</f>
        <v>1603308.979</v>
      </c>
      <c r="K8" s="12">
        <f t="shared" si="5"/>
        <v>0.336634002</v>
      </c>
      <c r="L8" s="14">
        <f>L5-L6</f>
        <v>2143037.298</v>
      </c>
      <c r="M8" s="12">
        <f t="shared" si="6"/>
        <v>0.1653767878</v>
      </c>
      <c r="N8" s="14">
        <f>N5-N6</f>
        <v>2497445.922</v>
      </c>
      <c r="O8" s="12">
        <f t="shared" si="7"/>
        <v>-0.3346234458</v>
      </c>
      <c r="P8" s="14">
        <f>P5-P6</f>
        <v>1661741.962</v>
      </c>
      <c r="Q8" s="12">
        <f t="shared" si="8"/>
        <v>0.5029083812</v>
      </c>
      <c r="R8" s="14">
        <f>R5-R6</f>
        <v>2497445.922</v>
      </c>
      <c r="S8" s="12">
        <f t="shared" si="9"/>
        <v>0</v>
      </c>
      <c r="T8" s="14">
        <f>T5-T6</f>
        <v>2497445.922</v>
      </c>
      <c r="U8" s="12">
        <f t="shared" si="10"/>
        <v>0</v>
      </c>
      <c r="V8" s="14">
        <f>V5-V6</f>
        <v>2497445.922</v>
      </c>
      <c r="W8" s="12">
        <f t="shared" si="11"/>
        <v>0</v>
      </c>
      <c r="X8" s="14">
        <f>X5-X6</f>
        <v>2497445.922</v>
      </c>
      <c r="Y8" s="13"/>
    </row>
    <row r="9">
      <c r="A9" s="19" t="s">
        <v>25</v>
      </c>
      <c r="B9" s="15">
        <v>3549937.0</v>
      </c>
      <c r="C9" s="13">
        <f t="shared" si="1"/>
        <v>-0.1696993496</v>
      </c>
      <c r="D9" s="15">
        <v>2947515.0</v>
      </c>
      <c r="E9" s="13">
        <f t="shared" si="2"/>
        <v>0.04711969235</v>
      </c>
      <c r="F9" s="15">
        <v>3086401.0</v>
      </c>
      <c r="G9" s="13">
        <f t="shared" si="3"/>
        <v>-0.02731401396</v>
      </c>
      <c r="H9" s="15">
        <v>3002099.0</v>
      </c>
      <c r="I9" s="13">
        <f t="shared" si="4"/>
        <v>-0.1400969788</v>
      </c>
      <c r="J9" s="15">
        <v>2581514.0</v>
      </c>
      <c r="K9" s="13">
        <f t="shared" si="5"/>
        <v>0.0005241110449</v>
      </c>
      <c r="L9" s="15">
        <v>2582867.0</v>
      </c>
      <c r="M9" s="13">
        <f t="shared" si="6"/>
        <v>0.04700396885</v>
      </c>
      <c r="N9" s="15">
        <v>2704272.0</v>
      </c>
      <c r="O9" s="13">
        <f t="shared" si="7"/>
        <v>-0.3533113533</v>
      </c>
      <c r="P9" s="15">
        <v>1748822.0</v>
      </c>
      <c r="Q9" s="13">
        <f t="shared" si="8"/>
        <v>0.5463391929</v>
      </c>
      <c r="R9" s="15">
        <v>2704272.0</v>
      </c>
      <c r="S9" s="13">
        <f t="shared" si="9"/>
        <v>0</v>
      </c>
      <c r="T9" s="15">
        <v>2704272.0</v>
      </c>
      <c r="U9" s="13">
        <f t="shared" si="10"/>
        <v>0</v>
      </c>
      <c r="V9" s="15">
        <v>2704272.0</v>
      </c>
      <c r="W9" s="13">
        <f t="shared" si="11"/>
        <v>0</v>
      </c>
      <c r="X9" s="15">
        <v>2704272.0</v>
      </c>
    </row>
    <row r="10">
      <c r="A10" s="20" t="s">
        <v>27</v>
      </c>
      <c r="B10" s="17">
        <f>B9/B3</f>
        <v>0.05198668139</v>
      </c>
      <c r="C10" s="18">
        <f t="shared" si="1"/>
        <v>0.3237357687</v>
      </c>
      <c r="D10" s="17">
        <f>D9/D3</f>
        <v>0.06881662966</v>
      </c>
      <c r="E10" s="18">
        <f t="shared" si="2"/>
        <v>-0.2558185784</v>
      </c>
      <c r="F10" s="17">
        <f>F9/F3</f>
        <v>0.05121205729</v>
      </c>
      <c r="G10" s="18">
        <f t="shared" si="3"/>
        <v>0.08976741958</v>
      </c>
      <c r="H10" s="17">
        <f>H9/H3</f>
        <v>0.05580923152</v>
      </c>
      <c r="I10" s="18">
        <f t="shared" si="4"/>
        <v>-0.2578356677</v>
      </c>
      <c r="J10" s="17">
        <f>J9/J3</f>
        <v>0.04141962105</v>
      </c>
      <c r="K10" s="18">
        <f t="shared" si="5"/>
        <v>0.1037734712</v>
      </c>
      <c r="L10" s="17">
        <f>L9/L3</f>
        <v>0.0457178789</v>
      </c>
      <c r="M10" s="18">
        <f t="shared" si="6"/>
        <v>-0.2487083479</v>
      </c>
      <c r="N10" s="17">
        <f>N9/N3</f>
        <v>0.03434746077</v>
      </c>
      <c r="O10" s="18">
        <f t="shared" si="7"/>
        <v>-0.4646060269</v>
      </c>
      <c r="P10" s="17">
        <f>P9/P3</f>
        <v>0.01838942349</v>
      </c>
      <c r="Q10" s="18">
        <f t="shared" si="8"/>
        <v>0.867783446</v>
      </c>
      <c r="R10" s="17">
        <f>R9/R3</f>
        <v>0.03434746077</v>
      </c>
      <c r="S10" s="18">
        <f t="shared" si="9"/>
        <v>0</v>
      </c>
      <c r="T10" s="17">
        <f>T9/T3</f>
        <v>0.03434746077</v>
      </c>
      <c r="U10" s="18">
        <f t="shared" si="10"/>
        <v>0</v>
      </c>
      <c r="V10" s="17">
        <f>V9/V3</f>
        <v>0.03434746077</v>
      </c>
      <c r="W10" s="18">
        <f t="shared" si="11"/>
        <v>0</v>
      </c>
      <c r="X10" s="17">
        <f>X9/X3</f>
        <v>0.03434746077</v>
      </c>
    </row>
    <row r="11">
      <c r="A11" s="19" t="s">
        <v>30</v>
      </c>
      <c r="B11" s="15">
        <v>5085038.0</v>
      </c>
      <c r="C11" s="13">
        <f t="shared" si="1"/>
        <v>-0.8887707427</v>
      </c>
      <c r="D11" s="15">
        <v>565605.0</v>
      </c>
      <c r="E11" s="13">
        <f t="shared" si="2"/>
        <v>11.42926778</v>
      </c>
      <c r="F11" s="15">
        <v>7030056.0</v>
      </c>
      <c r="G11" s="13">
        <f t="shared" si="3"/>
        <v>-1.220568513</v>
      </c>
      <c r="H11" s="15">
        <v>-1550609.0</v>
      </c>
      <c r="I11" s="13">
        <f t="shared" si="4"/>
        <v>-0.7948786574</v>
      </c>
      <c r="J11" s="15">
        <v>-318063.0</v>
      </c>
      <c r="K11" s="13">
        <f t="shared" si="5"/>
        <v>-4.478150555</v>
      </c>
      <c r="L11" s="15">
        <v>1106271.0</v>
      </c>
      <c r="M11" s="13">
        <f t="shared" si="6"/>
        <v>12.09706754</v>
      </c>
      <c r="N11" s="15">
        <v>1.4488906E7</v>
      </c>
      <c r="O11" s="13">
        <f t="shared" si="7"/>
        <v>1.602736949</v>
      </c>
      <c r="P11" s="15">
        <v>3.7710811E7</v>
      </c>
      <c r="Q11" s="13">
        <f t="shared" si="8"/>
        <v>-0.6157890638</v>
      </c>
      <c r="R11" s="15">
        <v>1.4488906E7</v>
      </c>
      <c r="S11" s="13">
        <f t="shared" si="9"/>
        <v>0</v>
      </c>
      <c r="T11" s="15">
        <v>1.4488906E7</v>
      </c>
      <c r="U11" s="13">
        <f t="shared" si="10"/>
        <v>0</v>
      </c>
      <c r="V11" s="15">
        <v>1.4488906E7</v>
      </c>
      <c r="W11" s="13">
        <f t="shared" si="11"/>
        <v>0</v>
      </c>
      <c r="X11" s="15">
        <v>1.4488906E7</v>
      </c>
    </row>
    <row r="12">
      <c r="A12" s="20" t="s">
        <v>31</v>
      </c>
      <c r="B12" s="17">
        <f>B11/B3</f>
        <v>0.07446730755</v>
      </c>
      <c r="C12" s="18">
        <f t="shared" si="1"/>
        <v>-0.8226688774</v>
      </c>
      <c r="D12" s="17">
        <f>D11/D3</f>
        <v>0.01320537124</v>
      </c>
      <c r="E12" s="18">
        <f t="shared" si="2"/>
        <v>7.833402934</v>
      </c>
      <c r="F12" s="17">
        <f>F11/F3</f>
        <v>0.1166483651</v>
      </c>
      <c r="G12" s="18">
        <f t="shared" si="3"/>
        <v>-1.247118169</v>
      </c>
      <c r="H12" s="17">
        <f>H11/H3</f>
        <v>-0.02882593035</v>
      </c>
      <c r="I12" s="18">
        <f t="shared" si="4"/>
        <v>-0.8229640546</v>
      </c>
      <c r="J12" s="17">
        <f>J11/J3</f>
        <v>-0.005103225832</v>
      </c>
      <c r="K12" s="18">
        <f t="shared" si="5"/>
        <v>-4.837079256</v>
      </c>
      <c r="L12" s="17">
        <f>L11/L3</f>
        <v>0.01958148198</v>
      </c>
      <c r="M12" s="18">
        <f t="shared" si="6"/>
        <v>8.397975366</v>
      </c>
      <c r="N12" s="17">
        <f>N11/N3</f>
        <v>0.1840262853</v>
      </c>
      <c r="O12" s="18">
        <f t="shared" si="7"/>
        <v>1.154807701</v>
      </c>
      <c r="P12" s="17">
        <f>P11/P3</f>
        <v>0.3965412567</v>
      </c>
      <c r="Q12" s="18">
        <f t="shared" si="8"/>
        <v>-0.5359214655</v>
      </c>
      <c r="R12" s="17">
        <f>R11/R3</f>
        <v>0.1840262853</v>
      </c>
      <c r="S12" s="18">
        <f t="shared" si="9"/>
        <v>0</v>
      </c>
      <c r="T12" s="17">
        <f>T11/T3</f>
        <v>0.1840262853</v>
      </c>
      <c r="U12" s="18">
        <f t="shared" si="10"/>
        <v>0</v>
      </c>
      <c r="V12" s="17">
        <f>V11/V3</f>
        <v>0.1840262853</v>
      </c>
      <c r="W12" s="18">
        <f t="shared" si="11"/>
        <v>0</v>
      </c>
      <c r="X12" s="17">
        <f>X11/X3</f>
        <v>0.1840262853</v>
      </c>
    </row>
    <row r="13">
      <c r="A13" s="21" t="s">
        <v>36</v>
      </c>
      <c r="B13" s="22">
        <f>B11</f>
        <v>5085038</v>
      </c>
      <c r="C13" s="13">
        <f t="shared" si="1"/>
        <v>-0.8887707427</v>
      </c>
      <c r="D13" s="22">
        <f>D11</f>
        <v>565605</v>
      </c>
      <c r="E13" s="13">
        <f t="shared" si="2"/>
        <v>11.42926778</v>
      </c>
      <c r="F13" s="22">
        <f>F11</f>
        <v>7030056</v>
      </c>
      <c r="G13" s="13">
        <f t="shared" si="3"/>
        <v>-1.220568513</v>
      </c>
      <c r="H13" s="22">
        <f>H11</f>
        <v>-1550609</v>
      </c>
      <c r="I13" s="13">
        <f t="shared" si="4"/>
        <v>-0.7948786574</v>
      </c>
      <c r="J13" s="22">
        <f>J11</f>
        <v>-318063</v>
      </c>
      <c r="K13" s="13">
        <f t="shared" si="5"/>
        <v>-4.478150555</v>
      </c>
      <c r="L13" s="22">
        <f>L11</f>
        <v>1106271</v>
      </c>
      <c r="M13" s="13">
        <f t="shared" si="6"/>
        <v>12.09706754</v>
      </c>
      <c r="N13" s="22">
        <f>N11</f>
        <v>14488906</v>
      </c>
      <c r="O13" s="13">
        <f t="shared" si="7"/>
        <v>1.602736949</v>
      </c>
      <c r="P13" s="22">
        <f>P11</f>
        <v>37710811</v>
      </c>
      <c r="Q13" s="13">
        <f t="shared" si="8"/>
        <v>-0.6157890638</v>
      </c>
      <c r="R13" s="22">
        <f>R11</f>
        <v>14488906</v>
      </c>
      <c r="S13" s="13">
        <f t="shared" si="9"/>
        <v>0</v>
      </c>
      <c r="T13" s="22">
        <f>T11</f>
        <v>14488906</v>
      </c>
      <c r="U13" s="13">
        <f t="shared" si="10"/>
        <v>0</v>
      </c>
      <c r="V13" s="22">
        <f>V11</f>
        <v>14488906</v>
      </c>
      <c r="W13" s="13">
        <f t="shared" si="11"/>
        <v>0</v>
      </c>
      <c r="X13" s="22">
        <f>X11</f>
        <v>14488906</v>
      </c>
    </row>
    <row r="14">
      <c r="A14" s="23" t="s">
        <v>39</v>
      </c>
      <c r="B14" s="22">
        <f>B3-ABS(B13)</f>
        <v>63200471</v>
      </c>
      <c r="C14" s="13">
        <f t="shared" si="1"/>
        <v>-0.331241851</v>
      </c>
      <c r="D14" s="22">
        <f>D3-ABS(D13)</f>
        <v>42265830</v>
      </c>
      <c r="E14" s="13">
        <f t="shared" si="2"/>
        <v>0.2595759033</v>
      </c>
      <c r="F14" s="22">
        <f>F3-ABS(F13)</f>
        <v>53237021</v>
      </c>
      <c r="G14" s="13">
        <f t="shared" si="3"/>
        <v>-0.01869886747</v>
      </c>
      <c r="H14" s="22">
        <f>H3-ABS(H13)</f>
        <v>52241549</v>
      </c>
      <c r="I14" s="13">
        <f t="shared" si="4"/>
        <v>0.1869443037</v>
      </c>
      <c r="J14" s="22">
        <f>J3-ABS(J13)</f>
        <v>62007809</v>
      </c>
      <c r="K14" s="13">
        <f t="shared" si="5"/>
        <v>-0.1067334116</v>
      </c>
      <c r="L14" s="22">
        <f>L3-ABS(L13)</f>
        <v>55389504</v>
      </c>
      <c r="M14" s="13">
        <f t="shared" si="6"/>
        <v>0.1598569469</v>
      </c>
      <c r="N14" s="22">
        <f>N3-ABS(N13)</f>
        <v>64243901</v>
      </c>
      <c r="O14" s="13">
        <f t="shared" si="7"/>
        <v>-0.1067085574</v>
      </c>
      <c r="P14" s="22">
        <f>P3-ABS(P13)</f>
        <v>57388527</v>
      </c>
      <c r="Q14" s="13">
        <f t="shared" si="8"/>
        <v>0.1194554793</v>
      </c>
      <c r="R14" s="22">
        <f>R3-ABS(R13)</f>
        <v>64243901</v>
      </c>
      <c r="S14" s="13">
        <f t="shared" si="9"/>
        <v>0</v>
      </c>
      <c r="T14" s="22">
        <f>T3-ABS(T13)</f>
        <v>64243901</v>
      </c>
      <c r="U14" s="13">
        <f t="shared" si="10"/>
        <v>0</v>
      </c>
      <c r="V14" s="22">
        <f>V3-ABS(V13)</f>
        <v>64243901</v>
      </c>
      <c r="W14" s="13">
        <f t="shared" si="11"/>
        <v>0</v>
      </c>
      <c r="X14" s="22">
        <f>X3-ABS(X13)</f>
        <v>64243901</v>
      </c>
    </row>
    <row r="15">
      <c r="B15" s="15"/>
      <c r="D15" s="15"/>
      <c r="F15" s="15"/>
      <c r="H15" s="15"/>
      <c r="J15" s="15"/>
    </row>
    <row r="16">
      <c r="A16" s="25" t="s">
        <v>44</v>
      </c>
      <c r="B16" s="26">
        <f>ABS(SUM(B17,B18,B20,B22))</f>
        <v>9804766</v>
      </c>
      <c r="C16" s="27">
        <f t="shared" ref="C16:C36" si="12">IFERROR(SUM((D16/B16)-1),0)</f>
        <v>0.1248182772</v>
      </c>
      <c r="D16" s="26">
        <f>ABS(SUM(D17,D18,D20,D22))</f>
        <v>11028580</v>
      </c>
      <c r="E16" s="27">
        <f t="shared" ref="E16:E36" si="13">IFERROR(SUM((F16/D16)-1),0)</f>
        <v>-0.04499917487</v>
      </c>
      <c r="F16" s="26">
        <f>ABS(SUM(F17,F18,F20,F22))</f>
        <v>10532303</v>
      </c>
      <c r="G16" s="27">
        <f t="shared" ref="G16:G36" si="14">IFERROR(SUM((H16/F16)-1),0)</f>
        <v>0.01421370046</v>
      </c>
      <c r="H16" s="26">
        <f>ABS(SUM(H17,H18,H20,H22))</f>
        <v>10682006</v>
      </c>
      <c r="I16" s="27">
        <f t="shared" ref="I16:I36" si="15">IFERROR(SUM((J16/H16)-1),0)</f>
        <v>0.04461540276</v>
      </c>
      <c r="J16" s="26">
        <f>ABS(SUM(J17,J18,J20,J22))</f>
        <v>11158588</v>
      </c>
      <c r="K16" s="27">
        <f t="shared" ref="K16:K36" si="16">IFERROR(SUM((L16/J16)-1),0)</f>
        <v>-0.009635358882</v>
      </c>
      <c r="L16" s="26">
        <f>ABS(SUM(L17,L18,L20,L22))</f>
        <v>11051071</v>
      </c>
      <c r="M16" s="27">
        <f t="shared" ref="M16:M36" si="17">IFERROR(SUM((N16/L16)-1),0)</f>
        <v>0.07217146646</v>
      </c>
      <c r="N16" s="26">
        <f>ABS(SUM(N17,N18,N20,N22))</f>
        <v>11848643</v>
      </c>
      <c r="O16" s="27">
        <f t="shared" ref="O16:O36" si="18">IFERROR(SUM((P16/N16)-1),0)</f>
        <v>0.007775995952</v>
      </c>
      <c r="P16" s="26">
        <f>ABS(SUM(P17,P18,P20,P22))</f>
        <v>11940778</v>
      </c>
      <c r="Q16" s="27">
        <f t="shared" ref="Q16:Q36" si="19">IFERROR(SUM((R16/P16)-1),0)</f>
        <v>-0.007715996395</v>
      </c>
      <c r="R16" s="26">
        <f>ABS(SUM(R17,R18,R20,R22))</f>
        <v>11848643</v>
      </c>
      <c r="S16" s="27">
        <f t="shared" ref="S16:S36" si="20">IFERROR(SUM((T16/R16)-1),0)</f>
        <v>0</v>
      </c>
      <c r="T16" s="26">
        <f>ABS(SUM(T17,T18,T20,T22))</f>
        <v>11848643</v>
      </c>
      <c r="U16" s="27">
        <f t="shared" ref="U16:U36" si="21">IFERROR(SUM((V16/T16)-1),0)</f>
        <v>0</v>
      </c>
      <c r="V16" s="26">
        <f>ABS(SUM(V17,V18,V20,V22))</f>
        <v>11848643</v>
      </c>
      <c r="W16" s="27">
        <f t="shared" ref="W16:W36" si="22">IFERROR(SUM((X16/V16)-1),0)</f>
        <v>0</v>
      </c>
      <c r="X16" s="26">
        <f>ABS(SUM(X17,X18,X20,X22))</f>
        <v>11848643</v>
      </c>
    </row>
    <row r="17">
      <c r="A17" s="4" t="s">
        <v>48</v>
      </c>
      <c r="B17" s="15">
        <v>-1622753.0</v>
      </c>
      <c r="C17" s="13">
        <f t="shared" si="12"/>
        <v>-0.1687428709</v>
      </c>
      <c r="D17" s="15">
        <v>-1348925.0</v>
      </c>
      <c r="E17" s="13">
        <f t="shared" si="13"/>
        <v>-0.7538640028</v>
      </c>
      <c r="F17" s="15">
        <v>-332019.0</v>
      </c>
      <c r="G17" s="13">
        <f t="shared" si="14"/>
        <v>1.74502664</v>
      </c>
      <c r="H17" s="15">
        <v>-911401.0</v>
      </c>
      <c r="I17" s="13">
        <f t="shared" si="15"/>
        <v>-0.4110254432</v>
      </c>
      <c r="J17" s="15">
        <v>-536792.0</v>
      </c>
      <c r="K17" s="13">
        <f t="shared" si="16"/>
        <v>0.381576104</v>
      </c>
      <c r="L17" s="15">
        <v>-741619.0</v>
      </c>
      <c r="M17" s="13">
        <f t="shared" si="17"/>
        <v>0.3661192607</v>
      </c>
      <c r="N17" s="15">
        <v>-1013140.0</v>
      </c>
      <c r="O17" s="13">
        <f t="shared" si="18"/>
        <v>0.05429456936</v>
      </c>
      <c r="P17" s="15">
        <v>-1068148.0</v>
      </c>
      <c r="Q17" s="13">
        <f t="shared" si="19"/>
        <v>-0.05149848148</v>
      </c>
      <c r="R17" s="15">
        <v>-1013140.0</v>
      </c>
      <c r="S17" s="13">
        <f t="shared" si="20"/>
        <v>0</v>
      </c>
      <c r="T17" s="15">
        <v>-1013140.0</v>
      </c>
      <c r="U17" s="13">
        <f t="shared" si="21"/>
        <v>0</v>
      </c>
      <c r="V17" s="15">
        <v>-1013140.0</v>
      </c>
      <c r="W17" s="13">
        <f t="shared" si="22"/>
        <v>0</v>
      </c>
      <c r="X17" s="15">
        <v>-1013140.0</v>
      </c>
    </row>
    <row r="18">
      <c r="A18" s="25" t="s">
        <v>49</v>
      </c>
      <c r="B18" s="29">
        <v>-5036656.0</v>
      </c>
      <c r="C18" s="27">
        <f t="shared" si="12"/>
        <v>0.01650936653</v>
      </c>
      <c r="D18" s="29">
        <v>-5119808.0</v>
      </c>
      <c r="E18" s="27">
        <f t="shared" si="13"/>
        <v>-0.02018610854</v>
      </c>
      <c r="F18" s="29">
        <v>-5016459.0</v>
      </c>
      <c r="G18" s="27">
        <f t="shared" si="14"/>
        <v>0.01444524913</v>
      </c>
      <c r="H18" s="29">
        <v>-5088923.0</v>
      </c>
      <c r="I18" s="27">
        <f t="shared" si="15"/>
        <v>0.0375207092</v>
      </c>
      <c r="J18" s="29">
        <v>-5279863.0</v>
      </c>
      <c r="K18" s="27">
        <f t="shared" si="16"/>
        <v>0.0213304777</v>
      </c>
      <c r="L18" s="29">
        <v>-5392485.0</v>
      </c>
      <c r="M18" s="27">
        <f t="shared" si="17"/>
        <v>0.02545709446</v>
      </c>
      <c r="N18" s="29">
        <v>-5529762.0</v>
      </c>
      <c r="O18" s="27">
        <f t="shared" si="18"/>
        <v>-0.01493735173</v>
      </c>
      <c r="P18" s="29">
        <v>-5447162.0</v>
      </c>
      <c r="Q18" s="27">
        <f t="shared" si="19"/>
        <v>0.01516385964</v>
      </c>
      <c r="R18" s="29">
        <v>-5529762.0</v>
      </c>
      <c r="S18" s="27">
        <f t="shared" si="20"/>
        <v>0</v>
      </c>
      <c r="T18" s="29">
        <v>-5529762.0</v>
      </c>
      <c r="U18" s="27">
        <f t="shared" si="21"/>
        <v>0</v>
      </c>
      <c r="V18" s="29">
        <v>-5529762.0</v>
      </c>
      <c r="W18" s="27">
        <f t="shared" si="22"/>
        <v>0</v>
      </c>
      <c r="X18" s="29">
        <v>-5529762.0</v>
      </c>
    </row>
    <row r="19">
      <c r="A19" s="1" t="s">
        <v>50</v>
      </c>
      <c r="B19" s="30">
        <f>B18/B3</f>
        <v>-0.07375878241</v>
      </c>
      <c r="C19" s="31">
        <f t="shared" si="12"/>
        <v>0.6206055085</v>
      </c>
      <c r="D19" s="30">
        <f>D18/D3</f>
        <v>-0.1195338891</v>
      </c>
      <c r="E19" s="31">
        <f t="shared" si="13"/>
        <v>-0.3036523904</v>
      </c>
      <c r="F19" s="30">
        <f>F18/F3</f>
        <v>-0.08323713792</v>
      </c>
      <c r="G19" s="31">
        <f t="shared" si="14"/>
        <v>0.1365532117</v>
      </c>
      <c r="H19" s="30">
        <f>H18/H3</f>
        <v>-0.09460343643</v>
      </c>
      <c r="I19" s="31">
        <f t="shared" si="15"/>
        <v>-0.104537552</v>
      </c>
      <c r="J19" s="30">
        <f>J18/J3</f>
        <v>-0.08471382478</v>
      </c>
      <c r="K19" s="31">
        <f t="shared" si="16"/>
        <v>0.1267269565</v>
      </c>
      <c r="L19" s="30">
        <f>L18/L3</f>
        <v>-0.09544934997</v>
      </c>
      <c r="M19" s="31">
        <f t="shared" si="17"/>
        <v>-0.2641695948</v>
      </c>
      <c r="N19" s="30">
        <f>N18/N3</f>
        <v>-0.07023453387</v>
      </c>
      <c r="O19" s="31">
        <f t="shared" si="18"/>
        <v>-0.1844659595</v>
      </c>
      <c r="P19" s="30">
        <f>P18/P3</f>
        <v>-0.05727865319</v>
      </c>
      <c r="Q19" s="31">
        <f t="shared" si="19"/>
        <v>0.2261903861</v>
      </c>
      <c r="R19" s="30">
        <f>R18/R3</f>
        <v>-0.07023453387</v>
      </c>
      <c r="S19" s="31">
        <f t="shared" si="20"/>
        <v>0</v>
      </c>
      <c r="T19" s="30">
        <f>T18/T3</f>
        <v>-0.07023453387</v>
      </c>
      <c r="U19" s="31">
        <f t="shared" si="21"/>
        <v>0</v>
      </c>
      <c r="V19" s="30">
        <f>V18/V3</f>
        <v>-0.07023453387</v>
      </c>
      <c r="W19" s="31">
        <f t="shared" si="22"/>
        <v>0</v>
      </c>
      <c r="X19" s="30">
        <f>X18/X3</f>
        <v>-0.07023453387</v>
      </c>
    </row>
    <row r="20">
      <c r="A20" s="32" t="s">
        <v>51</v>
      </c>
      <c r="B20" s="33">
        <v>-2577948.0</v>
      </c>
      <c r="C20" s="34">
        <f t="shared" si="12"/>
        <v>0.3616612903</v>
      </c>
      <c r="D20" s="33">
        <v>-3510292.0</v>
      </c>
      <c r="E20" s="34">
        <f t="shared" si="13"/>
        <v>-0.05159998086</v>
      </c>
      <c r="F20" s="33">
        <v>-3329161.0</v>
      </c>
      <c r="G20" s="34">
        <f t="shared" si="14"/>
        <v>-0.1417699535</v>
      </c>
      <c r="H20" s="33">
        <v>-2857186.0</v>
      </c>
      <c r="I20" s="34">
        <f t="shared" si="15"/>
        <v>0.2200731769</v>
      </c>
      <c r="J20" s="33">
        <v>-3485976.0</v>
      </c>
      <c r="K20" s="34">
        <f t="shared" si="16"/>
        <v>-0.08054903419</v>
      </c>
      <c r="L20" s="33">
        <v>-3205184.0</v>
      </c>
      <c r="M20" s="34">
        <f t="shared" si="17"/>
        <v>0.04938031639</v>
      </c>
      <c r="N20" s="33">
        <v>-3363457.0</v>
      </c>
      <c r="O20" s="34">
        <f t="shared" si="18"/>
        <v>0.02966471699</v>
      </c>
      <c r="P20" s="33">
        <v>-3463233.0</v>
      </c>
      <c r="Q20" s="34">
        <f t="shared" si="19"/>
        <v>-0.02881007429</v>
      </c>
      <c r="R20" s="33">
        <v>-3363457.0</v>
      </c>
      <c r="S20" s="34">
        <f t="shared" si="20"/>
        <v>0</v>
      </c>
      <c r="T20" s="33">
        <v>-3363457.0</v>
      </c>
      <c r="U20" s="34">
        <f t="shared" si="21"/>
        <v>0</v>
      </c>
      <c r="V20" s="33">
        <v>-3363457.0</v>
      </c>
      <c r="W20" s="34">
        <f t="shared" si="22"/>
        <v>0</v>
      </c>
      <c r="X20" s="33">
        <v>-3363457.0</v>
      </c>
      <c r="Y20" s="35"/>
      <c r="Z20" s="35"/>
    </row>
    <row r="21">
      <c r="A21" s="1" t="s">
        <v>52</v>
      </c>
      <c r="B21" s="30">
        <f>B20/B3</f>
        <v>-0.03775249006</v>
      </c>
      <c r="C21" s="31">
        <f t="shared" si="12"/>
        <v>1.170876</v>
      </c>
      <c r="D21" s="30">
        <f>D20/D3</f>
        <v>-0.08195597462</v>
      </c>
      <c r="E21" s="31">
        <f t="shared" si="13"/>
        <v>-0.3259780332</v>
      </c>
      <c r="F21" s="30">
        <f>F20/F3</f>
        <v>-0.05524012721</v>
      </c>
      <c r="G21" s="31">
        <f t="shared" si="14"/>
        <v>-0.03846548973</v>
      </c>
      <c r="H21" s="30">
        <f>H20/H3</f>
        <v>-0.05311528866</v>
      </c>
      <c r="I21" s="31">
        <f t="shared" si="15"/>
        <v>0.05301966899</v>
      </c>
      <c r="J21" s="30">
        <f>J20/J3</f>
        <v>-0.05593144369</v>
      </c>
      <c r="K21" s="31">
        <f t="shared" si="16"/>
        <v>0.01433396047</v>
      </c>
      <c r="L21" s="30">
        <f>L20/L3</f>
        <v>-0.05673316279</v>
      </c>
      <c r="M21" s="31">
        <f t="shared" si="17"/>
        <v>-0.247003168</v>
      </c>
      <c r="N21" s="30">
        <f>N20/N3</f>
        <v>-0.04271989185</v>
      </c>
      <c r="O21" s="31">
        <f t="shared" si="18"/>
        <v>-0.1475398763</v>
      </c>
      <c r="P21" s="30">
        <f>P20/P3</f>
        <v>-0.03641700429</v>
      </c>
      <c r="Q21" s="31">
        <f t="shared" si="19"/>
        <v>0.1730753993</v>
      </c>
      <c r="R21" s="30">
        <f>R20/R3</f>
        <v>-0.04271989185</v>
      </c>
      <c r="S21" s="31">
        <f t="shared" si="20"/>
        <v>0</v>
      </c>
      <c r="T21" s="30">
        <f>T20/T3</f>
        <v>-0.04271989185</v>
      </c>
      <c r="U21" s="31">
        <f t="shared" si="21"/>
        <v>0</v>
      </c>
      <c r="V21" s="30">
        <f>V20/V3</f>
        <v>-0.04271989185</v>
      </c>
      <c r="W21" s="31">
        <f t="shared" si="22"/>
        <v>0</v>
      </c>
      <c r="X21" s="30">
        <f>X20/X3</f>
        <v>-0.04271989185</v>
      </c>
    </row>
    <row r="22">
      <c r="A22" s="4" t="s">
        <v>53</v>
      </c>
      <c r="B22" s="15">
        <v>-567409.0</v>
      </c>
      <c r="C22" s="13">
        <f t="shared" si="12"/>
        <v>0.8497327325</v>
      </c>
      <c r="D22" s="15">
        <v>-1049555.0</v>
      </c>
      <c r="E22" s="13">
        <f t="shared" si="13"/>
        <v>0.7670955786</v>
      </c>
      <c r="F22" s="15">
        <v>-1854664.0</v>
      </c>
      <c r="G22" s="13">
        <f t="shared" si="14"/>
        <v>-0.01626601907</v>
      </c>
      <c r="H22" s="15">
        <v>-1824496.0</v>
      </c>
      <c r="I22" s="13">
        <f t="shared" si="15"/>
        <v>0.0172436662</v>
      </c>
      <c r="J22" s="15">
        <v>-1855957.0</v>
      </c>
      <c r="K22" s="13">
        <f t="shared" si="16"/>
        <v>-0.07768175664</v>
      </c>
      <c r="L22" s="15">
        <v>-1711783.0</v>
      </c>
      <c r="M22" s="13">
        <f t="shared" si="17"/>
        <v>0.1346555025</v>
      </c>
      <c r="N22" s="15">
        <v>-1942284.0</v>
      </c>
      <c r="O22" s="13">
        <f t="shared" si="18"/>
        <v>0.01027192728</v>
      </c>
      <c r="P22" s="15">
        <v>-1962235.0</v>
      </c>
      <c r="Q22" s="13">
        <f t="shared" si="19"/>
        <v>-0.01016748758</v>
      </c>
      <c r="R22" s="15">
        <v>-1942284.0</v>
      </c>
      <c r="S22" s="13">
        <f t="shared" si="20"/>
        <v>0</v>
      </c>
      <c r="T22" s="15">
        <v>-1942284.0</v>
      </c>
      <c r="U22" s="13">
        <f t="shared" si="21"/>
        <v>0</v>
      </c>
      <c r="V22" s="15">
        <v>-1942284.0</v>
      </c>
      <c r="W22" s="13">
        <f t="shared" si="22"/>
        <v>0</v>
      </c>
      <c r="X22" s="15">
        <v>-1942284.0</v>
      </c>
    </row>
    <row r="23">
      <c r="A23" s="1" t="s">
        <v>54</v>
      </c>
      <c r="B23" s="30">
        <f>ABS(B16)/B3</f>
        <v>0.143584871</v>
      </c>
      <c r="C23" s="31">
        <f t="shared" si="12"/>
        <v>0.7932807665</v>
      </c>
      <c r="D23" s="30">
        <f>D16/D3</f>
        <v>0.2574879875</v>
      </c>
      <c r="E23" s="31">
        <f t="shared" si="13"/>
        <v>-0.3212868816</v>
      </c>
      <c r="F23" s="30">
        <f>F16/F3</f>
        <v>0.1747604749</v>
      </c>
      <c r="G23" s="31">
        <f t="shared" si="14"/>
        <v>0.1362937917</v>
      </c>
      <c r="H23" s="30">
        <f>H16/H3</f>
        <v>0.1985792427</v>
      </c>
      <c r="I23" s="31">
        <f t="shared" si="15"/>
        <v>-0.09841427017</v>
      </c>
      <c r="J23" s="30">
        <f>J16/J3</f>
        <v>0.1790362115</v>
      </c>
      <c r="K23" s="31">
        <f t="shared" si="16"/>
        <v>0.09256559195</v>
      </c>
      <c r="L23" s="30">
        <f>L16/L3</f>
        <v>0.1956088044</v>
      </c>
      <c r="M23" s="31">
        <f t="shared" si="17"/>
        <v>-0.2306490745</v>
      </c>
      <c r="N23" s="30">
        <f>N16/N3</f>
        <v>0.1504918147</v>
      </c>
      <c r="O23" s="31">
        <f t="shared" si="18"/>
        <v>-0.1656615634</v>
      </c>
      <c r="P23" s="30">
        <f>P16/P3</f>
        <v>0.1255611054</v>
      </c>
      <c r="Q23" s="31">
        <f t="shared" si="19"/>
        <v>0.1985543949</v>
      </c>
      <c r="R23" s="30">
        <f>R16/R3</f>
        <v>0.1504918147</v>
      </c>
      <c r="S23" s="31">
        <f t="shared" si="20"/>
        <v>0</v>
      </c>
      <c r="T23" s="30">
        <f>T16/T3</f>
        <v>0.1504918147</v>
      </c>
      <c r="U23" s="31">
        <f t="shared" si="21"/>
        <v>0</v>
      </c>
      <c r="V23" s="30">
        <f>V16/V3</f>
        <v>0.1504918147</v>
      </c>
      <c r="W23" s="31">
        <f t="shared" si="22"/>
        <v>0</v>
      </c>
      <c r="X23" s="30">
        <f>X16/X3</f>
        <v>0.1504918147</v>
      </c>
    </row>
    <row r="24">
      <c r="A24" s="36" t="s">
        <v>56</v>
      </c>
      <c r="B24" s="37">
        <f>B25/$B$3</f>
        <v>0.856415129</v>
      </c>
      <c r="C24" s="38">
        <f t="shared" si="12"/>
        <v>-0.1329998883</v>
      </c>
      <c r="D24" s="37">
        <f>D25/$D$3</f>
        <v>0.7425120125</v>
      </c>
      <c r="E24" s="38">
        <f t="shared" si="13"/>
        <v>0.1114157228</v>
      </c>
      <c r="F24" s="37">
        <f>F25/$F$3</f>
        <v>0.8252395251</v>
      </c>
      <c r="G24" s="38">
        <f t="shared" si="14"/>
        <v>-0.02886285382</v>
      </c>
      <c r="H24" s="37">
        <f>H25/$H$3</f>
        <v>0.8014207573</v>
      </c>
      <c r="I24" s="38">
        <f t="shared" si="15"/>
        <v>0.02438548174</v>
      </c>
      <c r="J24" s="37">
        <f>J25/$J$3</f>
        <v>0.8209637885</v>
      </c>
      <c r="K24" s="38">
        <f t="shared" si="16"/>
        <v>-0.0201867526</v>
      </c>
      <c r="L24" s="37">
        <f>L25/$L$3</f>
        <v>0.8043911956</v>
      </c>
      <c r="M24" s="38">
        <f t="shared" si="17"/>
        <v>0.05608836838</v>
      </c>
      <c r="N24" s="37">
        <f>N25/$N$3</f>
        <v>0.8495081853</v>
      </c>
      <c r="O24" s="38">
        <f t="shared" si="18"/>
        <v>0.2433221113</v>
      </c>
      <c r="P24" s="37">
        <f>P25/$N$3</f>
        <v>1.056212311</v>
      </c>
      <c r="Q24" s="38">
        <f t="shared" si="19"/>
        <v>-0.1957031964</v>
      </c>
      <c r="R24" s="37">
        <f>R25/$N$3</f>
        <v>0.8495081853</v>
      </c>
      <c r="S24" s="38">
        <f t="shared" si="20"/>
        <v>0</v>
      </c>
      <c r="T24" s="37">
        <f>T25/$N$3</f>
        <v>0.8495081853</v>
      </c>
      <c r="U24" s="38">
        <f t="shared" si="21"/>
        <v>0</v>
      </c>
      <c r="V24" s="37">
        <f>V25/$N$3</f>
        <v>0.8495081853</v>
      </c>
      <c r="W24" s="38">
        <f t="shared" si="22"/>
        <v>0</v>
      </c>
      <c r="X24" s="37">
        <f>X25/$N$3</f>
        <v>0.8495081853</v>
      </c>
      <c r="Y24" s="13"/>
    </row>
    <row r="25">
      <c r="A25" s="28" t="s">
        <v>57</v>
      </c>
      <c r="B25" s="24">
        <f>B3-B16</f>
        <v>58480743</v>
      </c>
      <c r="C25" s="13">
        <f t="shared" si="12"/>
        <v>-0.4561824394</v>
      </c>
      <c r="D25" s="24">
        <f>D3-D16</f>
        <v>31802855</v>
      </c>
      <c r="E25" s="13">
        <f t="shared" si="13"/>
        <v>0.5638462019</v>
      </c>
      <c r="F25" s="24">
        <f>F3-F16</f>
        <v>49734774</v>
      </c>
      <c r="G25" s="13">
        <f t="shared" si="14"/>
        <v>-0.1331989967</v>
      </c>
      <c r="H25" s="24">
        <f>H3-H16</f>
        <v>43110152</v>
      </c>
      <c r="I25" s="13">
        <f t="shared" si="15"/>
        <v>0.1868963951</v>
      </c>
      <c r="J25" s="24">
        <f>J3-J16</f>
        <v>51167284</v>
      </c>
      <c r="K25" s="13">
        <f t="shared" si="16"/>
        <v>-0.111840605</v>
      </c>
      <c r="L25" s="24">
        <f>L3-L16</f>
        <v>45444704</v>
      </c>
      <c r="M25" s="13">
        <f t="shared" si="17"/>
        <v>0.4717702639</v>
      </c>
      <c r="N25" s="24">
        <f>N3-N16</f>
        <v>66884164</v>
      </c>
      <c r="O25" s="13">
        <f t="shared" si="18"/>
        <v>0.2433221113</v>
      </c>
      <c r="P25" s="24">
        <f>P3-P16</f>
        <v>83158560</v>
      </c>
      <c r="Q25" s="13">
        <f t="shared" si="19"/>
        <v>-0.1957031964</v>
      </c>
      <c r="R25" s="24">
        <f>R3-R16</f>
        <v>66884164</v>
      </c>
      <c r="S25" s="13">
        <f t="shared" si="20"/>
        <v>0</v>
      </c>
      <c r="T25" s="24">
        <f>T3-T16</f>
        <v>66884164</v>
      </c>
      <c r="U25" s="13">
        <f t="shared" si="21"/>
        <v>0</v>
      </c>
      <c r="V25" s="24">
        <f>V3-V16</f>
        <v>66884164</v>
      </c>
      <c r="W25" s="13">
        <f t="shared" si="22"/>
        <v>0</v>
      </c>
      <c r="X25" s="24">
        <f>X3-X16</f>
        <v>66884164</v>
      </c>
    </row>
    <row r="26">
      <c r="A26" s="28" t="s">
        <v>58</v>
      </c>
      <c r="B26" s="39">
        <f>B25-ABS(B13)</f>
        <v>53395705</v>
      </c>
      <c r="C26" s="12">
        <f t="shared" si="12"/>
        <v>-0.4149857184</v>
      </c>
      <c r="D26" s="39">
        <f>D25-ABS(D13)</f>
        <v>31237250</v>
      </c>
      <c r="E26" s="12">
        <f t="shared" si="13"/>
        <v>0.3671087564</v>
      </c>
      <c r="F26" s="39">
        <f>F25-ABS(F13)</f>
        <v>42704718</v>
      </c>
      <c r="G26" s="12">
        <f t="shared" si="14"/>
        <v>-0.02681612369</v>
      </c>
      <c r="H26" s="39">
        <f>H25-ABS(H13)</f>
        <v>41559543</v>
      </c>
      <c r="I26" s="12">
        <f t="shared" si="15"/>
        <v>0.2235269526</v>
      </c>
      <c r="J26" s="39">
        <f>J25-ABS(J13)</f>
        <v>50849221</v>
      </c>
      <c r="K26" s="12">
        <f t="shared" si="16"/>
        <v>-0.1280410569</v>
      </c>
      <c r="L26" s="39">
        <f>L25-ABS(L13)</f>
        <v>44338433</v>
      </c>
      <c r="M26" s="12">
        <f t="shared" si="17"/>
        <v>0.1817119924</v>
      </c>
      <c r="N26" s="39">
        <f>N25-ABS(N13)</f>
        <v>52395258</v>
      </c>
      <c r="O26" s="12">
        <f t="shared" si="18"/>
        <v>-0.1325980492</v>
      </c>
      <c r="P26" s="39">
        <f>P25-ABS(P13)</f>
        <v>45447749</v>
      </c>
      <c r="Q26" s="12">
        <f t="shared" si="19"/>
        <v>0.1528680551</v>
      </c>
      <c r="R26" s="39">
        <f>R25-ABS(R13)</f>
        <v>52395258</v>
      </c>
      <c r="S26" s="12">
        <f t="shared" si="20"/>
        <v>0</v>
      </c>
      <c r="T26" s="39">
        <f>T25-ABS(T13)</f>
        <v>52395258</v>
      </c>
      <c r="U26" s="12">
        <f t="shared" si="21"/>
        <v>0</v>
      </c>
      <c r="V26" s="39">
        <f>V25-ABS(V13)</f>
        <v>52395258</v>
      </c>
      <c r="W26" s="12">
        <f t="shared" si="22"/>
        <v>0</v>
      </c>
      <c r="X26" s="39">
        <f>X25-ABS(X13)</f>
        <v>52395258</v>
      </c>
    </row>
    <row r="27">
      <c r="A27" s="1" t="s">
        <v>59</v>
      </c>
      <c r="B27" s="15">
        <f>(B35-B34)*B33</f>
        <v>11835600</v>
      </c>
      <c r="C27" s="13">
        <f t="shared" si="12"/>
        <v>-2.254037649</v>
      </c>
      <c r="D27" s="15">
        <f>(D35-D34)*D33</f>
        <v>-14842288</v>
      </c>
      <c r="E27" s="13">
        <f t="shared" si="13"/>
        <v>-1.208164065</v>
      </c>
      <c r="F27" s="15">
        <f>(F35-F34)*F33</f>
        <v>3089631</v>
      </c>
      <c r="G27" s="13">
        <f t="shared" si="14"/>
        <v>-2.149560579</v>
      </c>
      <c r="H27" s="15">
        <f>(H35-H34)*H33</f>
        <v>-3551718</v>
      </c>
      <c r="I27" s="13">
        <f t="shared" si="15"/>
        <v>-2.268516814</v>
      </c>
      <c r="J27" s="15">
        <f>(J35-J34)*J33</f>
        <v>4505414</v>
      </c>
      <c r="K27" s="13">
        <f t="shared" si="16"/>
        <v>-2.047010552</v>
      </c>
      <c r="L27" s="15">
        <f>(L35-L34)*L33</f>
        <v>-4717216</v>
      </c>
      <c r="M27" s="13">
        <f t="shared" si="17"/>
        <v>-4.544939218</v>
      </c>
      <c r="N27" s="15">
        <f>(N35-N34)*N33</f>
        <v>16722244</v>
      </c>
      <c r="O27" s="13">
        <f t="shared" si="18"/>
        <v>0.7823276589</v>
      </c>
      <c r="P27" s="15">
        <f>(P35-P34)*P33</f>
        <v>29804518</v>
      </c>
      <c r="Q27" s="13">
        <f t="shared" si="19"/>
        <v>-0.4389359358</v>
      </c>
      <c r="R27" s="15">
        <f>(R35-R34)*R33</f>
        <v>16722244</v>
      </c>
      <c r="S27" s="13">
        <f t="shared" si="20"/>
        <v>0</v>
      </c>
      <c r="T27" s="15">
        <f>(T35-T34)*T33</f>
        <v>16722244</v>
      </c>
      <c r="U27" s="13">
        <f t="shared" si="21"/>
        <v>0</v>
      </c>
      <c r="V27" s="15">
        <f>(V35-V34)*V33</f>
        <v>16722244</v>
      </c>
      <c r="W27" s="13">
        <f t="shared" si="22"/>
        <v>0</v>
      </c>
      <c r="X27" s="15">
        <f>(X35-X34)*X33</f>
        <v>16722244</v>
      </c>
    </row>
    <row r="28">
      <c r="A28" s="4" t="s">
        <v>60</v>
      </c>
      <c r="B28" s="40">
        <f>B27/B25</f>
        <v>0.2023845696</v>
      </c>
      <c r="C28" s="13">
        <f t="shared" si="12"/>
        <v>-3.305989619</v>
      </c>
      <c r="D28" s="40">
        <f>D27/D25</f>
        <v>-0.4666967164</v>
      </c>
      <c r="E28" s="13">
        <f t="shared" si="13"/>
        <v>-1.133110318</v>
      </c>
      <c r="F28" s="40">
        <f>F27/F25</f>
        <v>0.06212214818</v>
      </c>
      <c r="G28" s="13">
        <f t="shared" si="14"/>
        <v>-2.326210485</v>
      </c>
      <c r="H28" s="40">
        <f>H27/H25</f>
        <v>-0.08238704424</v>
      </c>
      <c r="I28" s="13">
        <f t="shared" si="15"/>
        <v>-2.068767939</v>
      </c>
      <c r="J28" s="40">
        <f>J27/J25</f>
        <v>0.08805263144</v>
      </c>
      <c r="K28" s="13">
        <f t="shared" si="16"/>
        <v>-2.178854334</v>
      </c>
      <c r="L28" s="40">
        <f>L27/L25</f>
        <v>-0.1038012262</v>
      </c>
      <c r="M28" s="13">
        <f t="shared" si="17"/>
        <v>-3.408622667</v>
      </c>
      <c r="N28" s="40">
        <f>N27/N25</f>
        <v>0.2500179863</v>
      </c>
      <c r="O28" s="13">
        <f t="shared" si="18"/>
        <v>0.433520439</v>
      </c>
      <c r="P28" s="40">
        <f>P27/P25</f>
        <v>0.3584058935</v>
      </c>
      <c r="Q28" s="13">
        <f t="shared" si="19"/>
        <v>-0.3024166431</v>
      </c>
      <c r="R28" s="40">
        <f>R27/R25</f>
        <v>0.2500179863</v>
      </c>
      <c r="S28" s="13">
        <f t="shared" si="20"/>
        <v>0</v>
      </c>
      <c r="T28" s="40">
        <f>T27/T25</f>
        <v>0.2500179863</v>
      </c>
      <c r="U28" s="13">
        <f t="shared" si="21"/>
        <v>0</v>
      </c>
      <c r="V28" s="40">
        <f>V27/V25</f>
        <v>0.2500179863</v>
      </c>
      <c r="W28" s="13">
        <f t="shared" si="22"/>
        <v>0</v>
      </c>
      <c r="X28" s="40">
        <f>X27/X25</f>
        <v>0.2500179863</v>
      </c>
    </row>
    <row r="29">
      <c r="A29" s="4" t="s">
        <v>61</v>
      </c>
      <c r="B29" s="41">
        <f>B39+B27</f>
        <v>95116879.9</v>
      </c>
      <c r="C29" s="13">
        <f t="shared" si="12"/>
        <v>-0.5575553943</v>
      </c>
      <c r="D29" s="41">
        <f>D39+D27</f>
        <v>42083950.42</v>
      </c>
      <c r="E29" s="13">
        <f t="shared" si="13"/>
        <v>0.4587280889</v>
      </c>
      <c r="F29" s="41">
        <f>F39+F27</f>
        <v>61389040.57</v>
      </c>
      <c r="G29" s="13">
        <f t="shared" si="14"/>
        <v>-0.4138594875</v>
      </c>
      <c r="H29" s="41">
        <f>H39+H27</f>
        <v>35982603.7</v>
      </c>
      <c r="I29" s="13">
        <f t="shared" si="15"/>
        <v>1.586341888</v>
      </c>
      <c r="J29" s="41">
        <f>J39+J27</f>
        <v>93063315.2</v>
      </c>
      <c r="K29" s="13">
        <f t="shared" si="16"/>
        <v>-0.5306459119</v>
      </c>
      <c r="L29" s="41">
        <f>L39+L27</f>
        <v>43679647.44</v>
      </c>
      <c r="M29" s="13">
        <f t="shared" si="17"/>
        <v>0.8861380228</v>
      </c>
      <c r="N29" s="41">
        <f>N39+N27</f>
        <v>82385843.86</v>
      </c>
      <c r="O29" s="13">
        <f t="shared" si="18"/>
        <v>0.7089424149</v>
      </c>
      <c r="P29" s="41">
        <f>P39+P27</f>
        <v>140792663</v>
      </c>
      <c r="Q29" s="13">
        <f t="shared" si="19"/>
        <v>-0.0929187198</v>
      </c>
      <c r="R29" s="41">
        <f>R39+R27</f>
        <v>127710389</v>
      </c>
      <c r="S29" s="13">
        <f t="shared" si="20"/>
        <v>0</v>
      </c>
      <c r="T29" s="41">
        <f>T39+T27</f>
        <v>127710389</v>
      </c>
      <c r="U29" s="13">
        <f t="shared" si="21"/>
        <v>0</v>
      </c>
      <c r="V29" s="41">
        <f>V39+V27</f>
        <v>127710389</v>
      </c>
      <c r="W29" s="13">
        <f t="shared" si="22"/>
        <v>0</v>
      </c>
      <c r="X29" s="41">
        <f>X39+X27</f>
        <v>127710389</v>
      </c>
      <c r="Y29" s="13"/>
      <c r="Z29" s="22"/>
    </row>
    <row r="30">
      <c r="A30" s="4" t="s">
        <v>62</v>
      </c>
      <c r="B30" s="42">
        <f>B29/B33</f>
        <v>2.243075319</v>
      </c>
      <c r="C30" s="13">
        <f t="shared" si="12"/>
        <v>-0.5575553943</v>
      </c>
      <c r="D30" s="42">
        <f>D29/D33</f>
        <v>0.992436575</v>
      </c>
      <c r="E30" s="13">
        <f t="shared" si="13"/>
        <v>0.4587280889</v>
      </c>
      <c r="F30" s="42">
        <f>F29/F33</f>
        <v>1.447695108</v>
      </c>
      <c r="G30" s="13">
        <f t="shared" si="14"/>
        <v>-0.4138594875</v>
      </c>
      <c r="H30" s="42">
        <f>H29/H33</f>
        <v>0.8485527527</v>
      </c>
      <c r="I30" s="13">
        <f t="shared" si="15"/>
        <v>1.586341888</v>
      </c>
      <c r="J30" s="42">
        <f>J29/J33</f>
        <v>2.194647529</v>
      </c>
      <c r="K30" s="13">
        <f t="shared" si="16"/>
        <v>-0.5635516236</v>
      </c>
      <c r="L30" s="42">
        <f>L29/L33</f>
        <v>0.9578503507</v>
      </c>
      <c r="M30" s="13">
        <f t="shared" si="17"/>
        <v>0.8861380228</v>
      </c>
      <c r="N30" s="42">
        <f>N29/N33</f>
        <v>1.806637967</v>
      </c>
      <c r="O30" s="13">
        <f t="shared" si="18"/>
        <v>0.7089424149</v>
      </c>
      <c r="P30" s="42">
        <f>P29/P33</f>
        <v>3.087440249</v>
      </c>
      <c r="Q30" s="13">
        <f t="shared" si="19"/>
        <v>-0.0929187198</v>
      </c>
      <c r="R30" s="42">
        <f>R29/R33</f>
        <v>2.800559254</v>
      </c>
      <c r="S30" s="13">
        <f t="shared" si="20"/>
        <v>0</v>
      </c>
      <c r="T30" s="42">
        <f>T29/T33</f>
        <v>2.800559254</v>
      </c>
      <c r="U30" s="13">
        <f t="shared" si="21"/>
        <v>0</v>
      </c>
      <c r="V30" s="42">
        <f>V29/V33</f>
        <v>2.800559254</v>
      </c>
      <c r="W30" s="13">
        <f t="shared" si="22"/>
        <v>0</v>
      </c>
      <c r="X30" s="42">
        <f>X29/X33</f>
        <v>2.800559254</v>
      </c>
      <c r="Y30" s="13"/>
      <c r="Z30" s="13"/>
    </row>
    <row r="31">
      <c r="A31" s="28" t="s">
        <v>63</v>
      </c>
      <c r="B31" s="43">
        <v>4.6645143E7</v>
      </c>
      <c r="C31" s="12">
        <f t="shared" si="12"/>
        <v>0</v>
      </c>
      <c r="D31" s="43">
        <v>4.6645143E7</v>
      </c>
      <c r="E31" s="12">
        <f t="shared" si="13"/>
        <v>0</v>
      </c>
      <c r="F31" s="43">
        <v>4.6645143E7</v>
      </c>
      <c r="G31" s="12">
        <f t="shared" si="14"/>
        <v>0.0003586011088</v>
      </c>
      <c r="H31" s="43">
        <v>4.666187E7</v>
      </c>
      <c r="I31" s="12">
        <f t="shared" si="15"/>
        <v>0</v>
      </c>
      <c r="J31" s="43">
        <v>4.666187E7</v>
      </c>
      <c r="K31" s="12">
        <f t="shared" si="16"/>
        <v>0.07500878126</v>
      </c>
      <c r="L31" s="43">
        <v>5.016192E7</v>
      </c>
      <c r="M31" s="12">
        <f t="shared" si="17"/>
        <v>0</v>
      </c>
      <c r="N31" s="43">
        <v>5.016192E7</v>
      </c>
      <c r="O31" s="12">
        <f t="shared" si="18"/>
        <v>0.06363636001</v>
      </c>
      <c r="P31" s="43">
        <v>5.3354042E7</v>
      </c>
      <c r="Q31" s="12">
        <f t="shared" si="19"/>
        <v>-0.05982905663</v>
      </c>
      <c r="R31" s="43">
        <v>5.016192E7</v>
      </c>
      <c r="S31" s="12">
        <f t="shared" si="20"/>
        <v>0</v>
      </c>
      <c r="T31" s="43">
        <v>5.016192E7</v>
      </c>
      <c r="U31" s="12">
        <f t="shared" si="21"/>
        <v>0</v>
      </c>
      <c r="V31" s="43">
        <v>5.016192E7</v>
      </c>
      <c r="W31" s="12">
        <f t="shared" si="22"/>
        <v>0</v>
      </c>
      <c r="X31" s="43">
        <v>5.016192E7</v>
      </c>
    </row>
    <row r="32">
      <c r="A32" s="1" t="s">
        <v>64</v>
      </c>
      <c r="B32" s="40">
        <f>B31/B25</f>
        <v>0.7976154304</v>
      </c>
      <c r="C32" s="13">
        <f t="shared" si="12"/>
        <v>0.8388519836</v>
      </c>
      <c r="D32" s="40">
        <f>D31/D25</f>
        <v>1.466696716</v>
      </c>
      <c r="E32" s="13">
        <f t="shared" si="13"/>
        <v>-0.3605509296</v>
      </c>
      <c r="F32" s="40">
        <f>F31/F25</f>
        <v>0.9378778518</v>
      </c>
      <c r="G32" s="13">
        <f t="shared" si="14"/>
        <v>0.1540810375</v>
      </c>
      <c r="H32" s="40">
        <f>H31/H25</f>
        <v>1.082387044</v>
      </c>
      <c r="I32" s="13">
        <f t="shared" si="15"/>
        <v>-0.157466478</v>
      </c>
      <c r="J32" s="40">
        <f>J31/J25</f>
        <v>0.9119473686</v>
      </c>
      <c r="K32" s="13">
        <f t="shared" si="16"/>
        <v>0.2103782129</v>
      </c>
      <c r="L32" s="40">
        <f>L31/L25</f>
        <v>1.103801226</v>
      </c>
      <c r="M32" s="13">
        <f t="shared" si="17"/>
        <v>-0.3205461311</v>
      </c>
      <c r="N32" s="40">
        <f>N31/N25</f>
        <v>0.7499820137</v>
      </c>
      <c r="O32" s="13">
        <f t="shared" si="18"/>
        <v>-0.1445206754</v>
      </c>
      <c r="P32" s="40">
        <f>P31/P25</f>
        <v>0.6415941065</v>
      </c>
      <c r="Q32" s="13">
        <f t="shared" si="19"/>
        <v>0.1689353223</v>
      </c>
      <c r="R32" s="40">
        <f>R31/R25</f>
        <v>0.7499820137</v>
      </c>
      <c r="S32" s="13">
        <f t="shared" si="20"/>
        <v>0</v>
      </c>
      <c r="T32" s="40">
        <f>T31/T25</f>
        <v>0.7499820137</v>
      </c>
      <c r="U32" s="13">
        <f t="shared" si="21"/>
        <v>0</v>
      </c>
      <c r="V32" s="40">
        <f>V31/V25</f>
        <v>0.7499820137</v>
      </c>
      <c r="W32" s="13">
        <f t="shared" si="22"/>
        <v>0</v>
      </c>
      <c r="X32" s="40">
        <f>X31/X25</f>
        <v>0.7499820137</v>
      </c>
    </row>
    <row r="33">
      <c r="A33" s="44" t="s">
        <v>65</v>
      </c>
      <c r="B33" s="45">
        <v>4.2404675E7</v>
      </c>
      <c r="C33" s="12">
        <f t="shared" si="12"/>
        <v>0</v>
      </c>
      <c r="D33" s="45">
        <v>4.2404675E7</v>
      </c>
      <c r="E33" s="12">
        <f t="shared" si="13"/>
        <v>0</v>
      </c>
      <c r="F33" s="45">
        <v>4.2404675E7</v>
      </c>
      <c r="G33" s="12">
        <f t="shared" si="14"/>
        <v>0</v>
      </c>
      <c r="H33" s="45">
        <v>4.2404675E7</v>
      </c>
      <c r="I33" s="12">
        <f t="shared" si="15"/>
        <v>0</v>
      </c>
      <c r="J33" s="45">
        <v>4.2404675E7</v>
      </c>
      <c r="K33" s="12">
        <f t="shared" si="16"/>
        <v>0.07539428141</v>
      </c>
      <c r="L33" s="45">
        <v>4.5601745E7</v>
      </c>
      <c r="M33" s="12">
        <f t="shared" si="17"/>
        <v>0</v>
      </c>
      <c r="N33" s="45">
        <v>4.5601745E7</v>
      </c>
      <c r="O33" s="12">
        <f t="shared" si="18"/>
        <v>0</v>
      </c>
      <c r="P33" s="45">
        <v>4.5601745E7</v>
      </c>
      <c r="Q33" s="12">
        <f t="shared" si="19"/>
        <v>0</v>
      </c>
      <c r="R33" s="45">
        <v>4.5601745E7</v>
      </c>
      <c r="S33" s="12">
        <f t="shared" si="20"/>
        <v>0</v>
      </c>
      <c r="T33" s="45">
        <v>4.5601745E7</v>
      </c>
      <c r="U33" s="12">
        <f t="shared" si="21"/>
        <v>0</v>
      </c>
      <c r="V33" s="45">
        <v>4.5601745E7</v>
      </c>
      <c r="W33" s="12">
        <f t="shared" si="22"/>
        <v>0</v>
      </c>
      <c r="X33" s="45">
        <v>4.5601745E7</v>
      </c>
    </row>
    <row r="34">
      <c r="A34" s="28" t="s">
        <v>66</v>
      </c>
      <c r="B34" s="46">
        <f>B31/B33</f>
        <v>1.100000012</v>
      </c>
      <c r="C34" s="12">
        <f t="shared" si="12"/>
        <v>0</v>
      </c>
      <c r="D34" s="46">
        <f>D31/D33</f>
        <v>1.100000012</v>
      </c>
      <c r="E34" s="12">
        <f t="shared" si="13"/>
        <v>0</v>
      </c>
      <c r="F34" s="47">
        <f>F31/F33</f>
        <v>1.100000012</v>
      </c>
      <c r="G34" s="12">
        <f t="shared" si="14"/>
        <v>0.0003586011088</v>
      </c>
      <c r="H34" s="47">
        <f>H31/H33</f>
        <v>1.100394473</v>
      </c>
      <c r="I34" s="12">
        <f t="shared" si="15"/>
        <v>0</v>
      </c>
      <c r="J34" s="46">
        <f>J31/J33</f>
        <v>1.100394473</v>
      </c>
      <c r="K34" s="12">
        <f t="shared" si="16"/>
        <v>-0.0003584733114</v>
      </c>
      <c r="L34" s="46">
        <f>L31/L33</f>
        <v>1.100000011</v>
      </c>
      <c r="M34" s="12">
        <f t="shared" si="17"/>
        <v>0</v>
      </c>
      <c r="N34" s="46">
        <f>N31/N33</f>
        <v>1.100000011</v>
      </c>
      <c r="O34" s="12">
        <f t="shared" si="18"/>
        <v>0.06363636001</v>
      </c>
      <c r="P34" s="46">
        <f>P31/P33</f>
        <v>1.170000008</v>
      </c>
      <c r="Q34" s="12">
        <f t="shared" si="19"/>
        <v>-0.05982905663</v>
      </c>
      <c r="R34" s="46">
        <f>R31/R33</f>
        <v>1.100000011</v>
      </c>
      <c r="S34" s="12">
        <f t="shared" si="20"/>
        <v>0</v>
      </c>
      <c r="T34" s="46">
        <f>T31/T33</f>
        <v>1.100000011</v>
      </c>
      <c r="U34" s="12">
        <f t="shared" si="21"/>
        <v>0</v>
      </c>
      <c r="V34" s="46">
        <f>V31/V33</f>
        <v>1.100000011</v>
      </c>
      <c r="W34" s="12">
        <f t="shared" si="22"/>
        <v>0</v>
      </c>
      <c r="X34" s="46">
        <f>X31/X33</f>
        <v>1.100000011</v>
      </c>
    </row>
    <row r="35">
      <c r="A35" s="28" t="s">
        <v>67</v>
      </c>
      <c r="B35" s="24">
        <f>B25/B33</f>
        <v>1.379110747</v>
      </c>
      <c r="C35" s="13">
        <f t="shared" si="12"/>
        <v>-0.4561824394</v>
      </c>
      <c r="D35" s="24">
        <f>D25/D33</f>
        <v>0.749984642</v>
      </c>
      <c r="E35" s="13">
        <f t="shared" si="13"/>
        <v>0.5638462019</v>
      </c>
      <c r="F35" s="24">
        <f>F25/F33</f>
        <v>1.172860634</v>
      </c>
      <c r="G35" s="13">
        <f t="shared" si="14"/>
        <v>-0.1331989967</v>
      </c>
      <c r="H35" s="24">
        <f>H25/H33</f>
        <v>1.016636774</v>
      </c>
      <c r="I35" s="13">
        <f t="shared" si="15"/>
        <v>0.1868963951</v>
      </c>
      <c r="J35" s="24">
        <f>J25/J33</f>
        <v>1.206642522</v>
      </c>
      <c r="K35" s="13">
        <f t="shared" si="16"/>
        <v>-0.1741081291</v>
      </c>
      <c r="L35" s="24">
        <f>L25/L33</f>
        <v>0.9965562502</v>
      </c>
      <c r="M35" s="13">
        <f t="shared" si="17"/>
        <v>0.4717702639</v>
      </c>
      <c r="N35" s="24">
        <f>N25/N33</f>
        <v>1.466701855</v>
      </c>
      <c r="O35" s="13">
        <f t="shared" si="18"/>
        <v>0.2433221113</v>
      </c>
      <c r="P35" s="24">
        <f>P25/P33</f>
        <v>1.823582848</v>
      </c>
      <c r="Q35" s="13">
        <f t="shared" si="19"/>
        <v>-0.1957031964</v>
      </c>
      <c r="R35" s="24">
        <f>R25/R33</f>
        <v>1.466701855</v>
      </c>
      <c r="S35" s="13">
        <f t="shared" si="20"/>
        <v>0</v>
      </c>
      <c r="T35" s="24">
        <f>T25/T33</f>
        <v>1.466701855</v>
      </c>
      <c r="U35" s="13">
        <f t="shared" si="21"/>
        <v>0</v>
      </c>
      <c r="V35" s="24">
        <f>V25/V33</f>
        <v>1.466701855</v>
      </c>
      <c r="W35" s="13">
        <f t="shared" si="22"/>
        <v>0</v>
      </c>
      <c r="X35" s="24">
        <f>X25/X33</f>
        <v>1.466701855</v>
      </c>
    </row>
    <row r="36">
      <c r="A36" s="4" t="s">
        <v>68</v>
      </c>
      <c r="B36" s="51">
        <f>B26/B33</f>
        <v>1.259193827</v>
      </c>
      <c r="C36" s="13">
        <f t="shared" si="12"/>
        <v>-0.4149857184</v>
      </c>
      <c r="D36" s="24">
        <f>D26/D33</f>
        <v>0.7366463721</v>
      </c>
      <c r="E36" s="13">
        <f t="shared" si="13"/>
        <v>0.3671087564</v>
      </c>
      <c r="F36" s="24">
        <f>F26/F33</f>
        <v>1.007075706</v>
      </c>
      <c r="G36" s="13">
        <f t="shared" si="14"/>
        <v>-0.02681612369</v>
      </c>
      <c r="H36" s="24">
        <f>H26/H33</f>
        <v>0.980069839</v>
      </c>
      <c r="I36" s="13">
        <f t="shared" si="15"/>
        <v>0.2235269526</v>
      </c>
      <c r="J36" s="24">
        <f>J26/J33</f>
        <v>1.199141863</v>
      </c>
      <c r="K36" s="13">
        <f t="shared" si="16"/>
        <v>-0.1891727916</v>
      </c>
      <c r="L36" s="24">
        <f>L26/L33</f>
        <v>0.9722968496</v>
      </c>
      <c r="M36" s="13">
        <f t="shared" si="17"/>
        <v>0.1817119924</v>
      </c>
      <c r="N36" s="24">
        <f>N26/N33</f>
        <v>1.148974847</v>
      </c>
      <c r="O36" s="13">
        <f t="shared" si="18"/>
        <v>-0.1325980492</v>
      </c>
      <c r="P36" s="24">
        <f>P26/P33</f>
        <v>0.996623024</v>
      </c>
      <c r="Q36" s="13">
        <f t="shared" si="19"/>
        <v>0.1528680551</v>
      </c>
      <c r="R36" s="24">
        <f>R26/R33</f>
        <v>1.148974847</v>
      </c>
      <c r="S36" s="13">
        <f t="shared" si="20"/>
        <v>0</v>
      </c>
      <c r="T36" s="24">
        <f>T26/T33</f>
        <v>1.148974847</v>
      </c>
      <c r="U36" s="13">
        <f t="shared" si="21"/>
        <v>0</v>
      </c>
      <c r="V36" s="24">
        <f>V26/V33</f>
        <v>1.148974847</v>
      </c>
      <c r="W36" s="13">
        <f t="shared" si="22"/>
        <v>0</v>
      </c>
      <c r="X36" s="24">
        <f>X26/X33</f>
        <v>1.148974847</v>
      </c>
    </row>
    <row r="37">
      <c r="A37" s="52"/>
      <c r="B37" s="2" t="s">
        <v>1</v>
      </c>
      <c r="C37" s="3">
        <v>46037.0</v>
      </c>
      <c r="D37" s="2" t="s">
        <v>1</v>
      </c>
      <c r="E37" s="3">
        <v>46066.0</v>
      </c>
      <c r="F37" s="2" t="s">
        <v>1</v>
      </c>
      <c r="G37" s="3">
        <v>46094.0</v>
      </c>
      <c r="H37" s="2" t="s">
        <v>1</v>
      </c>
      <c r="I37" s="3">
        <v>46127.0</v>
      </c>
      <c r="J37" s="2" t="s">
        <v>1</v>
      </c>
      <c r="K37" s="3">
        <v>46160.0</v>
      </c>
      <c r="L37" s="2" t="s">
        <v>1</v>
      </c>
      <c r="M37" s="3">
        <v>46188.0</v>
      </c>
      <c r="N37" s="2" t="s">
        <v>1</v>
      </c>
      <c r="O37" s="3">
        <v>46218.0</v>
      </c>
      <c r="P37" s="2" t="s">
        <v>2</v>
      </c>
      <c r="Q37" s="3">
        <v>46248.0</v>
      </c>
      <c r="R37" s="2" t="s">
        <v>3</v>
      </c>
      <c r="S37" s="3">
        <v>46195.0</v>
      </c>
      <c r="T37" s="2" t="s">
        <v>3</v>
      </c>
      <c r="U37" s="3">
        <v>46195.0</v>
      </c>
      <c r="V37" s="2" t="s">
        <v>3</v>
      </c>
      <c r="W37" s="3">
        <v>46195.0</v>
      </c>
      <c r="X37" s="2" t="s">
        <v>3</v>
      </c>
      <c r="Y37" s="3">
        <v>46195.0</v>
      </c>
    </row>
    <row r="38">
      <c r="A38" s="1" t="s">
        <v>69</v>
      </c>
      <c r="B38" s="1" t="s">
        <v>5</v>
      </c>
      <c r="C38" s="53"/>
      <c r="D38" s="54" t="s">
        <v>6</v>
      </c>
      <c r="E38" s="55"/>
      <c r="F38" s="54" t="s">
        <v>7</v>
      </c>
      <c r="G38" s="55"/>
      <c r="H38" s="54" t="s">
        <v>8</v>
      </c>
      <c r="I38" s="55"/>
      <c r="J38" s="54" t="s">
        <v>9</v>
      </c>
      <c r="K38" s="55"/>
      <c r="L38" s="54" t="s">
        <v>10</v>
      </c>
      <c r="M38" s="55"/>
      <c r="N38" s="54" t="s">
        <v>11</v>
      </c>
      <c r="O38" s="55"/>
      <c r="P38" s="1" t="s">
        <v>12</v>
      </c>
      <c r="Q38" s="53"/>
      <c r="R38" s="1" t="s">
        <v>13</v>
      </c>
      <c r="S38" s="53"/>
      <c r="T38" s="1" t="s">
        <v>14</v>
      </c>
      <c r="U38" s="53"/>
      <c r="V38" s="1" t="s">
        <v>15</v>
      </c>
      <c r="W38" s="53"/>
      <c r="X38" s="1" t="s">
        <v>16</v>
      </c>
    </row>
    <row r="39">
      <c r="A39" s="4" t="s">
        <v>61</v>
      </c>
      <c r="B39" s="56">
        <v>8.32812799E7</v>
      </c>
      <c r="C39" s="13">
        <f t="shared" ref="C39:C42" si="23">IFERROR(SUM((D39/B39)-1),0)</f>
        <v>-0.3164581706</v>
      </c>
      <c r="D39" s="57">
        <v>5.692623842E7</v>
      </c>
      <c r="E39" s="13">
        <f t="shared" ref="E39:E42" si="24">IFERROR(SUM((F39/D39)-1),0)</f>
        <v>0.02412193723</v>
      </c>
      <c r="F39" s="57">
        <v>5.829940957E7</v>
      </c>
      <c r="G39" s="13">
        <f t="shared" ref="G39:G42" si="25">IFERROR(SUM((H39/F39)-1),0)</f>
        <v>-0.3218744068</v>
      </c>
      <c r="H39" s="57">
        <v>3.95343217E7</v>
      </c>
      <c r="I39" s="13">
        <f t="shared" ref="I39:I42" si="26">IFERROR(SUM((J39/H39)-1),0)</f>
        <v>1.240025815</v>
      </c>
      <c r="J39" s="57">
        <v>8.85579012E7</v>
      </c>
      <c r="K39" s="13">
        <f t="shared" ref="K39:K42" si="27">IFERROR(SUM((L39/J39)-1),0)</f>
        <v>-0.4535003339</v>
      </c>
      <c r="L39" s="57">
        <v>4.839686344E7</v>
      </c>
      <c r="M39" s="13">
        <f t="shared" ref="M39:M42" si="28">IFERROR(SUM((N39/L39)-1),0)</f>
        <v>0.3567738732</v>
      </c>
      <c r="N39" s="57">
        <v>6.566359986E7</v>
      </c>
      <c r="O39" s="13">
        <f t="shared" ref="O39:O42" si="29">IFERROR(SUM((P39/N39)-1),0)</f>
        <v>0.6902537357</v>
      </c>
      <c r="P39" s="57">
        <v>1.1098814496E8</v>
      </c>
      <c r="Q39" s="13">
        <f t="shared" ref="Q39:Q42" si="30">IFERROR(SUM((R39/P39)-1),0)</f>
        <v>0</v>
      </c>
      <c r="R39" s="57">
        <v>1.1098814496E8</v>
      </c>
      <c r="S39" s="13">
        <f t="shared" ref="S39:S42" si="31">IFERROR(SUM((T39/R39)-1),0)</f>
        <v>0</v>
      </c>
      <c r="T39" s="57">
        <v>1.1098814496E8</v>
      </c>
      <c r="U39" s="13">
        <f t="shared" ref="U39:U42" si="32">IFERROR(SUM((V39/T39)-1),0)</f>
        <v>0</v>
      </c>
      <c r="V39" s="57">
        <v>1.1098814496E8</v>
      </c>
      <c r="W39" s="13">
        <f t="shared" ref="W39:W42" si="33">IFERROR(SUM((X39/V39)-1),0)</f>
        <v>0</v>
      </c>
      <c r="X39" s="57">
        <v>1.1098814496E8</v>
      </c>
    </row>
    <row r="40">
      <c r="A40" s="4" t="s">
        <v>70</v>
      </c>
      <c r="B40" s="58">
        <v>8.05275560202E9</v>
      </c>
      <c r="C40" s="13">
        <f t="shared" si="23"/>
        <v>0.0003942513094</v>
      </c>
      <c r="D40" s="58">
        <v>8.05593041146E9</v>
      </c>
      <c r="E40" s="13">
        <f t="shared" si="24"/>
        <v>-0.003130604211</v>
      </c>
      <c r="F40" s="58">
        <v>8.03071048179E9</v>
      </c>
      <c r="G40" s="13">
        <f t="shared" si="25"/>
        <v>-0.003398067595</v>
      </c>
      <c r="H40" s="58">
        <v>8.00342158474E9</v>
      </c>
      <c r="I40" s="13">
        <f t="shared" si="26"/>
        <v>0.01549989374</v>
      </c>
      <c r="J40" s="58">
        <v>8.12747376883E9</v>
      </c>
      <c r="K40" s="13">
        <f t="shared" si="27"/>
        <v>0.04116131798</v>
      </c>
      <c r="L40" s="58">
        <v>8.46201130104E9</v>
      </c>
      <c r="M40" s="13">
        <f t="shared" si="28"/>
        <v>-0.005080753269</v>
      </c>
      <c r="N40" s="58">
        <v>8.41901790946E9</v>
      </c>
      <c r="O40" s="13">
        <f t="shared" si="29"/>
        <v>-0.01486633864</v>
      </c>
      <c r="P40" s="58">
        <v>8.29385793824E9</v>
      </c>
      <c r="Q40" s="13">
        <f t="shared" si="30"/>
        <v>0</v>
      </c>
      <c r="R40" s="58">
        <v>8.29385793824E9</v>
      </c>
      <c r="S40" s="13">
        <f t="shared" si="31"/>
        <v>0</v>
      </c>
      <c r="T40" s="58">
        <v>8.29385793824E9</v>
      </c>
      <c r="U40" s="13">
        <f t="shared" si="32"/>
        <v>0</v>
      </c>
      <c r="V40" s="58">
        <v>8.29385793824E9</v>
      </c>
      <c r="W40" s="13">
        <f t="shared" si="33"/>
        <v>0</v>
      </c>
      <c r="X40" s="58">
        <v>8.29385793824E9</v>
      </c>
    </row>
    <row r="41">
      <c r="A41" s="4" t="s">
        <v>71</v>
      </c>
      <c r="B41" s="58">
        <v>2.1438360934E8</v>
      </c>
      <c r="C41" s="13">
        <f t="shared" si="23"/>
        <v>0.2676630417</v>
      </c>
      <c r="D41" s="58">
        <v>2.7176617831E8</v>
      </c>
      <c r="E41" s="13">
        <f t="shared" si="24"/>
        <v>-0.07278627886</v>
      </c>
      <c r="F41" s="58">
        <v>2.5198532947E8</v>
      </c>
      <c r="G41" s="13">
        <f t="shared" si="25"/>
        <v>0.1766811439</v>
      </c>
      <c r="H41" s="58">
        <v>2.9650638572E8</v>
      </c>
      <c r="I41" s="13">
        <f t="shared" si="26"/>
        <v>0.05898165386</v>
      </c>
      <c r="J41" s="58">
        <v>3.1399482273E8</v>
      </c>
      <c r="K41" s="13">
        <f t="shared" si="27"/>
        <v>0.1405201108</v>
      </c>
      <c r="L41" s="58">
        <v>3.5811741001E8</v>
      </c>
      <c r="M41" s="13">
        <f t="shared" si="28"/>
        <v>0.1006709744</v>
      </c>
      <c r="N41" s="58">
        <v>3.9416943863E8</v>
      </c>
      <c r="O41" s="13">
        <f t="shared" si="29"/>
        <v>0.1938828607</v>
      </c>
      <c r="P41" s="58">
        <v>4.7059213698E8</v>
      </c>
      <c r="Q41" s="13">
        <f t="shared" si="30"/>
        <v>0</v>
      </c>
      <c r="R41" s="58">
        <v>4.7059213698E8</v>
      </c>
      <c r="S41" s="13">
        <f t="shared" si="31"/>
        <v>0</v>
      </c>
      <c r="T41" s="58">
        <v>4.7059213698E8</v>
      </c>
      <c r="U41" s="13">
        <f t="shared" si="32"/>
        <v>0</v>
      </c>
      <c r="V41" s="58">
        <v>4.7059213698E8</v>
      </c>
      <c r="W41" s="13">
        <f t="shared" si="33"/>
        <v>0</v>
      </c>
      <c r="X41" s="58">
        <v>4.7059213698E8</v>
      </c>
    </row>
    <row r="42">
      <c r="A42" s="59" t="s">
        <v>72</v>
      </c>
      <c r="B42" s="24">
        <f>SUM(B39:B41)</f>
        <v>8350420491</v>
      </c>
      <c r="C42" s="13">
        <f t="shared" si="23"/>
        <v>0.004095881994</v>
      </c>
      <c r="D42" s="24">
        <f>SUM(D39:D41)</f>
        <v>8384622828</v>
      </c>
      <c r="E42" s="13">
        <f t="shared" si="24"/>
        <v>-0.005203288002</v>
      </c>
      <c r="F42" s="24">
        <f>SUM(F39:F41)</f>
        <v>8340995221</v>
      </c>
      <c r="G42" s="13">
        <f t="shared" si="25"/>
        <v>-0.0001837824659</v>
      </c>
      <c r="H42" s="24">
        <f>SUM(H39:H41)</f>
        <v>8339462292</v>
      </c>
      <c r="I42" s="13">
        <f t="shared" si="26"/>
        <v>0.02285089781</v>
      </c>
      <c r="J42" s="24">
        <f>SUM(J39:J41)</f>
        <v>8530026493</v>
      </c>
      <c r="K42" s="13">
        <f t="shared" si="27"/>
        <v>0.0396832392</v>
      </c>
      <c r="L42" s="24">
        <f>SUM(L39:L41)</f>
        <v>8868525574</v>
      </c>
      <c r="M42" s="13">
        <f t="shared" si="28"/>
        <v>0.001164271713</v>
      </c>
      <c r="N42" s="24">
        <f>SUM(N39:N41)</f>
        <v>8878850948</v>
      </c>
      <c r="O42" s="13">
        <f t="shared" si="29"/>
        <v>-0.0003843659264</v>
      </c>
      <c r="P42" s="24">
        <f>SUM(P39:P41)</f>
        <v>8875438220</v>
      </c>
      <c r="Q42" s="13">
        <f t="shared" si="30"/>
        <v>0</v>
      </c>
      <c r="R42" s="24">
        <f>SUM(R39:R41)</f>
        <v>8875438220</v>
      </c>
      <c r="S42" s="13">
        <f t="shared" si="31"/>
        <v>0</v>
      </c>
      <c r="T42" s="24">
        <f>SUM(T39:T41)</f>
        <v>8875438220</v>
      </c>
      <c r="U42" s="13">
        <f t="shared" si="32"/>
        <v>0</v>
      </c>
      <c r="V42" s="24">
        <f>SUM(V39:V41)</f>
        <v>8875438220</v>
      </c>
      <c r="W42" s="13">
        <f t="shared" si="33"/>
        <v>0</v>
      </c>
      <c r="X42" s="24">
        <f>SUM(X39:X41)</f>
        <v>8875438220</v>
      </c>
    </row>
    <row r="44">
      <c r="A44" s="25" t="s">
        <v>73</v>
      </c>
      <c r="B44" s="15">
        <v>6.7809079203E8</v>
      </c>
      <c r="C44" s="13">
        <f t="shared" ref="C44:C54" si="34">IFERROR(SUM((D44/B44)-1),0)</f>
        <v>-0.005335361625</v>
      </c>
      <c r="D44" s="15">
        <v>6.7447293244E8</v>
      </c>
      <c r="E44" s="13">
        <f t="shared" ref="E44:E54" si="35">IFERROR(SUM((F44/D44)-1),0)</f>
        <v>-0.005910128618</v>
      </c>
      <c r="F44" s="15">
        <v>6.7048671066E8</v>
      </c>
      <c r="G44" s="13">
        <f t="shared" ref="G44:G54" si="36">IFERROR(SUM((H44/F44)-1),0)</f>
        <v>-0.00252853808</v>
      </c>
      <c r="H44" s="15">
        <v>6.6879135948E8</v>
      </c>
      <c r="I44" s="13">
        <f t="shared" ref="I44:I54" si="37">IFERROR(SUM((J44/H44)-1),0)</f>
        <v>-0.002888910648</v>
      </c>
      <c r="J44" s="15">
        <v>6.66859281E8</v>
      </c>
      <c r="K44" s="13">
        <f t="shared" ref="K44:K54" si="38">IFERROR(SUM((L44/J44)-1),0)</f>
        <v>-0.001979852928</v>
      </c>
      <c r="L44" s="15">
        <v>6.655389977E8</v>
      </c>
      <c r="M44" s="13">
        <f t="shared" ref="M44:M54" si="39">IFERROR(SUM((N44/L44)-1),0)</f>
        <v>-0.003761831686</v>
      </c>
      <c r="N44" s="15">
        <v>6.6303535201E8</v>
      </c>
      <c r="O44" s="13">
        <f t="shared" ref="O44:O54" si="40">IFERROR(SUM((P44/N44)-1),0)</f>
        <v>-0.003772915415</v>
      </c>
      <c r="P44" s="15">
        <v>6.6053377571E8</v>
      </c>
      <c r="Q44" s="13">
        <f t="shared" ref="Q44:Q54" si="41">IFERROR(SUM((R44/P44)-1),0)</f>
        <v>0</v>
      </c>
      <c r="R44" s="15">
        <v>6.6053377571E8</v>
      </c>
      <c r="S44" s="13">
        <f t="shared" ref="S44:S54" si="42">IFERROR(SUM((T44/R44)-1),0)</f>
        <v>0</v>
      </c>
      <c r="T44" s="15">
        <v>6.6053377571E8</v>
      </c>
      <c r="U44" s="13">
        <f t="shared" ref="U44:U54" si="43">IFERROR(SUM((V44/T44)-1),0)</f>
        <v>0</v>
      </c>
      <c r="V44" s="15">
        <v>6.6053377571E8</v>
      </c>
      <c r="W44" s="13">
        <f t="shared" ref="W44:W52" si="44">IFERROR(SUM((X44/V44)-1),0)</f>
        <v>0</v>
      </c>
      <c r="X44" s="15">
        <v>6.6053377571E8</v>
      </c>
    </row>
    <row r="45">
      <c r="A45" s="25" t="s">
        <v>74</v>
      </c>
      <c r="B45" s="15">
        <v>4252256.05</v>
      </c>
      <c r="C45" s="13">
        <f t="shared" si="34"/>
        <v>0</v>
      </c>
      <c r="D45" s="15">
        <v>4252256.05</v>
      </c>
      <c r="E45" s="13">
        <f t="shared" si="35"/>
        <v>0</v>
      </c>
      <c r="F45" s="15">
        <v>4252256.05</v>
      </c>
      <c r="G45" s="13">
        <f t="shared" si="36"/>
        <v>0</v>
      </c>
      <c r="H45" s="15">
        <v>4252256.05</v>
      </c>
      <c r="I45" s="13">
        <f t="shared" si="37"/>
        <v>0</v>
      </c>
      <c r="J45" s="15">
        <v>4252256.05</v>
      </c>
      <c r="K45" s="13">
        <f t="shared" si="38"/>
        <v>0</v>
      </c>
      <c r="L45" s="15">
        <v>4252256.05</v>
      </c>
      <c r="M45" s="13">
        <f t="shared" si="39"/>
        <v>0</v>
      </c>
      <c r="N45" s="15">
        <v>4252256.05</v>
      </c>
      <c r="O45" s="13">
        <f t="shared" si="40"/>
        <v>0</v>
      </c>
      <c r="P45" s="15">
        <v>4252256.05</v>
      </c>
      <c r="Q45" s="13">
        <f t="shared" si="41"/>
        <v>0</v>
      </c>
      <c r="R45" s="15">
        <v>4252256.05</v>
      </c>
      <c r="S45" s="13">
        <f t="shared" si="42"/>
        <v>0</v>
      </c>
      <c r="T45" s="15">
        <v>4252256.05</v>
      </c>
      <c r="U45" s="13">
        <f t="shared" si="43"/>
        <v>0</v>
      </c>
      <c r="V45" s="15">
        <v>4252256.05</v>
      </c>
      <c r="W45" s="13">
        <f t="shared" si="44"/>
        <v>0</v>
      </c>
      <c r="X45" s="15">
        <v>4252256.05</v>
      </c>
    </row>
    <row r="46">
      <c r="A46" s="60" t="s">
        <v>75</v>
      </c>
      <c r="B46" s="61">
        <f>SUM(B44:B45)</f>
        <v>682343048.1</v>
      </c>
      <c r="C46" s="27">
        <f t="shared" si="34"/>
        <v>-0.005302112479</v>
      </c>
      <c r="D46" s="61">
        <f>SUM(D44:D45)</f>
        <v>678725188.5</v>
      </c>
      <c r="E46" s="27">
        <f t="shared" si="35"/>
        <v>-0.00587310129</v>
      </c>
      <c r="F46" s="61">
        <f>SUM(F44:F45)</f>
        <v>674738966.7</v>
      </c>
      <c r="G46" s="27">
        <f t="shared" si="36"/>
        <v>-0.002512603042</v>
      </c>
      <c r="H46" s="61">
        <f>SUM(H44:H45)</f>
        <v>673043615.5</v>
      </c>
      <c r="I46" s="27">
        <f t="shared" si="37"/>
        <v>-0.002870658655</v>
      </c>
      <c r="J46" s="61">
        <f>SUM(J44:J45)</f>
        <v>671111537.1</v>
      </c>
      <c r="K46" s="27">
        <f t="shared" si="38"/>
        <v>-0.001967308304</v>
      </c>
      <c r="L46" s="61">
        <f>SUM(L44:L45)</f>
        <v>669791253.8</v>
      </c>
      <c r="M46" s="27">
        <f t="shared" si="39"/>
        <v>-0.003737949213</v>
      </c>
      <c r="N46" s="61">
        <f>SUM(N44:N45)</f>
        <v>667287608.1</v>
      </c>
      <c r="O46" s="27">
        <f t="shared" si="40"/>
        <v>-0.003748872705</v>
      </c>
      <c r="P46" s="61">
        <f>SUM(P44:P45)</f>
        <v>664786031.8</v>
      </c>
      <c r="Q46" s="27">
        <f t="shared" si="41"/>
        <v>0</v>
      </c>
      <c r="R46" s="61">
        <f>SUM(R44:R45)</f>
        <v>664786031.8</v>
      </c>
      <c r="S46" s="27">
        <f t="shared" si="42"/>
        <v>0</v>
      </c>
      <c r="T46" s="61">
        <f>SUM(T44:T45)</f>
        <v>664786031.8</v>
      </c>
      <c r="U46" s="27">
        <f t="shared" si="43"/>
        <v>0</v>
      </c>
      <c r="V46" s="61">
        <f>SUM(V44:V45)</f>
        <v>664786031.8</v>
      </c>
      <c r="W46" s="27">
        <f t="shared" si="44"/>
        <v>0</v>
      </c>
      <c r="X46" s="61">
        <f>SUM(X44:X45)</f>
        <v>664786031.8</v>
      </c>
    </row>
    <row r="47">
      <c r="A47" s="1" t="s">
        <v>76</v>
      </c>
      <c r="B47" s="62">
        <f>ABS(B18)/B59</f>
        <v>0.000712947052</v>
      </c>
      <c r="C47" s="31">
        <f t="shared" si="34"/>
        <v>0.01769413521</v>
      </c>
      <c r="D47" s="62">
        <f>ABS(D18)/D59</f>
        <v>0.0007255620336</v>
      </c>
      <c r="E47" s="31">
        <f t="shared" si="35"/>
        <v>-0.01621585628</v>
      </c>
      <c r="F47" s="62">
        <f>ABS(F18)/F59</f>
        <v>0.0007137964239</v>
      </c>
      <c r="G47" s="31">
        <f t="shared" si="36"/>
        <v>0.01448211858</v>
      </c>
      <c r="H47" s="62">
        <f>ABS(H18)/H59</f>
        <v>0.0007241337084</v>
      </c>
      <c r="I47" s="31">
        <f t="shared" si="37"/>
        <v>0.007832951019</v>
      </c>
      <c r="J47" s="62">
        <f>ABS(J18)/J59</f>
        <v>0.0007298058122</v>
      </c>
      <c r="K47" s="31">
        <f t="shared" si="38"/>
        <v>-0.02394689781</v>
      </c>
      <c r="L47" s="62">
        <f>ABS(L18)/L59</f>
        <v>0.000712329227</v>
      </c>
      <c r="M47" s="31">
        <f t="shared" si="39"/>
        <v>0.02177536332</v>
      </c>
      <c r="N47" s="62">
        <f>ABS(N18)/N59</f>
        <v>0.0007278404548</v>
      </c>
      <c r="O47" s="31">
        <f t="shared" si="40"/>
        <v>-0.01393913096</v>
      </c>
      <c r="P47" s="62">
        <f>ABS(P18)/P59</f>
        <v>0.0007176949913</v>
      </c>
      <c r="Q47" s="31">
        <f t="shared" si="41"/>
        <v>0.01472374702</v>
      </c>
      <c r="R47" s="62">
        <f>ABS(R18)/R59</f>
        <v>0.0007282621508</v>
      </c>
      <c r="S47" s="31">
        <f t="shared" si="42"/>
        <v>0</v>
      </c>
      <c r="T47" s="62">
        <f>ABS(T18)/T59</f>
        <v>0.0007282621508</v>
      </c>
      <c r="U47" s="31">
        <f t="shared" si="43"/>
        <v>0</v>
      </c>
      <c r="V47" s="62">
        <f>ABS(V18)/V59</f>
        <v>0.0007282621508</v>
      </c>
      <c r="W47" s="31">
        <f t="shared" si="44"/>
        <v>0</v>
      </c>
      <c r="X47" s="62">
        <f>ABS(X18)/X59</f>
        <v>0.0007282621508</v>
      </c>
      <c r="Y47" s="13"/>
    </row>
    <row r="48">
      <c r="A48" s="1" t="s">
        <v>77</v>
      </c>
      <c r="B48" s="31">
        <f>B46/B42</f>
        <v>0.08171361536</v>
      </c>
      <c r="C48" s="31">
        <f t="shared" si="34"/>
        <v>-0.009359658416</v>
      </c>
      <c r="D48" s="31">
        <f>D46/D42</f>
        <v>0.08094880383</v>
      </c>
      <c r="E48" s="31">
        <f t="shared" si="35"/>
        <v>-0.0006733167492</v>
      </c>
      <c r="F48" s="31">
        <f>F46/F42</f>
        <v>0.08089429964</v>
      </c>
      <c r="G48" s="31">
        <f t="shared" si="36"/>
        <v>-0.002329248651</v>
      </c>
      <c r="H48" s="31">
        <f>H46/H42</f>
        <v>0.0807058767</v>
      </c>
      <c r="I48" s="31">
        <f t="shared" si="37"/>
        <v>-0.02514692661</v>
      </c>
      <c r="J48" s="31">
        <f>J46/J42</f>
        <v>0.07867637195</v>
      </c>
      <c r="K48" s="31">
        <f t="shared" si="38"/>
        <v>-0.040060805</v>
      </c>
      <c r="L48" s="31">
        <f>L46/L42</f>
        <v>0.07552453315</v>
      </c>
      <c r="M48" s="31">
        <f t="shared" si="39"/>
        <v>-0.004896520046</v>
      </c>
      <c r="N48" s="31">
        <f>N46/N42</f>
        <v>0.07515472576</v>
      </c>
      <c r="O48" s="31">
        <f t="shared" si="40"/>
        <v>-0.003365800477</v>
      </c>
      <c r="P48" s="31">
        <f>P46/P42</f>
        <v>0.07490176995</v>
      </c>
      <c r="Q48" s="31">
        <f t="shared" si="41"/>
        <v>0</v>
      </c>
      <c r="R48" s="31">
        <f>R46/R42</f>
        <v>0.07490176995</v>
      </c>
      <c r="S48" s="31">
        <f t="shared" si="42"/>
        <v>0</v>
      </c>
      <c r="T48" s="31">
        <f>T46/T42</f>
        <v>0.07490176995</v>
      </c>
      <c r="U48" s="31">
        <f t="shared" si="43"/>
        <v>0</v>
      </c>
      <c r="V48" s="31">
        <f>V46/V42</f>
        <v>0.07490176995</v>
      </c>
      <c r="W48" s="31">
        <f t="shared" si="44"/>
        <v>0</v>
      </c>
      <c r="X48" s="31">
        <f>X46/X42</f>
        <v>0.07490176995</v>
      </c>
    </row>
    <row r="49">
      <c r="A49" s="1" t="s">
        <v>78</v>
      </c>
      <c r="B49" s="31">
        <f>B46/B59</f>
        <v>0.0965867958</v>
      </c>
      <c r="C49" s="31">
        <f t="shared" si="34"/>
        <v>-0.004142765657</v>
      </c>
      <c r="D49" s="31">
        <f>D46/D59</f>
        <v>0.09618665934</v>
      </c>
      <c r="E49" s="31">
        <f t="shared" si="35"/>
        <v>-0.001844852043</v>
      </c>
      <c r="F49" s="31">
        <f>F46/F59</f>
        <v>0.09600920919</v>
      </c>
      <c r="G49" s="31">
        <f t="shared" si="36"/>
        <v>-0.002476349916</v>
      </c>
      <c r="H49" s="31">
        <f>H46/H59</f>
        <v>0.09577145679</v>
      </c>
      <c r="I49" s="31">
        <f t="shared" si="37"/>
        <v>-0.03140265276</v>
      </c>
      <c r="J49" s="31">
        <f>J46/J59</f>
        <v>0.09276397899</v>
      </c>
      <c r="K49" s="31">
        <f t="shared" si="38"/>
        <v>-0.04621185201</v>
      </c>
      <c r="L49" s="31">
        <f>L46/L59</f>
        <v>0.08847718372</v>
      </c>
      <c r="M49" s="31">
        <f t="shared" si="39"/>
        <v>-0.007314860459</v>
      </c>
      <c r="N49" s="31">
        <f>N46/N59</f>
        <v>0.08782998547</v>
      </c>
      <c r="O49" s="31">
        <f t="shared" si="40"/>
        <v>-0.002739314002</v>
      </c>
      <c r="P49" s="31">
        <f>P46/P59</f>
        <v>0.08758939156</v>
      </c>
      <c r="Q49" s="31">
        <f t="shared" si="41"/>
        <v>-0.0004335384991</v>
      </c>
      <c r="R49" s="31">
        <f>R46/R59</f>
        <v>0.08755141819</v>
      </c>
      <c r="S49" s="31">
        <f t="shared" si="42"/>
        <v>0</v>
      </c>
      <c r="T49" s="31">
        <f>T46/T59</f>
        <v>0.08755141819</v>
      </c>
      <c r="U49" s="31">
        <f t="shared" si="43"/>
        <v>0</v>
      </c>
      <c r="V49" s="31">
        <f>V46/V59</f>
        <v>0.08755141819</v>
      </c>
      <c r="W49" s="31">
        <f t="shared" si="44"/>
        <v>0</v>
      </c>
      <c r="X49" s="31">
        <f>X46/X59</f>
        <v>0.08755141819</v>
      </c>
    </row>
    <row r="50">
      <c r="A50" s="44" t="s">
        <v>79</v>
      </c>
      <c r="B50" s="43">
        <f>B31</f>
        <v>46645143</v>
      </c>
      <c r="C50" s="12">
        <f t="shared" si="34"/>
        <v>0</v>
      </c>
      <c r="D50" s="43">
        <f>D31</f>
        <v>46645143</v>
      </c>
      <c r="E50" s="12">
        <f t="shared" si="35"/>
        <v>0</v>
      </c>
      <c r="F50" s="43">
        <f>F31</f>
        <v>46645143</v>
      </c>
      <c r="G50" s="12">
        <f t="shared" si="36"/>
        <v>0.0003586011088</v>
      </c>
      <c r="H50" s="43">
        <f>H31</f>
        <v>46661870</v>
      </c>
      <c r="I50" s="12">
        <f t="shared" si="37"/>
        <v>0</v>
      </c>
      <c r="J50" s="43">
        <f>J31</f>
        <v>46661870</v>
      </c>
      <c r="K50" s="12">
        <f t="shared" si="38"/>
        <v>0.07500878126</v>
      </c>
      <c r="L50" s="43">
        <f>L31</f>
        <v>50161920</v>
      </c>
      <c r="M50" s="12">
        <f t="shared" si="39"/>
        <v>0</v>
      </c>
      <c r="N50" s="43">
        <f>N31</f>
        <v>50161920</v>
      </c>
      <c r="O50" s="12">
        <f t="shared" si="40"/>
        <v>0.06363636001</v>
      </c>
      <c r="P50" s="43">
        <f>P31</f>
        <v>53354042</v>
      </c>
      <c r="Q50" s="12">
        <f t="shared" si="41"/>
        <v>-0.05982905663</v>
      </c>
      <c r="R50" s="43">
        <f>R31</f>
        <v>50161920</v>
      </c>
      <c r="S50" s="12">
        <f t="shared" si="42"/>
        <v>0</v>
      </c>
      <c r="T50" s="43">
        <f>T31</f>
        <v>50161920</v>
      </c>
      <c r="U50" s="12">
        <f t="shared" si="43"/>
        <v>0</v>
      </c>
      <c r="V50" s="43">
        <f>V31</f>
        <v>50161920</v>
      </c>
      <c r="W50" s="12">
        <f t="shared" si="44"/>
        <v>0</v>
      </c>
      <c r="X50" s="43">
        <f>X31</f>
        <v>50161920</v>
      </c>
    </row>
    <row r="51">
      <c r="A51" s="44" t="s">
        <v>80</v>
      </c>
      <c r="B51" s="39">
        <f>ABS(B20)</f>
        <v>2577948</v>
      </c>
      <c r="C51" s="12">
        <f t="shared" si="34"/>
        <v>0.3616612903</v>
      </c>
      <c r="D51" s="39">
        <f>ABS(D20)</f>
        <v>3510292</v>
      </c>
      <c r="E51" s="12">
        <f t="shared" si="35"/>
        <v>-0.05159998086</v>
      </c>
      <c r="F51" s="39">
        <f>ABS(F20)</f>
        <v>3329161</v>
      </c>
      <c r="G51" s="12">
        <f t="shared" si="36"/>
        <v>-0.1417699535</v>
      </c>
      <c r="H51" s="39">
        <f>ABS(H20)</f>
        <v>2857186</v>
      </c>
      <c r="I51" s="12">
        <f t="shared" si="37"/>
        <v>0.2200731769</v>
      </c>
      <c r="J51" s="39">
        <f>ABS(J20)</f>
        <v>3485976</v>
      </c>
      <c r="K51" s="12">
        <f t="shared" si="38"/>
        <v>-0.08054903419</v>
      </c>
      <c r="L51" s="39">
        <f>ABS(L20)</f>
        <v>3205184</v>
      </c>
      <c r="M51" s="12">
        <f t="shared" si="39"/>
        <v>0.04938031639</v>
      </c>
      <c r="N51" s="39">
        <f>ABS(N20)</f>
        <v>3363457</v>
      </c>
      <c r="O51" s="12">
        <f t="shared" si="40"/>
        <v>0.02966471699</v>
      </c>
      <c r="P51" s="39">
        <f>ABS(P20)</f>
        <v>3463233</v>
      </c>
      <c r="Q51" s="12">
        <f t="shared" si="41"/>
        <v>-0.02881007429</v>
      </c>
      <c r="R51" s="39">
        <f>ABS(R20)</f>
        <v>3363457</v>
      </c>
      <c r="S51" s="12">
        <f t="shared" si="42"/>
        <v>0</v>
      </c>
      <c r="T51" s="39">
        <f>ABS(T20)</f>
        <v>3363457</v>
      </c>
      <c r="U51" s="12">
        <f t="shared" si="43"/>
        <v>0</v>
      </c>
      <c r="V51" s="39">
        <f>ABS(V20)</f>
        <v>3363457</v>
      </c>
      <c r="W51" s="12">
        <f t="shared" si="44"/>
        <v>0</v>
      </c>
      <c r="X51" s="39">
        <f>ABS(X20)</f>
        <v>3363457</v>
      </c>
    </row>
    <row r="52">
      <c r="A52" s="1" t="s">
        <v>81</v>
      </c>
      <c r="B52" s="62">
        <f>IFERROR(B51/B26,0)</f>
        <v>0.04828006298</v>
      </c>
      <c r="C52" s="31">
        <f t="shared" si="34"/>
        <v>1.327569314</v>
      </c>
      <c r="D52" s="62">
        <f>IFERROR(D51/D26,0)</f>
        <v>0.1123751931</v>
      </c>
      <c r="E52" s="31">
        <f t="shared" si="35"/>
        <v>-0.3062731734</v>
      </c>
      <c r="F52" s="62">
        <f>IFERROR(F51/F26,0)</f>
        <v>0.07795768608</v>
      </c>
      <c r="G52" s="31">
        <f t="shared" si="36"/>
        <v>-0.1181213875</v>
      </c>
      <c r="H52" s="62">
        <f>IFERROR(H51/H26,0)</f>
        <v>0.06874921603</v>
      </c>
      <c r="I52" s="31">
        <f t="shared" si="37"/>
        <v>-0.002822803159</v>
      </c>
      <c r="J52" s="62">
        <f>IFERROR(J51/J26,0)</f>
        <v>0.06855515053</v>
      </c>
      <c r="K52" s="31">
        <f t="shared" si="38"/>
        <v>0.05446589326</v>
      </c>
      <c r="L52" s="62">
        <f>IFERROR(L51/L26,0)</f>
        <v>0.07228906804</v>
      </c>
      <c r="M52" s="31">
        <f t="shared" si="39"/>
        <v>-0.1119830186</v>
      </c>
      <c r="N52" s="62">
        <f>IFERROR(N51/N26,0)</f>
        <v>0.06419391999</v>
      </c>
      <c r="O52" s="31">
        <f t="shared" si="40"/>
        <v>0.1870675597</v>
      </c>
      <c r="P52" s="62">
        <f>IFERROR(P51/P26,0)</f>
        <v>0.07620251995</v>
      </c>
      <c r="Q52" s="31">
        <f t="shared" si="41"/>
        <v>-0.1575879639</v>
      </c>
      <c r="R52" s="62">
        <f>IFERROR(R51/R26,0)</f>
        <v>0.06419391999</v>
      </c>
      <c r="S52" s="31">
        <f t="shared" si="42"/>
        <v>0</v>
      </c>
      <c r="T52" s="62">
        <f>IFERROR(T51/T26,0)</f>
        <v>0.06419391999</v>
      </c>
      <c r="U52" s="31">
        <f t="shared" si="43"/>
        <v>0</v>
      </c>
      <c r="V52" s="62">
        <f>IFERROR(V51/V26,0)</f>
        <v>0.06419391999</v>
      </c>
      <c r="W52" s="31">
        <f t="shared" si="44"/>
        <v>0</v>
      </c>
      <c r="X52" s="62">
        <f>IFERROR(X51/X26,0)</f>
        <v>0.06419391999</v>
      </c>
      <c r="Y52" s="13"/>
    </row>
    <row r="53">
      <c r="A53" s="25" t="s">
        <v>82</v>
      </c>
      <c r="B53" s="63">
        <f>IFERROR(B51/(B87*B33),0)*12</f>
        <v>0.00463045057</v>
      </c>
      <c r="C53" s="27">
        <f t="shared" si="34"/>
        <v>0.3620935637</v>
      </c>
      <c r="D53" s="63">
        <f>IFERROR(D51/(D87*D33),0)*12</f>
        <v>0.006307106918</v>
      </c>
      <c r="E53" s="27">
        <f t="shared" si="35"/>
        <v>-0.06036986214</v>
      </c>
      <c r="F53" s="63">
        <f>IFERROR(F51/(F87*F33),0)*12</f>
        <v>0.005926347743</v>
      </c>
      <c r="G53" s="27">
        <f t="shared" si="36"/>
        <v>-0.12621474</v>
      </c>
      <c r="H53" s="63">
        <f>IFERROR(H51/(H87*H33),0)*12</f>
        <v>0.005178355303</v>
      </c>
      <c r="I53" s="27">
        <f t="shared" si="37"/>
        <v>0.2180449223</v>
      </c>
      <c r="J53" s="63">
        <f>IFERROR(J51/(J87*J33),0)*12</f>
        <v>0.006307469383</v>
      </c>
      <c r="K53" s="27">
        <f t="shared" si="38"/>
        <v>-0.1412216354</v>
      </c>
      <c r="L53" s="63">
        <f>IFERROR(L51/(L87*L33),0)*12</f>
        <v>0.005416718242</v>
      </c>
      <c r="M53" s="27">
        <f t="shared" si="39"/>
        <v>0.08570770143</v>
      </c>
      <c r="N53" s="63">
        <f>IFERROR(N51/(N87*N33),0)*12</f>
        <v>0.005880972711</v>
      </c>
      <c r="O53" s="27">
        <f t="shared" si="40"/>
        <v>0.05117718021</v>
      </c>
      <c r="P53" s="63">
        <f>IFERROR(P51/(P87*P33),0)*12</f>
        <v>0.006181944312</v>
      </c>
      <c r="Q53" s="27">
        <f t="shared" si="41"/>
        <v>-0.04868558904</v>
      </c>
      <c r="R53" s="63">
        <f>IFERROR(R51/(R87*R33),0)*12</f>
        <v>0.005880972711</v>
      </c>
      <c r="S53" s="27">
        <f t="shared" si="42"/>
        <v>0</v>
      </c>
      <c r="T53" s="63">
        <f>IFERROR(T51/(T87*T33),0)*12</f>
        <v>0.005880972711</v>
      </c>
      <c r="U53" s="27">
        <f t="shared" si="43"/>
        <v>0</v>
      </c>
      <c r="V53" s="63">
        <f>IFERROR(V51/(V87*V33),0)*12</f>
        <v>0.005880972711</v>
      </c>
      <c r="W53" s="27">
        <f>IFERROR(SUM((X53/V57)-1),0)</f>
        <v>-0.9651772716</v>
      </c>
      <c r="X53" s="63">
        <f>IFERROR(X51/(X87*X33),0)*12</f>
        <v>0.005880972711</v>
      </c>
    </row>
    <row r="54">
      <c r="A54" s="4" t="s">
        <v>83</v>
      </c>
      <c r="B54" s="15">
        <v>5.5429607179E8</v>
      </c>
      <c r="C54" s="13">
        <f t="shared" si="34"/>
        <v>0.08138646391</v>
      </c>
      <c r="D54" s="15">
        <v>5.9940826903E8</v>
      </c>
      <c r="E54" s="13">
        <f t="shared" si="35"/>
        <v>-0.01832314809</v>
      </c>
      <c r="F54" s="15">
        <v>5.8842522255E8</v>
      </c>
      <c r="G54" s="13">
        <f t="shared" si="36"/>
        <v>0.00148376505</v>
      </c>
      <c r="H54" s="15">
        <v>5.8929830733E8</v>
      </c>
      <c r="I54" s="13">
        <f t="shared" si="37"/>
        <v>-0.02569958638</v>
      </c>
      <c r="J54" s="15">
        <v>5.7415358458E8</v>
      </c>
      <c r="K54" s="13">
        <f t="shared" si="38"/>
        <v>0.001740288639</v>
      </c>
      <c r="L54" s="15">
        <v>5.7515277754E8</v>
      </c>
      <c r="M54" s="13">
        <f t="shared" si="39"/>
        <v>-0.02539633087</v>
      </c>
      <c r="N54" s="15">
        <v>5.605460073E8</v>
      </c>
      <c r="O54" s="13">
        <f t="shared" si="40"/>
        <v>0.006222742067</v>
      </c>
      <c r="P54" s="15">
        <v>5.6403414052E8</v>
      </c>
      <c r="Q54" s="13">
        <f t="shared" si="41"/>
        <v>0</v>
      </c>
      <c r="R54" s="15">
        <v>5.6403414052E8</v>
      </c>
      <c r="S54" s="13">
        <f t="shared" si="42"/>
        <v>0</v>
      </c>
      <c r="T54" s="15">
        <v>5.6403414052E8</v>
      </c>
      <c r="U54" s="13">
        <f t="shared" si="43"/>
        <v>0</v>
      </c>
      <c r="V54" s="15">
        <v>5.6403414052E8</v>
      </c>
      <c r="W54" s="13">
        <f>IFERROR(SUM((X54/V54)-1),0)</f>
        <v>0</v>
      </c>
      <c r="X54" s="15">
        <v>5.6403414052E8</v>
      </c>
    </row>
    <row r="55">
      <c r="B55" s="64"/>
      <c r="C55" s="13"/>
      <c r="D55" s="64"/>
      <c r="E55" s="13"/>
      <c r="F55" s="64"/>
      <c r="G55" s="13"/>
      <c r="H55" s="64"/>
      <c r="I55" s="13"/>
      <c r="J55" s="15"/>
      <c r="K55" s="13"/>
      <c r="L55" s="15"/>
      <c r="M55" s="13"/>
      <c r="N55" s="15"/>
      <c r="O55" s="13"/>
      <c r="P55" s="15"/>
      <c r="Q55" s="13"/>
      <c r="R55" s="15"/>
      <c r="S55" s="13"/>
      <c r="T55" s="15"/>
      <c r="U55" s="13"/>
      <c r="V55" s="15"/>
      <c r="W55" s="13"/>
      <c r="X55" s="15"/>
    </row>
    <row r="56">
      <c r="A56" s="66" t="s">
        <v>84</v>
      </c>
      <c r="B56" s="61">
        <f>SUM(B50,B46,B51,B54)</f>
        <v>1285862211</v>
      </c>
      <c r="C56" s="27">
        <f t="shared" ref="C56:C59" si="45">IFERROR(SUM((D56/B56)-1),0)</f>
        <v>0.03299473403</v>
      </c>
      <c r="D56" s="61">
        <f>SUM(D50,D46,D51,D54)</f>
        <v>1328288893</v>
      </c>
      <c r="E56" s="27">
        <f t="shared" ref="E56:E59" si="46">IFERROR(SUM((F56/D56)-1),0)</f>
        <v>-0.01140595193</v>
      </c>
      <c r="F56" s="61">
        <f>SUM(F50,F46,F51,F54)</f>
        <v>1313138493</v>
      </c>
      <c r="G56" s="27">
        <f t="shared" ref="G56:G59" si="47">IFERROR(SUM((H56/F56)-1),0)</f>
        <v>-0.0009728710312</v>
      </c>
      <c r="H56" s="61">
        <f>SUM(H50,H46,H51,H54)</f>
        <v>1311860979</v>
      </c>
      <c r="I56" s="27">
        <f t="shared" ref="I56:I59" si="48">IFERROR(SUM((J56/H56)-1),0)</f>
        <v>-0.01253792246</v>
      </c>
      <c r="J56" s="61">
        <f>SUM(J50,J46,J51,J54)</f>
        <v>1295412968</v>
      </c>
      <c r="K56" s="27">
        <f t="shared" ref="K56:K59" si="49">IFERROR(SUM((L56/J56)-1),0)</f>
        <v>0.002237253858</v>
      </c>
      <c r="L56" s="61">
        <f>SUM(L50,L46,L51,L54)</f>
        <v>1298311135</v>
      </c>
      <c r="M56" s="27">
        <f t="shared" ref="M56:M59" si="50">IFERROR(SUM((N56/L56)-1),0)</f>
        <v>-0.01305707274</v>
      </c>
      <c r="N56" s="61">
        <f>SUM(N50,N46,N51,N54)</f>
        <v>1281358992</v>
      </c>
      <c r="O56" s="27">
        <f t="shared" ref="O56:O59" si="51">IFERROR(SUM((P56/N56)-1),0)</f>
        <v>0.00333899785</v>
      </c>
      <c r="P56" s="61">
        <f>SUM(P50,P46,P51,P54)</f>
        <v>1285637447</v>
      </c>
      <c r="Q56" s="27">
        <f t="shared" ref="Q56:Q59" si="52">IFERROR(SUM((R56/P56)-1),0)</f>
        <v>-0.002560518136</v>
      </c>
      <c r="R56" s="61">
        <f>SUM(R50,R46,R51,R54)</f>
        <v>1282345549</v>
      </c>
      <c r="S56" s="27">
        <f t="shared" ref="S56:S59" si="53">IFERROR(SUM((T56/R56)-1),0)</f>
        <v>0</v>
      </c>
      <c r="T56" s="61">
        <f>SUM(T50,T46,T51,T54)</f>
        <v>1282345549</v>
      </c>
      <c r="U56" s="27">
        <f t="shared" ref="U56:U59" si="54">IFERROR(SUM((V56/T56)-1),0)</f>
        <v>0</v>
      </c>
      <c r="V56" s="61">
        <f>SUM(V50,V46,V51,V54)</f>
        <v>1282345549</v>
      </c>
      <c r="W56" s="27">
        <f t="shared" ref="W56:W59" si="55">IFERROR(SUM((X56/V56)-1),0)</f>
        <v>0</v>
      </c>
      <c r="X56" s="61">
        <f>SUM(X50,X46,X51,X54)</f>
        <v>1282345549</v>
      </c>
    </row>
    <row r="57">
      <c r="A57" s="4" t="s">
        <v>85</v>
      </c>
      <c r="B57" s="13">
        <f>(B42/B59)-1</f>
        <v>0.1820159393</v>
      </c>
      <c r="C57" s="13">
        <f t="shared" si="45"/>
        <v>0.03419871685</v>
      </c>
      <c r="D57" s="13">
        <f>(D42/D59)-1</f>
        <v>0.1882406508</v>
      </c>
      <c r="E57" s="13">
        <f t="shared" si="46"/>
        <v>-0.007400122058</v>
      </c>
      <c r="F57" s="13">
        <f>(F42/F59)-1</f>
        <v>0.186847647</v>
      </c>
      <c r="G57" s="13">
        <f t="shared" si="47"/>
        <v>-0.0009365619445</v>
      </c>
      <c r="H57" s="13">
        <f>(H42/H59)-1</f>
        <v>0.1866726526</v>
      </c>
      <c r="I57" s="13">
        <f t="shared" si="48"/>
        <v>-0.04079329616</v>
      </c>
      <c r="J57" s="13">
        <f>(J42/J59)-1</f>
        <v>0.1790576598</v>
      </c>
      <c r="K57" s="13">
        <f t="shared" si="49"/>
        <v>-0.04219368548</v>
      </c>
      <c r="L57" s="13">
        <f>(L42/L59)-1</f>
        <v>0.1715025573</v>
      </c>
      <c r="M57" s="13">
        <f t="shared" si="50"/>
        <v>-0.01660052524</v>
      </c>
      <c r="N57" s="13">
        <f>(N42/N59)-1</f>
        <v>0.1686555247</v>
      </c>
      <c r="O57" s="13">
        <f t="shared" si="51"/>
        <v>0.004355739101</v>
      </c>
      <c r="P57" s="13">
        <f>(P42/P59)-1</f>
        <v>0.1693901442</v>
      </c>
      <c r="Q57" s="13">
        <f t="shared" si="52"/>
        <v>-0.002992946552</v>
      </c>
      <c r="R57" s="13">
        <f>(R42/R59)-1</f>
        <v>0.1688831685</v>
      </c>
      <c r="S57" s="13">
        <f t="shared" si="53"/>
        <v>0</v>
      </c>
      <c r="T57" s="13">
        <f>(T42/T59)-1</f>
        <v>0.1688831685</v>
      </c>
      <c r="U57" s="13">
        <f t="shared" si="54"/>
        <v>0</v>
      </c>
      <c r="V57" s="13">
        <f>(V42/V59)-1</f>
        <v>0.1688831685</v>
      </c>
      <c r="W57" s="13">
        <f t="shared" si="55"/>
        <v>0</v>
      </c>
      <c r="X57" s="13">
        <f>(X42/X59)-1</f>
        <v>0.1688831685</v>
      </c>
    </row>
    <row r="58">
      <c r="A58" s="1" t="s">
        <v>86</v>
      </c>
      <c r="B58" s="69">
        <f>B26/ABS(B18)</f>
        <v>10.60141987</v>
      </c>
      <c r="C58" s="13">
        <f t="shared" si="45"/>
        <v>-0.4244870723</v>
      </c>
      <c r="D58" s="69">
        <f>D26/ABS(D18)</f>
        <v>6.101254188</v>
      </c>
      <c r="E58" s="13">
        <f t="shared" si="46"/>
        <v>0.3952739069</v>
      </c>
      <c r="F58" s="69">
        <f>F26/ABS(F18)</f>
        <v>8.512920767</v>
      </c>
      <c r="G58" s="13">
        <f t="shared" si="47"/>
        <v>-0.04067382922</v>
      </c>
      <c r="H58" s="69">
        <f>H26/ABS(H18)</f>
        <v>8.166667682</v>
      </c>
      <c r="I58" s="13">
        <f t="shared" si="48"/>
        <v>0.1792795477</v>
      </c>
      <c r="J58" s="69">
        <f>J26/ABS(J18)</f>
        <v>9.63078417</v>
      </c>
      <c r="K58" s="13">
        <f t="shared" si="49"/>
        <v>-0.1462519115</v>
      </c>
      <c r="L58" s="69">
        <f>L26/ABS(L18)</f>
        <v>8.222263576</v>
      </c>
      <c r="M58" s="13">
        <f t="shared" si="50"/>
        <v>0.1523758515</v>
      </c>
      <c r="N58" s="69">
        <f>N26/ABS(N18)</f>
        <v>9.47513799</v>
      </c>
      <c r="O58" s="13">
        <f t="shared" si="51"/>
        <v>-0.1194448878</v>
      </c>
      <c r="P58" s="69">
        <f>P26/ABS(P18)</f>
        <v>8.343381196</v>
      </c>
      <c r="Q58" s="13">
        <f t="shared" si="52"/>
        <v>0.1356472595</v>
      </c>
      <c r="R58" s="69">
        <f>R26/ABS(R18)</f>
        <v>9.47513799</v>
      </c>
      <c r="S58" s="13">
        <f t="shared" si="53"/>
        <v>0</v>
      </c>
      <c r="T58" s="69">
        <f>T26/ABS(T18)</f>
        <v>9.47513799</v>
      </c>
      <c r="U58" s="13">
        <f t="shared" si="54"/>
        <v>0</v>
      </c>
      <c r="V58" s="69">
        <f>V26/ABS(V18)</f>
        <v>9.47513799</v>
      </c>
      <c r="W58" s="13">
        <f t="shared" si="55"/>
        <v>0</v>
      </c>
      <c r="X58" s="69">
        <f>X26/ABS(X18)</f>
        <v>9.47513799</v>
      </c>
    </row>
    <row r="59">
      <c r="A59" s="28" t="s">
        <v>87</v>
      </c>
      <c r="B59" s="22">
        <f>SUM(B42-B56)</f>
        <v>7064558280</v>
      </c>
      <c r="C59" s="13">
        <f t="shared" si="45"/>
        <v>-0.001164169704</v>
      </c>
      <c r="D59" s="22">
        <f>SUM(D42-D56)</f>
        <v>7056333936</v>
      </c>
      <c r="E59" s="13">
        <f t="shared" si="46"/>
        <v>-0.004035694506</v>
      </c>
      <c r="F59" s="22">
        <f>SUM(F42-F56)</f>
        <v>7027856728</v>
      </c>
      <c r="G59" s="13">
        <f t="shared" si="47"/>
        <v>-0.00003634312421</v>
      </c>
      <c r="H59" s="22">
        <f>SUM(H42-H56)</f>
        <v>7027601313</v>
      </c>
      <c r="I59" s="13">
        <f t="shared" si="48"/>
        <v>0.02945702276</v>
      </c>
      <c r="J59" s="22">
        <f>SUM(J42-J56)</f>
        <v>7234613525</v>
      </c>
      <c r="K59" s="13">
        <f t="shared" si="49"/>
        <v>0.04638822971</v>
      </c>
      <c r="L59" s="22">
        <f>SUM(L42-L56)</f>
        <v>7570214439</v>
      </c>
      <c r="M59" s="13">
        <f t="shared" si="50"/>
        <v>0.003603268654</v>
      </c>
      <c r="N59" s="22">
        <f>SUM(N42-N56)</f>
        <v>7597491956</v>
      </c>
      <c r="O59" s="13">
        <f t="shared" si="51"/>
        <v>-0.001012331798</v>
      </c>
      <c r="P59" s="22">
        <f>SUM(P42-P56)</f>
        <v>7589800773</v>
      </c>
      <c r="Q59" s="13">
        <f t="shared" si="52"/>
        <v>0.0004337265362</v>
      </c>
      <c r="R59" s="22">
        <f>SUM(R42-R56)</f>
        <v>7593092671</v>
      </c>
      <c r="S59" s="13">
        <f t="shared" si="53"/>
        <v>0</v>
      </c>
      <c r="T59" s="22">
        <f>SUM(T42-T56)</f>
        <v>7593092671</v>
      </c>
      <c r="U59" s="13">
        <f t="shared" si="54"/>
        <v>0</v>
      </c>
      <c r="V59" s="22">
        <f>SUM(V42-V56)</f>
        <v>7593092671</v>
      </c>
      <c r="W59" s="13">
        <f t="shared" si="55"/>
        <v>0</v>
      </c>
      <c r="X59" s="22">
        <f>SUM(X42-X56)</f>
        <v>7593092671</v>
      </c>
    </row>
    <row r="60">
      <c r="A60" s="52"/>
      <c r="B60" s="2" t="s">
        <v>1</v>
      </c>
      <c r="C60" s="3">
        <f>$C$1</f>
        <v>46080</v>
      </c>
      <c r="D60" s="2" t="s">
        <v>1</v>
      </c>
      <c r="E60" s="3">
        <f>$E$1</f>
        <v>46080</v>
      </c>
      <c r="F60" s="2" t="s">
        <v>1</v>
      </c>
      <c r="G60" s="3">
        <f>$G$1</f>
        <v>46105</v>
      </c>
      <c r="H60" s="2" t="s">
        <v>1</v>
      </c>
      <c r="I60" s="3">
        <f>$I$1</f>
        <v>46142</v>
      </c>
      <c r="J60" s="2" t="s">
        <v>1</v>
      </c>
      <c r="K60" s="3">
        <f>$K$1</f>
        <v>46155</v>
      </c>
      <c r="L60" s="2" t="s">
        <v>1</v>
      </c>
      <c r="M60" s="3">
        <f>$M$1</f>
        <v>46184</v>
      </c>
      <c r="N60" s="2" t="s">
        <v>1</v>
      </c>
      <c r="O60" s="3">
        <f>$O$1</f>
        <v>46216</v>
      </c>
      <c r="P60" s="2" t="s">
        <v>2</v>
      </c>
      <c r="Q60" s="3">
        <f>$Q$1</f>
        <v>46246</v>
      </c>
      <c r="R60" s="2" t="s">
        <v>3</v>
      </c>
      <c r="S60" s="3">
        <f>$S$1</f>
        <v>46195</v>
      </c>
      <c r="T60" s="2" t="s">
        <v>3</v>
      </c>
      <c r="U60" s="3">
        <f>$U$1</f>
        <v>46195</v>
      </c>
      <c r="V60" s="2" t="s">
        <v>3</v>
      </c>
      <c r="W60" s="3">
        <f>$W$1</f>
        <v>46195</v>
      </c>
      <c r="X60" s="2" t="s">
        <v>3</v>
      </c>
      <c r="Y60" s="3">
        <f>$Y$1</f>
        <v>46195</v>
      </c>
      <c r="Z60" s="70"/>
    </row>
    <row r="61">
      <c r="A61" s="1" t="s">
        <v>88</v>
      </c>
      <c r="B61" s="1" t="s">
        <v>5</v>
      </c>
      <c r="C61" s="53"/>
      <c r="D61" s="54" t="s">
        <v>6</v>
      </c>
      <c r="E61" s="55"/>
      <c r="F61" s="54" t="s">
        <v>7</v>
      </c>
      <c r="G61" s="55"/>
      <c r="H61" s="54" t="s">
        <v>8</v>
      </c>
      <c r="I61" s="55"/>
      <c r="J61" s="54" t="s">
        <v>9</v>
      </c>
      <c r="K61" s="55"/>
      <c r="L61" s="54" t="s">
        <v>10</v>
      </c>
      <c r="M61" s="55"/>
      <c r="N61" s="54" t="s">
        <v>11</v>
      </c>
      <c r="O61" s="55"/>
      <c r="P61" s="1" t="s">
        <v>12</v>
      </c>
      <c r="Q61" s="53"/>
      <c r="R61" s="1" t="s">
        <v>13</v>
      </c>
      <c r="S61" s="53"/>
      <c r="T61" s="1" t="s">
        <v>14</v>
      </c>
      <c r="U61" s="53"/>
      <c r="V61" s="1" t="s">
        <v>15</v>
      </c>
      <c r="W61" s="53"/>
      <c r="X61" s="1" t="s">
        <v>16</v>
      </c>
      <c r="Y61" s="15"/>
    </row>
    <row r="62">
      <c r="A62" s="4" t="s">
        <v>89</v>
      </c>
      <c r="B62" s="4">
        <v>37.0</v>
      </c>
      <c r="C62" s="13">
        <f t="shared" ref="C62:C68" si="56">IFERROR(SUM((D62/B62)-1),0)</f>
        <v>0</v>
      </c>
      <c r="D62" s="4">
        <v>37.0</v>
      </c>
      <c r="E62" s="13">
        <f t="shared" ref="E62:E68" si="57">IFERROR(SUM((F62/D62)-1),0)</f>
        <v>0</v>
      </c>
      <c r="F62" s="4">
        <v>37.0</v>
      </c>
      <c r="G62" s="13">
        <f t="shared" ref="G62:G68" si="58">IFERROR(SUM((H62/F62)-1),0)</f>
        <v>0</v>
      </c>
      <c r="H62" s="4">
        <v>37.0</v>
      </c>
      <c r="I62" s="13">
        <f t="shared" ref="I62:I68" si="59">IFERROR(SUM((J62/H62)-1),0)</f>
        <v>0</v>
      </c>
      <c r="J62" s="4">
        <v>37.0</v>
      </c>
      <c r="K62" s="13">
        <f t="shared" ref="K62:K68" si="60">IFERROR(SUM((L62/J62)-1),0)</f>
        <v>0.1081081081</v>
      </c>
      <c r="L62" s="4">
        <v>41.0</v>
      </c>
      <c r="M62" s="13">
        <f t="shared" ref="M62:M68" si="61">IFERROR(SUM((N62/L62)-1),0)</f>
        <v>0.0243902439</v>
      </c>
      <c r="N62" s="4">
        <v>42.0</v>
      </c>
      <c r="O62" s="13">
        <f t="shared" ref="O62:O68" si="62">IFERROR(SUM((P62/N62)-1),0)</f>
        <v>-0.02380952381</v>
      </c>
      <c r="P62" s="4">
        <v>41.0</v>
      </c>
      <c r="Q62" s="13">
        <f t="shared" ref="Q62:Q68" si="63">IFERROR(SUM((R62/P62)-1),0)</f>
        <v>0.0243902439</v>
      </c>
      <c r="R62" s="4">
        <v>42.0</v>
      </c>
      <c r="S62" s="13">
        <f t="shared" ref="S62:S68" si="64">IFERROR(SUM((T62/R62)-1),0)</f>
        <v>0</v>
      </c>
      <c r="T62" s="4">
        <v>42.0</v>
      </c>
      <c r="U62" s="13">
        <f t="shared" ref="U62:U68" si="65">IFERROR(SUM((V62/T62)-1),0)</f>
        <v>0</v>
      </c>
      <c r="V62" s="4">
        <v>42.0</v>
      </c>
      <c r="W62" s="13">
        <f t="shared" ref="W62:W68" si="66">IFERROR(SUM((X62/V62)-1),0)</f>
        <v>0</v>
      </c>
      <c r="X62" s="4">
        <v>42.0</v>
      </c>
      <c r="Y62" s="13"/>
    </row>
    <row r="63">
      <c r="A63" s="4" t="s">
        <v>90</v>
      </c>
      <c r="B63" s="15">
        <v>181.0</v>
      </c>
      <c r="C63" s="13">
        <f t="shared" si="56"/>
        <v>0.01657458564</v>
      </c>
      <c r="D63" s="15">
        <v>184.0</v>
      </c>
      <c r="E63" s="13">
        <f t="shared" si="57"/>
        <v>-0.005434782609</v>
      </c>
      <c r="F63" s="15">
        <v>183.0</v>
      </c>
      <c r="G63" s="13">
        <f t="shared" si="58"/>
        <v>0</v>
      </c>
      <c r="H63" s="15">
        <v>183.0</v>
      </c>
      <c r="I63" s="13">
        <f t="shared" si="59"/>
        <v>0</v>
      </c>
      <c r="J63" s="15">
        <v>183.0</v>
      </c>
      <c r="K63" s="13">
        <f t="shared" si="60"/>
        <v>0.01639344262</v>
      </c>
      <c r="L63" s="15">
        <v>186.0</v>
      </c>
      <c r="M63" s="13">
        <f t="shared" si="61"/>
        <v>0</v>
      </c>
      <c r="N63" s="15">
        <v>186.0</v>
      </c>
      <c r="O63" s="13">
        <f t="shared" si="62"/>
        <v>0.01075268817</v>
      </c>
      <c r="P63" s="15">
        <v>188.0</v>
      </c>
      <c r="Q63" s="13">
        <f t="shared" si="63"/>
        <v>-0.01063829787</v>
      </c>
      <c r="R63" s="15">
        <v>186.0</v>
      </c>
      <c r="S63" s="13">
        <f t="shared" si="64"/>
        <v>0</v>
      </c>
      <c r="T63" s="15">
        <v>186.0</v>
      </c>
      <c r="U63" s="13">
        <f t="shared" si="65"/>
        <v>0</v>
      </c>
      <c r="V63" s="15">
        <v>186.0</v>
      </c>
      <c r="W63" s="13">
        <f t="shared" si="66"/>
        <v>0</v>
      </c>
      <c r="X63" s="15">
        <v>186.0</v>
      </c>
      <c r="Y63" s="13"/>
    </row>
    <row r="64">
      <c r="A64" s="4" t="s">
        <v>91</v>
      </c>
      <c r="B64" s="58">
        <v>2066020.0</v>
      </c>
      <c r="C64" s="13">
        <f t="shared" si="56"/>
        <v>0.0000009680448398</v>
      </c>
      <c r="D64" s="58">
        <v>2066022.0</v>
      </c>
      <c r="E64" s="13">
        <f t="shared" si="57"/>
        <v>0.000002904131708</v>
      </c>
      <c r="F64" s="58">
        <v>2066028.0</v>
      </c>
      <c r="G64" s="13">
        <f t="shared" si="58"/>
        <v>0</v>
      </c>
      <c r="H64" s="58">
        <v>2066028.0</v>
      </c>
      <c r="I64" s="13">
        <f t="shared" si="59"/>
        <v>0.003926374667</v>
      </c>
      <c r="J64" s="58">
        <v>2074140.0</v>
      </c>
      <c r="K64" s="13">
        <f t="shared" si="60"/>
        <v>0.07185435892</v>
      </c>
      <c r="L64" s="58">
        <v>2223176.0</v>
      </c>
      <c r="M64" s="13">
        <f t="shared" si="61"/>
        <v>-0.07068985991</v>
      </c>
      <c r="N64" s="58">
        <v>2066020.0</v>
      </c>
      <c r="O64" s="13">
        <f t="shared" si="62"/>
        <v>0.1012608784</v>
      </c>
      <c r="P64" s="58">
        <v>2275227.0</v>
      </c>
      <c r="Q64" s="13">
        <f t="shared" si="63"/>
        <v>-0.09194994609</v>
      </c>
      <c r="R64" s="58">
        <v>2066020.0</v>
      </c>
      <c r="S64" s="13">
        <f t="shared" si="64"/>
        <v>0</v>
      </c>
      <c r="T64" s="58">
        <v>2066020.0</v>
      </c>
      <c r="U64" s="13">
        <f t="shared" si="65"/>
        <v>0</v>
      </c>
      <c r="V64" s="58">
        <v>2066020.0</v>
      </c>
      <c r="W64" s="13">
        <f t="shared" si="66"/>
        <v>0</v>
      </c>
      <c r="X64" s="58">
        <v>2066020.0</v>
      </c>
      <c r="Y64" s="13"/>
    </row>
    <row r="65">
      <c r="A65" s="4" t="s">
        <v>92</v>
      </c>
      <c r="B65" s="15">
        <v>4.2</v>
      </c>
      <c r="C65" s="13">
        <f t="shared" si="56"/>
        <v>-0.02380952381</v>
      </c>
      <c r="D65" s="15">
        <v>4.1</v>
      </c>
      <c r="E65" s="13">
        <f t="shared" si="57"/>
        <v>-0.0243902439</v>
      </c>
      <c r="F65" s="15">
        <v>4.0</v>
      </c>
      <c r="G65" s="13">
        <f t="shared" si="58"/>
        <v>0.025</v>
      </c>
      <c r="H65" s="15">
        <v>4.1</v>
      </c>
      <c r="I65" s="13">
        <f t="shared" si="59"/>
        <v>0</v>
      </c>
      <c r="J65" s="15">
        <v>4.1</v>
      </c>
      <c r="K65" s="13">
        <f t="shared" si="60"/>
        <v>-0.1463414634</v>
      </c>
      <c r="L65" s="15">
        <v>3.5</v>
      </c>
      <c r="M65" s="13">
        <f t="shared" si="61"/>
        <v>0.2</v>
      </c>
      <c r="N65" s="15">
        <v>4.2</v>
      </c>
      <c r="O65" s="13">
        <f t="shared" si="62"/>
        <v>0</v>
      </c>
      <c r="P65" s="15">
        <v>4.2</v>
      </c>
      <c r="Q65" s="13">
        <f t="shared" si="63"/>
        <v>0</v>
      </c>
      <c r="R65" s="15">
        <v>4.2</v>
      </c>
      <c r="S65" s="13">
        <f t="shared" si="64"/>
        <v>0</v>
      </c>
      <c r="T65" s="15">
        <v>4.2</v>
      </c>
      <c r="U65" s="13">
        <f t="shared" si="65"/>
        <v>0</v>
      </c>
      <c r="V65" s="15">
        <v>4.2</v>
      </c>
      <c r="W65" s="13">
        <f t="shared" si="66"/>
        <v>0</v>
      </c>
      <c r="X65" s="15">
        <v>4.2</v>
      </c>
      <c r="Y65" s="13"/>
    </row>
    <row r="66">
      <c r="A66" s="71" t="s">
        <v>93</v>
      </c>
      <c r="B66" s="72">
        <f>B4</f>
        <v>0.044</v>
      </c>
      <c r="C66" s="12">
        <f t="shared" si="56"/>
        <v>-0.25</v>
      </c>
      <c r="D66" s="72">
        <f>D4</f>
        <v>0.033</v>
      </c>
      <c r="E66" s="12">
        <f t="shared" si="57"/>
        <v>-0.09090909091</v>
      </c>
      <c r="F66" s="72">
        <f>F4</f>
        <v>0.03</v>
      </c>
      <c r="G66" s="12">
        <f t="shared" si="58"/>
        <v>0.1333333333</v>
      </c>
      <c r="H66" s="72">
        <f>H4</f>
        <v>0.034</v>
      </c>
      <c r="I66" s="12">
        <f t="shared" si="59"/>
        <v>-0.2352941176</v>
      </c>
      <c r="J66" s="72">
        <f>J4</f>
        <v>0.026</v>
      </c>
      <c r="K66" s="12">
        <f t="shared" si="60"/>
        <v>0.5</v>
      </c>
      <c r="L66" s="72">
        <f>L4</f>
        <v>0.039</v>
      </c>
      <c r="M66" s="12">
        <f t="shared" si="61"/>
        <v>0</v>
      </c>
      <c r="N66" s="72">
        <f>N4</f>
        <v>0.039</v>
      </c>
      <c r="O66" s="12">
        <f t="shared" si="62"/>
        <v>-0.2564102564</v>
      </c>
      <c r="P66" s="72">
        <f>P4</f>
        <v>0.029</v>
      </c>
      <c r="Q66" s="12">
        <f t="shared" si="63"/>
        <v>0.3448275862</v>
      </c>
      <c r="R66" s="72">
        <f>R4</f>
        <v>0.039</v>
      </c>
      <c r="S66" s="12">
        <f t="shared" si="64"/>
        <v>0</v>
      </c>
      <c r="T66" s="72">
        <f>T4</f>
        <v>0.039</v>
      </c>
      <c r="U66" s="12">
        <f t="shared" si="65"/>
        <v>0</v>
      </c>
      <c r="V66" s="72">
        <f>V4</f>
        <v>0.039</v>
      </c>
      <c r="W66" s="12">
        <f t="shared" si="66"/>
        <v>0</v>
      </c>
      <c r="X66" s="72">
        <f>X4</f>
        <v>0.039</v>
      </c>
      <c r="Y66" s="13"/>
    </row>
    <row r="67">
      <c r="A67" s="5" t="s">
        <v>96</v>
      </c>
      <c r="B67" s="4">
        <v>2.4</v>
      </c>
      <c r="C67" s="13">
        <f t="shared" si="56"/>
        <v>0</v>
      </c>
      <c r="D67" s="4">
        <v>2.4</v>
      </c>
      <c r="E67" s="13">
        <f t="shared" si="57"/>
        <v>0</v>
      </c>
      <c r="F67" s="4">
        <v>2.4</v>
      </c>
      <c r="G67" s="13">
        <f t="shared" si="58"/>
        <v>0.04166666667</v>
      </c>
      <c r="H67" s="4">
        <v>2.5</v>
      </c>
      <c r="I67" s="13">
        <f t="shared" si="59"/>
        <v>-0.08</v>
      </c>
      <c r="J67" s="4">
        <v>2.3</v>
      </c>
      <c r="K67" s="13">
        <f t="shared" si="60"/>
        <v>0.4347826087</v>
      </c>
      <c r="L67" s="4">
        <v>3.3</v>
      </c>
      <c r="M67" s="13">
        <f t="shared" si="61"/>
        <v>-0.2727272727</v>
      </c>
      <c r="N67" s="4">
        <v>2.4</v>
      </c>
      <c r="O67" s="13">
        <f t="shared" si="62"/>
        <v>0.5416666667</v>
      </c>
      <c r="P67" s="4">
        <v>3.7</v>
      </c>
      <c r="Q67" s="13">
        <f t="shared" si="63"/>
        <v>-0.3513513514</v>
      </c>
      <c r="R67" s="4">
        <v>2.4</v>
      </c>
      <c r="S67" s="13">
        <f t="shared" si="64"/>
        <v>0</v>
      </c>
      <c r="T67" s="4">
        <v>2.4</v>
      </c>
      <c r="U67" s="13">
        <f t="shared" si="65"/>
        <v>0</v>
      </c>
      <c r="V67" s="4">
        <v>2.4</v>
      </c>
      <c r="W67" s="13">
        <f t="shared" si="66"/>
        <v>0</v>
      </c>
      <c r="X67" s="4">
        <v>2.4</v>
      </c>
      <c r="Y67" s="13"/>
    </row>
    <row r="68">
      <c r="A68" s="5" t="s">
        <v>98</v>
      </c>
      <c r="B68" s="75">
        <v>26.4</v>
      </c>
      <c r="C68" s="13">
        <f t="shared" si="56"/>
        <v>0.01515151515</v>
      </c>
      <c r="D68" s="75">
        <v>26.8</v>
      </c>
      <c r="E68" s="13">
        <f t="shared" si="57"/>
        <v>0.007462686567</v>
      </c>
      <c r="F68" s="75">
        <v>27.0</v>
      </c>
      <c r="G68" s="13">
        <f t="shared" si="58"/>
        <v>-0.003703703704</v>
      </c>
      <c r="H68" s="75">
        <v>26.9</v>
      </c>
      <c r="I68" s="13">
        <f t="shared" si="59"/>
        <v>0.007434944238</v>
      </c>
      <c r="J68" s="75">
        <v>27.1</v>
      </c>
      <c r="K68" s="13">
        <f t="shared" si="60"/>
        <v>-0.007380073801</v>
      </c>
      <c r="L68" s="75">
        <v>26.9</v>
      </c>
      <c r="M68" s="13">
        <f t="shared" si="61"/>
        <v>0.01486988848</v>
      </c>
      <c r="N68" s="75">
        <v>27.3</v>
      </c>
      <c r="O68" s="13">
        <f t="shared" si="62"/>
        <v>0.01465201465</v>
      </c>
      <c r="P68" s="75">
        <v>27.7</v>
      </c>
      <c r="Q68" s="13">
        <f t="shared" si="63"/>
        <v>-0.01444043321</v>
      </c>
      <c r="R68" s="75">
        <v>27.3</v>
      </c>
      <c r="S68" s="13">
        <f t="shared" si="64"/>
        <v>0</v>
      </c>
      <c r="T68" s="75">
        <v>27.3</v>
      </c>
      <c r="U68" s="13">
        <f t="shared" si="65"/>
        <v>0</v>
      </c>
      <c r="V68" s="75">
        <v>27.3</v>
      </c>
      <c r="W68" s="13">
        <f t="shared" si="66"/>
        <v>0</v>
      </c>
      <c r="X68" s="75">
        <v>27.3</v>
      </c>
    </row>
    <row r="69">
      <c r="A69" s="1" t="s">
        <v>99</v>
      </c>
      <c r="B69" s="53"/>
      <c r="C69" s="31"/>
      <c r="D69" s="78"/>
      <c r="E69" s="53"/>
      <c r="F69" s="62"/>
      <c r="G69" s="79"/>
      <c r="H69" s="31"/>
      <c r="I69" s="79"/>
      <c r="J69" s="31"/>
      <c r="K69" s="79"/>
      <c r="L69" s="31"/>
      <c r="M69" s="79"/>
      <c r="N69" s="31"/>
      <c r="O69" s="79"/>
      <c r="P69" s="31"/>
      <c r="Q69" s="79"/>
      <c r="R69" s="31"/>
      <c r="S69" s="79"/>
      <c r="T69" s="31"/>
      <c r="U69" s="79"/>
      <c r="V69" s="31"/>
      <c r="W69" s="79"/>
      <c r="X69" s="31"/>
      <c r="Y69" s="15"/>
    </row>
    <row r="70">
      <c r="A70" s="4" t="s">
        <v>100</v>
      </c>
      <c r="B70" s="64">
        <v>0.39</v>
      </c>
      <c r="C70" s="13">
        <f t="shared" ref="C70:C89" si="67">IFERROR(SUM((D70/B70)-1),0)</f>
        <v>0</v>
      </c>
      <c r="D70" s="64">
        <v>0.39</v>
      </c>
      <c r="E70" s="13">
        <f t="shared" ref="E70:E89" si="68">IFERROR(SUM((F70/D70)-1),0)</f>
        <v>0.02564102564</v>
      </c>
      <c r="F70" s="80">
        <v>0.4</v>
      </c>
      <c r="G70" s="13">
        <f t="shared" ref="G70:G89" si="69">IFERROR(SUM((H70/F70)-1),0)</f>
        <v>0</v>
      </c>
      <c r="H70" s="80">
        <v>0.4</v>
      </c>
      <c r="I70" s="13">
        <f t="shared" ref="I70:I89" si="70">IFERROR(SUM((J70/H70)-1),0)</f>
        <v>0</v>
      </c>
      <c r="J70" s="80">
        <v>0.4</v>
      </c>
      <c r="K70" s="13">
        <f t="shared" ref="K70:K89" si="71">IFERROR(SUM((L70/J70)-1),0)</f>
        <v>-0.075</v>
      </c>
      <c r="L70" s="80">
        <v>0.37</v>
      </c>
      <c r="M70" s="13">
        <f t="shared" ref="M70:M89" si="72">IFERROR(SUM((N70/L70)-1),0)</f>
        <v>0.1081081081</v>
      </c>
      <c r="N70" s="80">
        <v>0.41</v>
      </c>
      <c r="O70" s="13">
        <f t="shared" ref="O70:O89" si="73">IFERROR(SUM((P70/N70)-1),0)</f>
        <v>0</v>
      </c>
      <c r="P70" s="80">
        <v>0.41</v>
      </c>
      <c r="Q70" s="13">
        <f t="shared" ref="Q70:Q89" si="74">IFERROR(SUM((R70/P70)-1),0)</f>
        <v>0</v>
      </c>
      <c r="R70" s="80">
        <v>0.41</v>
      </c>
      <c r="S70" s="13">
        <f t="shared" ref="S70:S89" si="75">IFERROR(SUM((T70/R70)-1),0)</f>
        <v>0</v>
      </c>
      <c r="T70" s="80">
        <v>0.41</v>
      </c>
      <c r="U70" s="13">
        <f t="shared" ref="U70:U89" si="76">IFERROR(SUM((V70/T70)-1),0)</f>
        <v>0</v>
      </c>
      <c r="V70" s="80">
        <v>0.41</v>
      </c>
      <c r="W70" s="13">
        <f t="shared" ref="W70:W89" si="77">IFERROR(SUM((X70/V70)-1),0)</f>
        <v>0</v>
      </c>
      <c r="X70" s="80">
        <v>0.41</v>
      </c>
      <c r="Y70" s="13"/>
    </row>
    <row r="71">
      <c r="A71" s="5" t="s">
        <v>103</v>
      </c>
      <c r="B71" s="64">
        <v>0.4</v>
      </c>
      <c r="C71" s="13">
        <f t="shared" si="67"/>
        <v>0</v>
      </c>
      <c r="D71" s="64">
        <v>0.4</v>
      </c>
      <c r="E71" s="13">
        <f t="shared" si="68"/>
        <v>0</v>
      </c>
      <c r="F71" s="80">
        <v>0.4</v>
      </c>
      <c r="G71" s="13">
        <f t="shared" si="69"/>
        <v>0</v>
      </c>
      <c r="H71" s="80">
        <v>0.4</v>
      </c>
      <c r="I71" s="13">
        <f t="shared" si="70"/>
        <v>0</v>
      </c>
      <c r="J71" s="80">
        <v>0.4</v>
      </c>
      <c r="K71" s="13">
        <f t="shared" si="71"/>
        <v>-0.05</v>
      </c>
      <c r="L71" s="80">
        <v>0.38</v>
      </c>
      <c r="M71" s="13">
        <f t="shared" si="72"/>
        <v>-0.05263157895</v>
      </c>
      <c r="N71" s="80">
        <v>0.36</v>
      </c>
      <c r="O71" s="13">
        <f t="shared" si="73"/>
        <v>0</v>
      </c>
      <c r="P71" s="80">
        <v>0.36</v>
      </c>
      <c r="Q71" s="13">
        <f t="shared" si="74"/>
        <v>0</v>
      </c>
      <c r="R71" s="80">
        <v>0.36</v>
      </c>
      <c r="S71" s="13">
        <f t="shared" si="75"/>
        <v>0</v>
      </c>
      <c r="T71" s="80">
        <v>0.36</v>
      </c>
      <c r="U71" s="13">
        <f t="shared" si="76"/>
        <v>0</v>
      </c>
      <c r="V71" s="80">
        <v>0.36</v>
      </c>
      <c r="W71" s="13">
        <f t="shared" si="77"/>
        <v>0</v>
      </c>
      <c r="X71" s="80">
        <v>0.36</v>
      </c>
      <c r="Y71" s="13"/>
    </row>
    <row r="72">
      <c r="A72" s="65" t="s">
        <v>104</v>
      </c>
      <c r="B72" s="81">
        <v>0.08</v>
      </c>
      <c r="C72" s="68">
        <f t="shared" si="67"/>
        <v>0</v>
      </c>
      <c r="D72" s="81">
        <v>0.08</v>
      </c>
      <c r="E72" s="68">
        <f t="shared" si="68"/>
        <v>0</v>
      </c>
      <c r="F72" s="82">
        <v>0.08</v>
      </c>
      <c r="G72" s="68">
        <f t="shared" si="69"/>
        <v>0</v>
      </c>
      <c r="H72" s="82">
        <v>0.08</v>
      </c>
      <c r="I72" s="68">
        <f t="shared" si="70"/>
        <v>0</v>
      </c>
      <c r="J72" s="82">
        <v>0.08</v>
      </c>
      <c r="K72" s="68">
        <f t="shared" si="71"/>
        <v>0.625</v>
      </c>
      <c r="L72" s="82">
        <v>0.13</v>
      </c>
      <c r="M72" s="68">
        <f t="shared" si="72"/>
        <v>-0.07692307692</v>
      </c>
      <c r="N72" s="82">
        <v>0.12</v>
      </c>
      <c r="O72" s="68">
        <f t="shared" si="73"/>
        <v>0</v>
      </c>
      <c r="P72" s="82">
        <v>0.12</v>
      </c>
      <c r="Q72" s="68">
        <f t="shared" si="74"/>
        <v>0</v>
      </c>
      <c r="R72" s="82">
        <v>0.12</v>
      </c>
      <c r="S72" s="68">
        <f t="shared" si="75"/>
        <v>0</v>
      </c>
      <c r="T72" s="82">
        <v>0.12</v>
      </c>
      <c r="U72" s="68">
        <f t="shared" si="76"/>
        <v>0</v>
      </c>
      <c r="V72" s="82">
        <v>0.12</v>
      </c>
      <c r="W72" s="68">
        <f t="shared" si="77"/>
        <v>0</v>
      </c>
      <c r="X72" s="82">
        <v>0.12</v>
      </c>
      <c r="Y72" s="13"/>
    </row>
    <row r="73">
      <c r="A73" s="4" t="s">
        <v>105</v>
      </c>
      <c r="B73" s="64">
        <v>0.09</v>
      </c>
      <c r="C73" s="13">
        <f t="shared" si="67"/>
        <v>0</v>
      </c>
      <c r="D73" s="64">
        <v>0.09</v>
      </c>
      <c r="E73" s="13">
        <f t="shared" si="68"/>
        <v>0</v>
      </c>
      <c r="F73" s="80">
        <v>0.09</v>
      </c>
      <c r="G73" s="13">
        <f t="shared" si="69"/>
        <v>0</v>
      </c>
      <c r="H73" s="80">
        <v>0.09</v>
      </c>
      <c r="I73" s="13">
        <f t="shared" si="70"/>
        <v>0</v>
      </c>
      <c r="J73" s="80">
        <v>0.09</v>
      </c>
      <c r="K73" s="13">
        <f t="shared" si="71"/>
        <v>0</v>
      </c>
      <c r="L73" s="80">
        <v>0.09</v>
      </c>
      <c r="M73" s="13">
        <f t="shared" si="72"/>
        <v>-0.1111111111</v>
      </c>
      <c r="N73" s="80">
        <v>0.08</v>
      </c>
      <c r="O73" s="13">
        <f t="shared" si="73"/>
        <v>0</v>
      </c>
      <c r="P73" s="80">
        <v>0.08</v>
      </c>
      <c r="Q73" s="13">
        <f t="shared" si="74"/>
        <v>0</v>
      </c>
      <c r="R73" s="80">
        <v>0.08</v>
      </c>
      <c r="S73" s="13">
        <f t="shared" si="75"/>
        <v>0</v>
      </c>
      <c r="T73" s="80">
        <v>0.08</v>
      </c>
      <c r="U73" s="13">
        <f t="shared" si="76"/>
        <v>0</v>
      </c>
      <c r="V73" s="80">
        <v>0.08</v>
      </c>
      <c r="W73" s="13">
        <f t="shared" si="77"/>
        <v>0</v>
      </c>
      <c r="X73" s="80">
        <v>0.08</v>
      </c>
      <c r="Y73" s="13"/>
    </row>
    <row r="74">
      <c r="A74" s="4" t="s">
        <v>107</v>
      </c>
      <c r="B74" s="64">
        <v>0.04</v>
      </c>
      <c r="C74" s="13">
        <f t="shared" si="67"/>
        <v>0</v>
      </c>
      <c r="D74" s="64">
        <v>0.04</v>
      </c>
      <c r="E74" s="13">
        <f t="shared" si="68"/>
        <v>0</v>
      </c>
      <c r="F74" s="80">
        <v>0.04</v>
      </c>
      <c r="G74" s="13">
        <f t="shared" si="69"/>
        <v>0</v>
      </c>
      <c r="H74" s="80">
        <v>0.04</v>
      </c>
      <c r="I74" s="13">
        <f t="shared" si="70"/>
        <v>0</v>
      </c>
      <c r="J74" s="80">
        <v>0.04</v>
      </c>
      <c r="K74" s="13">
        <f t="shared" si="71"/>
        <v>0</v>
      </c>
      <c r="L74" s="80">
        <v>0.04</v>
      </c>
      <c r="M74" s="13">
        <f t="shared" si="72"/>
        <v>-0.25</v>
      </c>
      <c r="N74" s="80">
        <v>0.03</v>
      </c>
      <c r="O74" s="13">
        <f t="shared" si="73"/>
        <v>0</v>
      </c>
      <c r="P74" s="80">
        <v>0.03</v>
      </c>
      <c r="Q74" s="13">
        <f t="shared" si="74"/>
        <v>0</v>
      </c>
      <c r="R74" s="80">
        <v>0.03</v>
      </c>
      <c r="S74" s="13">
        <f t="shared" si="75"/>
        <v>0</v>
      </c>
      <c r="T74" s="80">
        <v>0.03</v>
      </c>
      <c r="U74" s="13">
        <f t="shared" si="76"/>
        <v>0</v>
      </c>
      <c r="V74" s="80">
        <v>0.03</v>
      </c>
      <c r="W74" s="13">
        <f t="shared" si="77"/>
        <v>0</v>
      </c>
      <c r="X74" s="80">
        <v>0.03</v>
      </c>
      <c r="Y74" s="13"/>
    </row>
    <row r="75">
      <c r="A75" s="65" t="s">
        <v>101</v>
      </c>
      <c r="B75" s="81">
        <v>0.26</v>
      </c>
      <c r="C75" s="68">
        <f t="shared" si="67"/>
        <v>0</v>
      </c>
      <c r="D75" s="81">
        <v>0.26</v>
      </c>
      <c r="E75" s="68">
        <f t="shared" si="68"/>
        <v>0</v>
      </c>
      <c r="F75" s="82">
        <v>0.26</v>
      </c>
      <c r="G75" s="68">
        <f t="shared" si="69"/>
        <v>0</v>
      </c>
      <c r="H75" s="82">
        <v>0.26</v>
      </c>
      <c r="I75" s="68">
        <f t="shared" si="70"/>
        <v>0</v>
      </c>
      <c r="J75" s="82">
        <v>0.26</v>
      </c>
      <c r="K75" s="68">
        <f t="shared" si="71"/>
        <v>0.03846153846</v>
      </c>
      <c r="L75" s="82">
        <v>0.27</v>
      </c>
      <c r="M75" s="68">
        <f t="shared" si="72"/>
        <v>0.1111111111</v>
      </c>
      <c r="N75" s="82">
        <v>0.3</v>
      </c>
      <c r="O75" s="68">
        <f t="shared" si="73"/>
        <v>0</v>
      </c>
      <c r="P75" s="82">
        <v>0.3</v>
      </c>
      <c r="Q75" s="68">
        <f t="shared" si="74"/>
        <v>0</v>
      </c>
      <c r="R75" s="82">
        <v>0.3</v>
      </c>
      <c r="S75" s="68">
        <f t="shared" si="75"/>
        <v>0</v>
      </c>
      <c r="T75" s="82">
        <v>0.3</v>
      </c>
      <c r="U75" s="68">
        <f t="shared" si="76"/>
        <v>0</v>
      </c>
      <c r="V75" s="82">
        <v>0.3</v>
      </c>
      <c r="W75" s="68">
        <f t="shared" si="77"/>
        <v>0</v>
      </c>
      <c r="X75" s="82">
        <v>0.3</v>
      </c>
      <c r="Y75" s="13"/>
    </row>
    <row r="76">
      <c r="A76" s="65" t="s">
        <v>102</v>
      </c>
      <c r="B76" s="81">
        <f>(1-B75)</f>
        <v>0.74</v>
      </c>
      <c r="C76" s="68">
        <f t="shared" si="67"/>
        <v>0</v>
      </c>
      <c r="D76" s="81">
        <f>(1-D75)</f>
        <v>0.74</v>
      </c>
      <c r="E76" s="68">
        <f t="shared" si="68"/>
        <v>0</v>
      </c>
      <c r="F76" s="81">
        <f>(1-F75)</f>
        <v>0.74</v>
      </c>
      <c r="G76" s="68">
        <f t="shared" si="69"/>
        <v>0</v>
      </c>
      <c r="H76" s="81">
        <f>(1-H75)</f>
        <v>0.74</v>
      </c>
      <c r="I76" s="68">
        <f t="shared" si="70"/>
        <v>0</v>
      </c>
      <c r="J76" s="81">
        <f>(1-J75)</f>
        <v>0.74</v>
      </c>
      <c r="K76" s="68">
        <f t="shared" si="71"/>
        <v>-0.01351351351</v>
      </c>
      <c r="L76" s="81">
        <f>(1-L75)</f>
        <v>0.73</v>
      </c>
      <c r="M76" s="68">
        <f t="shared" si="72"/>
        <v>-0.04109589041</v>
      </c>
      <c r="N76" s="81">
        <f>(1-N75)</f>
        <v>0.7</v>
      </c>
      <c r="O76" s="68">
        <f t="shared" si="73"/>
        <v>0</v>
      </c>
      <c r="P76" s="81">
        <f>(1-P75)</f>
        <v>0.7</v>
      </c>
      <c r="Q76" s="68">
        <f t="shared" si="74"/>
        <v>0</v>
      </c>
      <c r="R76" s="81">
        <f>(1-R75)</f>
        <v>0.7</v>
      </c>
      <c r="S76" s="68">
        <f t="shared" si="75"/>
        <v>0</v>
      </c>
      <c r="T76" s="81">
        <f>(1-T75)</f>
        <v>0.7</v>
      </c>
      <c r="U76" s="68">
        <f t="shared" si="76"/>
        <v>0</v>
      </c>
      <c r="V76" s="81">
        <f>(1-V75)</f>
        <v>0.7</v>
      </c>
      <c r="W76" s="68">
        <f t="shared" si="77"/>
        <v>0</v>
      </c>
      <c r="X76" s="81">
        <f>(1-X75)</f>
        <v>0.7</v>
      </c>
      <c r="Y76" s="13"/>
    </row>
    <row r="77">
      <c r="A77" s="4" t="s">
        <v>111</v>
      </c>
      <c r="B77" s="64">
        <v>0.13</v>
      </c>
      <c r="C77" s="13">
        <f t="shared" si="67"/>
        <v>0</v>
      </c>
      <c r="D77" s="64">
        <v>0.13</v>
      </c>
      <c r="E77" s="13">
        <f t="shared" si="68"/>
        <v>0</v>
      </c>
      <c r="F77" s="80">
        <v>0.13</v>
      </c>
      <c r="G77" s="13">
        <f t="shared" si="69"/>
        <v>0</v>
      </c>
      <c r="H77" s="80">
        <v>0.13</v>
      </c>
      <c r="I77" s="13">
        <f t="shared" si="70"/>
        <v>0</v>
      </c>
      <c r="J77" s="80">
        <v>0.13</v>
      </c>
      <c r="K77" s="13">
        <f t="shared" si="71"/>
        <v>-0.07692307692</v>
      </c>
      <c r="L77" s="80">
        <v>0.12</v>
      </c>
      <c r="M77" s="13">
        <f t="shared" si="72"/>
        <v>-0.08333333333</v>
      </c>
      <c r="N77" s="80">
        <v>0.11</v>
      </c>
      <c r="O77" s="13">
        <f t="shared" si="73"/>
        <v>0</v>
      </c>
      <c r="P77" s="80">
        <v>0.11</v>
      </c>
      <c r="Q77" s="13">
        <f t="shared" si="74"/>
        <v>0</v>
      </c>
      <c r="R77" s="80">
        <v>0.11</v>
      </c>
      <c r="S77" s="13">
        <f t="shared" si="75"/>
        <v>0</v>
      </c>
      <c r="T77" s="80">
        <v>0.11</v>
      </c>
      <c r="U77" s="13">
        <f t="shared" si="76"/>
        <v>0</v>
      </c>
      <c r="V77" s="80">
        <v>0.11</v>
      </c>
      <c r="W77" s="13">
        <f t="shared" si="77"/>
        <v>0</v>
      </c>
      <c r="X77" s="80">
        <v>0.11</v>
      </c>
      <c r="Y77" s="13"/>
    </row>
    <row r="78">
      <c r="A78" s="4" t="s">
        <v>106</v>
      </c>
      <c r="B78" s="64">
        <v>0.86</v>
      </c>
      <c r="C78" s="13">
        <f t="shared" si="67"/>
        <v>0.01162790698</v>
      </c>
      <c r="D78" s="64">
        <v>0.87</v>
      </c>
      <c r="E78" s="13">
        <f t="shared" si="68"/>
        <v>0</v>
      </c>
      <c r="F78" s="80">
        <v>0.87</v>
      </c>
      <c r="G78" s="13">
        <f t="shared" si="69"/>
        <v>0</v>
      </c>
      <c r="H78" s="80">
        <v>0.87</v>
      </c>
      <c r="I78" s="13">
        <f t="shared" si="70"/>
        <v>0</v>
      </c>
      <c r="J78" s="80">
        <v>0.87</v>
      </c>
      <c r="K78" s="13">
        <f t="shared" si="71"/>
        <v>0.01149425287</v>
      </c>
      <c r="L78" s="80">
        <v>0.88</v>
      </c>
      <c r="M78" s="13">
        <f t="shared" si="72"/>
        <v>0</v>
      </c>
      <c r="N78" s="80">
        <v>0.88</v>
      </c>
      <c r="O78" s="13">
        <f t="shared" si="73"/>
        <v>0</v>
      </c>
      <c r="P78" s="80">
        <v>0.88</v>
      </c>
      <c r="Q78" s="13">
        <f t="shared" si="74"/>
        <v>0</v>
      </c>
      <c r="R78" s="80">
        <v>0.88</v>
      </c>
      <c r="S78" s="13">
        <f t="shared" si="75"/>
        <v>0</v>
      </c>
      <c r="T78" s="80">
        <v>0.88</v>
      </c>
      <c r="U78" s="13">
        <f t="shared" si="76"/>
        <v>0</v>
      </c>
      <c r="V78" s="80">
        <v>0.88</v>
      </c>
      <c r="W78" s="13">
        <f t="shared" si="77"/>
        <v>0</v>
      </c>
      <c r="X78" s="80">
        <v>0.88</v>
      </c>
      <c r="Y78" s="13"/>
    </row>
    <row r="79">
      <c r="A79" s="4" t="s">
        <v>115</v>
      </c>
      <c r="B79" s="64">
        <v>0.01</v>
      </c>
      <c r="C79" s="13">
        <f t="shared" si="67"/>
        <v>-1</v>
      </c>
      <c r="D79" s="64">
        <v>0.0</v>
      </c>
      <c r="E79" s="13">
        <f t="shared" si="68"/>
        <v>0</v>
      </c>
      <c r="F79" s="80">
        <v>0.0</v>
      </c>
      <c r="G79" s="13">
        <f t="shared" si="69"/>
        <v>0</v>
      </c>
      <c r="H79" s="80">
        <v>0.0</v>
      </c>
      <c r="I79" s="13">
        <f t="shared" si="70"/>
        <v>0</v>
      </c>
      <c r="J79" s="80">
        <v>0.0</v>
      </c>
      <c r="K79" s="13">
        <f t="shared" si="71"/>
        <v>0</v>
      </c>
      <c r="L79" s="80">
        <v>0.0</v>
      </c>
      <c r="M79" s="13">
        <f t="shared" si="72"/>
        <v>0</v>
      </c>
      <c r="N79" s="80">
        <v>0.0</v>
      </c>
      <c r="O79" s="13">
        <f t="shared" si="73"/>
        <v>0</v>
      </c>
      <c r="P79" s="80">
        <v>0.0</v>
      </c>
      <c r="Q79" s="13">
        <f t="shared" si="74"/>
        <v>0</v>
      </c>
      <c r="R79" s="80">
        <v>0.0</v>
      </c>
      <c r="S79" s="13">
        <f t="shared" si="75"/>
        <v>0</v>
      </c>
      <c r="T79" s="80">
        <v>0.0</v>
      </c>
      <c r="U79" s="13">
        <f t="shared" si="76"/>
        <v>0</v>
      </c>
      <c r="V79" s="80">
        <v>0.0</v>
      </c>
      <c r="W79" s="13">
        <f t="shared" si="77"/>
        <v>0</v>
      </c>
      <c r="X79" s="80">
        <v>0.0</v>
      </c>
      <c r="Y79" s="13"/>
    </row>
    <row r="80">
      <c r="A80" s="65" t="s">
        <v>118</v>
      </c>
      <c r="B80" s="81">
        <v>0.25</v>
      </c>
      <c r="C80" s="68">
        <f t="shared" si="67"/>
        <v>0.04</v>
      </c>
      <c r="D80" s="81">
        <v>0.26</v>
      </c>
      <c r="E80" s="68">
        <f t="shared" si="68"/>
        <v>-0.03846153846</v>
      </c>
      <c r="F80" s="81">
        <v>0.25</v>
      </c>
      <c r="G80" s="68">
        <f t="shared" si="69"/>
        <v>-0.04</v>
      </c>
      <c r="H80" s="81">
        <v>0.24</v>
      </c>
      <c r="I80" s="68">
        <f t="shared" si="70"/>
        <v>0.08333333333</v>
      </c>
      <c r="J80" s="81">
        <v>0.26</v>
      </c>
      <c r="K80" s="68">
        <f t="shared" si="71"/>
        <v>0.07692307692</v>
      </c>
      <c r="L80" s="81">
        <v>0.28</v>
      </c>
      <c r="M80" s="68">
        <f t="shared" si="72"/>
        <v>0.1428571429</v>
      </c>
      <c r="N80" s="81">
        <v>0.32</v>
      </c>
      <c r="O80" s="68">
        <f t="shared" si="73"/>
        <v>0</v>
      </c>
      <c r="P80" s="81">
        <v>0.32</v>
      </c>
      <c r="Q80" s="68">
        <f t="shared" si="74"/>
        <v>0</v>
      </c>
      <c r="R80" s="81">
        <v>0.32</v>
      </c>
      <c r="S80" s="68">
        <f t="shared" si="75"/>
        <v>0</v>
      </c>
      <c r="T80" s="81">
        <v>0.32</v>
      </c>
      <c r="U80" s="68">
        <f t="shared" si="76"/>
        <v>0</v>
      </c>
      <c r="V80" s="81">
        <v>0.32</v>
      </c>
      <c r="W80" s="68">
        <f t="shared" si="77"/>
        <v>0</v>
      </c>
      <c r="X80" s="81">
        <v>0.32</v>
      </c>
      <c r="Y80" s="13"/>
      <c r="Z80" s="83"/>
    </row>
    <row r="81">
      <c r="A81" s="65" t="s">
        <v>109</v>
      </c>
      <c r="B81" s="81">
        <v>0.21</v>
      </c>
      <c r="C81" s="68">
        <f t="shared" si="67"/>
        <v>0</v>
      </c>
      <c r="D81" s="81">
        <v>0.21</v>
      </c>
      <c r="E81" s="68">
        <f t="shared" si="68"/>
        <v>-0.04761904762</v>
      </c>
      <c r="F81" s="81">
        <v>0.2</v>
      </c>
      <c r="G81" s="68">
        <f t="shared" si="69"/>
        <v>0.15</v>
      </c>
      <c r="H81" s="81">
        <v>0.23</v>
      </c>
      <c r="I81" s="68">
        <f t="shared" si="70"/>
        <v>-0.1304347826</v>
      </c>
      <c r="J81" s="81">
        <v>0.2</v>
      </c>
      <c r="K81" s="68">
        <f t="shared" si="71"/>
        <v>-0.15</v>
      </c>
      <c r="L81" s="81">
        <v>0.17</v>
      </c>
      <c r="M81" s="68">
        <f t="shared" si="72"/>
        <v>-0.1176470588</v>
      </c>
      <c r="N81" s="81">
        <v>0.15</v>
      </c>
      <c r="O81" s="68">
        <f t="shared" si="73"/>
        <v>0</v>
      </c>
      <c r="P81" s="81">
        <v>0.15</v>
      </c>
      <c r="Q81" s="68">
        <f t="shared" si="74"/>
        <v>0</v>
      </c>
      <c r="R81" s="81">
        <v>0.15</v>
      </c>
      <c r="S81" s="68">
        <f t="shared" si="75"/>
        <v>0</v>
      </c>
      <c r="T81" s="81">
        <v>0.15</v>
      </c>
      <c r="U81" s="68">
        <f t="shared" si="76"/>
        <v>0</v>
      </c>
      <c r="V81" s="81">
        <v>0.15</v>
      </c>
      <c r="W81" s="68">
        <f t="shared" si="77"/>
        <v>0</v>
      </c>
      <c r="X81" s="81">
        <v>0.15</v>
      </c>
      <c r="Y81" s="13"/>
      <c r="Z81" s="83"/>
    </row>
    <row r="82">
      <c r="A82" s="65" t="s">
        <v>120</v>
      </c>
      <c r="B82" s="81">
        <v>0.12</v>
      </c>
      <c r="C82" s="68">
        <f t="shared" si="67"/>
        <v>0</v>
      </c>
      <c r="D82" s="81">
        <v>0.12</v>
      </c>
      <c r="E82" s="68">
        <f t="shared" si="68"/>
        <v>0</v>
      </c>
      <c r="F82" s="81">
        <v>0.12</v>
      </c>
      <c r="G82" s="68">
        <f t="shared" si="69"/>
        <v>0</v>
      </c>
      <c r="H82" s="81">
        <v>0.12</v>
      </c>
      <c r="I82" s="68">
        <f t="shared" si="70"/>
        <v>0</v>
      </c>
      <c r="J82" s="81">
        <v>0.12</v>
      </c>
      <c r="K82" s="68">
        <f t="shared" si="71"/>
        <v>0</v>
      </c>
      <c r="L82" s="81">
        <v>0.12</v>
      </c>
      <c r="M82" s="68">
        <f t="shared" si="72"/>
        <v>-0.08333333333</v>
      </c>
      <c r="N82" s="81">
        <v>0.11</v>
      </c>
      <c r="O82" s="68">
        <f t="shared" si="73"/>
        <v>0</v>
      </c>
      <c r="P82" s="81">
        <v>0.11</v>
      </c>
      <c r="Q82" s="68">
        <f t="shared" si="74"/>
        <v>0</v>
      </c>
      <c r="R82" s="81">
        <v>0.11</v>
      </c>
      <c r="S82" s="68">
        <f t="shared" si="75"/>
        <v>0</v>
      </c>
      <c r="T82" s="81">
        <v>0.11</v>
      </c>
      <c r="U82" s="68">
        <f t="shared" si="76"/>
        <v>0</v>
      </c>
      <c r="V82" s="81">
        <v>0.11</v>
      </c>
      <c r="W82" s="68">
        <f t="shared" si="77"/>
        <v>0</v>
      </c>
      <c r="X82" s="81">
        <v>0.11</v>
      </c>
      <c r="Y82" s="13"/>
      <c r="Z82" s="22"/>
    </row>
    <row r="83">
      <c r="A83" s="65" t="s">
        <v>127</v>
      </c>
      <c r="B83" s="81">
        <v>0.07</v>
      </c>
      <c r="C83" s="68">
        <f t="shared" si="67"/>
        <v>0</v>
      </c>
      <c r="D83" s="81">
        <v>0.07</v>
      </c>
      <c r="E83" s="68">
        <f t="shared" si="68"/>
        <v>0</v>
      </c>
      <c r="F83" s="81">
        <v>0.07</v>
      </c>
      <c r="G83" s="68">
        <f t="shared" si="69"/>
        <v>0</v>
      </c>
      <c r="H83" s="81">
        <v>0.07</v>
      </c>
      <c r="I83" s="68">
        <f t="shared" si="70"/>
        <v>0</v>
      </c>
      <c r="J83" s="81">
        <v>0.07</v>
      </c>
      <c r="K83" s="68">
        <f t="shared" si="71"/>
        <v>-0.1428571429</v>
      </c>
      <c r="L83" s="81">
        <v>0.06</v>
      </c>
      <c r="M83" s="68">
        <f t="shared" si="72"/>
        <v>0</v>
      </c>
      <c r="N83" s="81">
        <v>0.06</v>
      </c>
      <c r="O83" s="68">
        <f t="shared" si="73"/>
        <v>0</v>
      </c>
      <c r="P83" s="81">
        <v>0.06</v>
      </c>
      <c r="Q83" s="68">
        <f t="shared" si="74"/>
        <v>0</v>
      </c>
      <c r="R83" s="81">
        <v>0.06</v>
      </c>
      <c r="S83" s="68">
        <f t="shared" si="75"/>
        <v>0</v>
      </c>
      <c r="T83" s="81">
        <v>0.06</v>
      </c>
      <c r="U83" s="68">
        <f t="shared" si="76"/>
        <v>0</v>
      </c>
      <c r="V83" s="81">
        <v>0.06</v>
      </c>
      <c r="W83" s="68">
        <f t="shared" si="77"/>
        <v>0</v>
      </c>
      <c r="X83" s="81">
        <v>0.06</v>
      </c>
    </row>
    <row r="84">
      <c r="A84" s="65" t="s">
        <v>130</v>
      </c>
      <c r="B84" s="81">
        <v>0.04</v>
      </c>
      <c r="C84" s="68">
        <f t="shared" si="67"/>
        <v>0</v>
      </c>
      <c r="D84" s="81">
        <v>0.04</v>
      </c>
      <c r="E84" s="68">
        <f t="shared" si="68"/>
        <v>0.25</v>
      </c>
      <c r="F84" s="81">
        <v>0.05</v>
      </c>
      <c r="G84" s="68">
        <f t="shared" si="69"/>
        <v>0</v>
      </c>
      <c r="H84" s="81">
        <v>0.05</v>
      </c>
      <c r="I84" s="68">
        <f t="shared" si="70"/>
        <v>0</v>
      </c>
      <c r="J84" s="81">
        <v>0.05</v>
      </c>
      <c r="K84" s="68">
        <f t="shared" si="71"/>
        <v>-0.2</v>
      </c>
      <c r="L84" s="81">
        <v>0.04</v>
      </c>
      <c r="M84" s="68">
        <f t="shared" si="72"/>
        <v>0</v>
      </c>
      <c r="N84" s="81">
        <v>0.04</v>
      </c>
      <c r="O84" s="68">
        <f t="shared" si="73"/>
        <v>0</v>
      </c>
      <c r="P84" s="81">
        <v>0.04</v>
      </c>
      <c r="Q84" s="68">
        <f t="shared" si="74"/>
        <v>0</v>
      </c>
      <c r="R84" s="81">
        <v>0.04</v>
      </c>
      <c r="S84" s="68">
        <f t="shared" si="75"/>
        <v>0</v>
      </c>
      <c r="T84" s="81">
        <v>0.04</v>
      </c>
      <c r="U84" s="68">
        <f t="shared" si="76"/>
        <v>0</v>
      </c>
      <c r="V84" s="81">
        <v>0.04</v>
      </c>
      <c r="W84" s="68">
        <f t="shared" si="77"/>
        <v>0</v>
      </c>
      <c r="X84" s="81">
        <v>0.04</v>
      </c>
    </row>
    <row r="85">
      <c r="A85" s="65" t="s">
        <v>136</v>
      </c>
      <c r="B85" s="81">
        <v>0.04</v>
      </c>
      <c r="C85" s="68">
        <f t="shared" si="67"/>
        <v>0</v>
      </c>
      <c r="D85" s="81">
        <v>0.04</v>
      </c>
      <c r="E85" s="68">
        <f t="shared" si="68"/>
        <v>0</v>
      </c>
      <c r="F85" s="81">
        <v>0.04</v>
      </c>
      <c r="G85" s="68">
        <f t="shared" si="69"/>
        <v>0</v>
      </c>
      <c r="H85" s="81">
        <v>0.04</v>
      </c>
      <c r="I85" s="68">
        <f t="shared" si="70"/>
        <v>0</v>
      </c>
      <c r="J85" s="81">
        <v>0.04</v>
      </c>
      <c r="K85" s="68">
        <f t="shared" si="71"/>
        <v>0</v>
      </c>
      <c r="L85" s="81">
        <v>0.04</v>
      </c>
      <c r="M85" s="68">
        <f t="shared" si="72"/>
        <v>0</v>
      </c>
      <c r="N85" s="81">
        <v>0.04</v>
      </c>
      <c r="O85" s="68">
        <f t="shared" si="73"/>
        <v>0</v>
      </c>
      <c r="P85" s="81">
        <v>0.04</v>
      </c>
      <c r="Q85" s="68">
        <f t="shared" si="74"/>
        <v>0</v>
      </c>
      <c r="R85" s="81">
        <v>0.04</v>
      </c>
      <c r="S85" s="68">
        <f t="shared" si="75"/>
        <v>0</v>
      </c>
      <c r="T85" s="81">
        <v>0.04</v>
      </c>
      <c r="U85" s="68">
        <f t="shared" si="76"/>
        <v>0</v>
      </c>
      <c r="V85" s="81">
        <v>0.04</v>
      </c>
      <c r="W85" s="68">
        <f t="shared" si="77"/>
        <v>0</v>
      </c>
      <c r="X85" s="81">
        <v>0.04</v>
      </c>
    </row>
    <row r="86">
      <c r="A86" s="65" t="s">
        <v>115</v>
      </c>
      <c r="B86" s="81">
        <v>0.26</v>
      </c>
      <c r="C86" s="68">
        <f t="shared" si="67"/>
        <v>-0.03846153846</v>
      </c>
      <c r="D86" s="81">
        <v>0.25</v>
      </c>
      <c r="E86" s="68">
        <f t="shared" si="68"/>
        <v>0.08</v>
      </c>
      <c r="F86" s="81">
        <v>0.27</v>
      </c>
      <c r="G86" s="68">
        <f t="shared" si="69"/>
        <v>-0.03703703704</v>
      </c>
      <c r="H86" s="81">
        <v>0.26</v>
      </c>
      <c r="I86" s="68">
        <f t="shared" si="70"/>
        <v>0.03846153846</v>
      </c>
      <c r="J86" s="81">
        <v>0.27</v>
      </c>
      <c r="K86" s="68">
        <f t="shared" si="71"/>
        <v>0.03703703704</v>
      </c>
      <c r="L86" s="81">
        <v>0.28</v>
      </c>
      <c r="M86" s="68">
        <f t="shared" si="72"/>
        <v>-0.03571428571</v>
      </c>
      <c r="N86" s="81">
        <v>0.27</v>
      </c>
      <c r="O86" s="68">
        <f t="shared" si="73"/>
        <v>0</v>
      </c>
      <c r="P86" s="81">
        <v>0.27</v>
      </c>
      <c r="Q86" s="68">
        <f t="shared" si="74"/>
        <v>0</v>
      </c>
      <c r="R86" s="81">
        <v>0.27</v>
      </c>
      <c r="S86" s="68">
        <f t="shared" si="75"/>
        <v>0</v>
      </c>
      <c r="T86" s="81">
        <v>0.27</v>
      </c>
      <c r="U86" s="68">
        <f t="shared" si="76"/>
        <v>0</v>
      </c>
      <c r="V86" s="81">
        <v>0.27</v>
      </c>
      <c r="W86" s="68">
        <f t="shared" si="77"/>
        <v>0</v>
      </c>
      <c r="X86" s="81">
        <v>0.27</v>
      </c>
    </row>
    <row r="87">
      <c r="A87" s="4" t="s">
        <v>113</v>
      </c>
      <c r="B87" s="75">
        <v>157.55</v>
      </c>
      <c r="C87" s="13">
        <f t="shared" si="67"/>
        <v>-0.0003173595684</v>
      </c>
      <c r="D87" s="75">
        <v>157.5</v>
      </c>
      <c r="E87" s="13">
        <f t="shared" si="68"/>
        <v>0.009333333333</v>
      </c>
      <c r="F87" s="75">
        <v>158.97</v>
      </c>
      <c r="G87" s="13">
        <f t="shared" si="69"/>
        <v>-0.01780210103</v>
      </c>
      <c r="H87" s="75">
        <v>156.14</v>
      </c>
      <c r="I87" s="13">
        <f t="shared" si="70"/>
        <v>0.001665172281</v>
      </c>
      <c r="J87" s="75">
        <v>156.4</v>
      </c>
      <c r="K87" s="13">
        <f t="shared" si="71"/>
        <v>-0.004411764706</v>
      </c>
      <c r="L87" s="75">
        <v>155.71</v>
      </c>
      <c r="M87" s="13">
        <f t="shared" si="72"/>
        <v>-0.0334596365</v>
      </c>
      <c r="N87" s="83">
        <v>150.5</v>
      </c>
      <c r="O87" s="13">
        <f t="shared" si="73"/>
        <v>-0.02046511628</v>
      </c>
      <c r="P87" s="75">
        <v>147.42</v>
      </c>
      <c r="Q87" s="13">
        <f t="shared" si="74"/>
        <v>0.02089268756</v>
      </c>
      <c r="R87" s="83">
        <v>150.5</v>
      </c>
      <c r="S87" s="13">
        <f t="shared" si="75"/>
        <v>0</v>
      </c>
      <c r="T87" s="83">
        <v>150.5</v>
      </c>
      <c r="U87" s="13">
        <f t="shared" si="76"/>
        <v>0</v>
      </c>
      <c r="V87" s="83">
        <v>150.5</v>
      </c>
      <c r="W87" s="13">
        <f t="shared" si="77"/>
        <v>0</v>
      </c>
      <c r="X87" s="83">
        <v>150.5</v>
      </c>
    </row>
    <row r="88">
      <c r="A88" s="4" t="s">
        <v>116</v>
      </c>
      <c r="B88" s="75">
        <v>166.58</v>
      </c>
      <c r="C88" s="13">
        <f t="shared" si="67"/>
        <v>-0.001020530676</v>
      </c>
      <c r="D88" s="75">
        <v>166.41</v>
      </c>
      <c r="E88" s="13">
        <f t="shared" si="68"/>
        <v>-0.004026200349</v>
      </c>
      <c r="F88" s="75">
        <v>165.74</v>
      </c>
      <c r="G88" s="13">
        <f t="shared" si="69"/>
        <v>-0.0001810063956</v>
      </c>
      <c r="H88" s="75">
        <v>165.71</v>
      </c>
      <c r="I88" s="13">
        <f t="shared" si="70"/>
        <v>0.004707018285</v>
      </c>
      <c r="J88" s="75">
        <v>166.49</v>
      </c>
      <c r="K88" s="13">
        <f t="shared" si="71"/>
        <v>-0.002943119707</v>
      </c>
      <c r="L88" s="75">
        <v>166.0</v>
      </c>
      <c r="M88" s="13">
        <f t="shared" si="72"/>
        <v>0.005421686747</v>
      </c>
      <c r="N88" s="83">
        <v>166.9</v>
      </c>
      <c r="O88" s="13">
        <f t="shared" si="73"/>
        <v>-0.002816057519</v>
      </c>
      <c r="P88" s="75">
        <v>166.43</v>
      </c>
      <c r="Q88" s="13">
        <f t="shared" si="74"/>
        <v>0.002824010094</v>
      </c>
      <c r="R88" s="83">
        <v>166.9</v>
      </c>
      <c r="S88" s="13">
        <f t="shared" si="75"/>
        <v>0</v>
      </c>
      <c r="T88" s="83">
        <v>166.9</v>
      </c>
      <c r="U88" s="13">
        <f t="shared" si="76"/>
        <v>0</v>
      </c>
      <c r="V88" s="83">
        <v>166.9</v>
      </c>
      <c r="W88" s="13">
        <f t="shared" si="77"/>
        <v>0</v>
      </c>
      <c r="X88" s="83">
        <v>166.9</v>
      </c>
    </row>
    <row r="89">
      <c r="A89" s="4" t="s">
        <v>119</v>
      </c>
      <c r="B89" s="24">
        <f>B87/B88</f>
        <v>0.9457918117</v>
      </c>
      <c r="C89" s="13">
        <f t="shared" si="67"/>
        <v>0.0007038894483</v>
      </c>
      <c r="D89" s="24">
        <f>D87/D88</f>
        <v>0.9464575446</v>
      </c>
      <c r="E89" s="13">
        <f t="shared" si="68"/>
        <v>0.01341353928</v>
      </c>
      <c r="F89" s="22">
        <f>F87/F88</f>
        <v>0.9591528901</v>
      </c>
      <c r="G89" s="13">
        <f t="shared" si="69"/>
        <v>-0.01762428474</v>
      </c>
      <c r="H89" s="22">
        <f>H87/H88</f>
        <v>0.9422485064</v>
      </c>
      <c r="I89" s="13">
        <f t="shared" si="70"/>
        <v>-0.003027595058</v>
      </c>
      <c r="J89" s="22">
        <f>J87/J88</f>
        <v>0.9393957595</v>
      </c>
      <c r="K89" s="13">
        <f t="shared" si="71"/>
        <v>-0.001472980156</v>
      </c>
      <c r="L89" s="22">
        <f>L87/L88</f>
        <v>0.9380120482</v>
      </c>
      <c r="M89" s="13">
        <f t="shared" si="72"/>
        <v>-0.03867165764</v>
      </c>
      <c r="N89" s="22">
        <f>N87/N88</f>
        <v>0.9017375674</v>
      </c>
      <c r="O89" s="13">
        <f t="shared" si="73"/>
        <v>-0.01769889988</v>
      </c>
      <c r="P89" s="22">
        <f>P87/P88</f>
        <v>0.8857778045</v>
      </c>
      <c r="Q89" s="13">
        <f t="shared" si="74"/>
        <v>0.01801779503</v>
      </c>
      <c r="R89" s="22">
        <f>R87/R88</f>
        <v>0.9017375674</v>
      </c>
      <c r="S89" s="13">
        <f t="shared" si="75"/>
        <v>0</v>
      </c>
      <c r="T89" s="22">
        <f>T87/T88</f>
        <v>0.9017375674</v>
      </c>
      <c r="U89" s="13">
        <f t="shared" si="76"/>
        <v>0</v>
      </c>
      <c r="V89" s="22">
        <f>V87/V88</f>
        <v>0.9017375674</v>
      </c>
      <c r="W89" s="13">
        <f t="shared" si="77"/>
        <v>0</v>
      </c>
      <c r="X89" s="22">
        <f>X87/X88</f>
        <v>0.9017375674</v>
      </c>
    </row>
    <row r="90">
      <c r="A90" s="4" t="s">
        <v>121</v>
      </c>
      <c r="B90" s="4" t="s">
        <v>140</v>
      </c>
      <c r="D90" s="64"/>
    </row>
    <row r="91">
      <c r="A91" s="5" t="s">
        <v>123</v>
      </c>
      <c r="B91" s="64">
        <v>0.006</v>
      </c>
    </row>
    <row r="92">
      <c r="A92" s="4" t="s">
        <v>125</v>
      </c>
      <c r="B92" s="64">
        <v>0.0</v>
      </c>
    </row>
    <row r="93" ht="22.5" customHeight="1">
      <c r="A93" s="4" t="s">
        <v>126</v>
      </c>
      <c r="B93" s="83">
        <f>SUM(B25,D25,F25,H25,J25,L25,N25,P25,R25,T25,V25,X25)</f>
        <v>697319892</v>
      </c>
      <c r="D93" s="85" t="s">
        <v>128</v>
      </c>
      <c r="E93" s="85" t="s">
        <v>113</v>
      </c>
      <c r="F93" s="85" t="s">
        <v>116</v>
      </c>
      <c r="G93" s="85" t="s">
        <v>119</v>
      </c>
      <c r="H93" s="86" t="s">
        <v>129</v>
      </c>
      <c r="I93" s="87" t="s">
        <v>131</v>
      </c>
      <c r="J93" s="87" t="s">
        <v>132</v>
      </c>
      <c r="K93" s="87" t="s">
        <v>133</v>
      </c>
      <c r="L93" s="87" t="s">
        <v>134</v>
      </c>
    </row>
    <row r="94" ht="22.5" customHeight="1">
      <c r="A94" s="4" t="s">
        <v>135</v>
      </c>
      <c r="B94" s="83">
        <f>SUM(B51,D51,F51,H51,J51,L51,N51,P51,R51,T51,V51,X51)</f>
        <v>39246265</v>
      </c>
      <c r="D94" s="88" t="s">
        <v>143</v>
      </c>
      <c r="E94" s="91">
        <f t="array" ref="E94">IFERROR(INDEX(FCD[], MATCH(D94, FCD[FIIs], 0), MATCH(FCD[[#HEADERS],[V/Mercado]], FCD[#HEADERS], 0)),"")</f>
        <v>97.28</v>
      </c>
      <c r="F94" s="91">
        <f t="array" ref="F94">IFERROR(INDEX(Indicador_Fii[], MATCH(D94, Indicador_Fii[Fii], 0), MATCH(Indicador_Fii[[#HEADERS],[VP/Cota]], Indicador_Fii[#HEADERS], 0)),"")</f>
        <v>120.46</v>
      </c>
      <c r="G94" s="93">
        <f t="shared" ref="G94:G100" si="78">E94/F94</f>
        <v>0.8075709779</v>
      </c>
      <c r="H94" s="94">
        <f t="shared" ref="H94:H100" si="79">I94/F94</f>
        <v>0.7750534023</v>
      </c>
      <c r="I94" s="97">
        <f t="array" ref="I94">IFERROR(INDEX(FCD[], MATCH(D94, FCD[FIIs], 0), MATCH(FCD[[#HEADERS],[Preço_Justo]], FCD[#HEADERS], 0)),"")</f>
        <v>93.36293284</v>
      </c>
      <c r="J94" s="98">
        <f t="array" ref="J94">IFERROR(INDEX(Indicador_Fii[], MATCH(D94, Indicador_Fii[Fii], 0), MATCH(Indicador_Fii[[#HEADERS],[FFO_Yield]], Indicador_Fii[#HEADERS], 0)),"")</f>
        <v>9.12</v>
      </c>
      <c r="K94" s="98">
        <f t="array" ref="K94">IFERROR(INDEX(Indicador_Fii[], MATCH(D94, Indicador_Fii[Fii], 0), MATCH(Indicador_Fii[[#HEADERS],[DIV_Yield]], Indicador_Fii[#HEADERS], 0)),"")</f>
        <v>7.5</v>
      </c>
      <c r="L94" s="100">
        <f>IFERROR(__xludf.DUMMYFUNCTION("GOOGLEFINANCE(D94, ""volumeavg"")"),43642.0)</f>
        <v>43642</v>
      </c>
    </row>
    <row r="95" ht="22.5" customHeight="1">
      <c r="A95" s="4" t="s">
        <v>144</v>
      </c>
      <c r="B95" s="13">
        <f>B94/B93</f>
        <v>0.05628157959</v>
      </c>
      <c r="D95" s="88" t="s">
        <v>138</v>
      </c>
      <c r="E95" s="91">
        <f t="array" ref="E95">IFERROR(INDEX(FCD[], MATCH(D95, FCD[FIIs], 0), MATCH(FCD[[#HEADERS],[V/Mercado]], FCD[#HEADERS], 0)),"")</f>
        <v>91.6</v>
      </c>
      <c r="F95" s="91">
        <f t="array" ref="F95">IFERROR(INDEX(Indicador_Fii[], MATCH(D95, Indicador_Fii[Fii], 0), MATCH(Indicador_Fii[[#HEADERS],[VP/Cota]], Indicador_Fii[#HEADERS], 0)),"")</f>
        <v>105.25</v>
      </c>
      <c r="G95" s="93">
        <f t="shared" si="78"/>
        <v>0.8703087886</v>
      </c>
      <c r="H95" s="94">
        <f t="shared" si="79"/>
        <v>0.9323973024</v>
      </c>
      <c r="I95" s="97">
        <f t="array" ref="I95">IFERROR(INDEX(FCD[], MATCH(D95, FCD[FIIs], 0), MATCH(FCD[[#HEADERS],[Preço_Justo]], FCD[#HEADERS], 0)),"")</f>
        <v>98.13481608</v>
      </c>
      <c r="J95" s="98">
        <f t="array" ref="J95">IFERROR(INDEX(Indicador_Fii[], MATCH(D95, Indicador_Fii[Fii], 0), MATCH(Indicador_Fii[[#HEADERS],[FFO_Yield]], Indicador_Fii[#HEADERS], 0)),"")</f>
        <v>6.94</v>
      </c>
      <c r="K95" s="98">
        <f t="array" ref="K95">IFERROR(INDEX(Indicador_Fii[], MATCH(D95, Indicador_Fii[Fii], 0), MATCH(Indicador_Fii[[#HEADERS],[DIV_Yield]], Indicador_Fii[#HEADERS], 0)),"")</f>
        <v>8.8</v>
      </c>
      <c r="L95" s="100">
        <f>IFERROR(__xludf.DUMMYFUNCTION("GOOGLEFINANCE(D95, ""volumeavg"")"),83200.0)</f>
        <v>83200</v>
      </c>
    </row>
    <row r="96" ht="22.5" customHeight="1">
      <c r="A96" s="4" t="s">
        <v>146</v>
      </c>
      <c r="B96" s="83">
        <f>IFERROR(__xludf.DUMMYFUNCTION("GOOGLEFINANCE(B90)*B98"),6.681567677400001E9)</f>
        <v>6681567677</v>
      </c>
      <c r="D96" s="88" t="s">
        <v>140</v>
      </c>
      <c r="E96" s="91">
        <f t="array" ref="E96">IFERROR(INDEX(FCD[], MATCH(D96, FCD[FIIs], 0), MATCH(FCD[[#HEADERS],[V/Mercado]], FCD[#HEADERS], 0)),"")</f>
        <v>146.52</v>
      </c>
      <c r="F96" s="91">
        <f t="array" ref="F96">IFERROR(INDEX(Indicador_Fii[], MATCH(D96, Indicador_Fii[Fii], 0), MATCH(Indicador_Fii[[#HEADERS],[VP/Cota]], Indicador_Fii[#HEADERS], 0)),"")</f>
        <v>166</v>
      </c>
      <c r="G96" s="93">
        <f t="shared" si="78"/>
        <v>0.8826506024</v>
      </c>
      <c r="H96" s="94">
        <f t="shared" si="79"/>
        <v>0.9284179884</v>
      </c>
      <c r="I96" s="97">
        <f t="array" ref="I96">IFERROR(INDEX(FCD[], MATCH(D96, FCD[FIIs], 0), MATCH(FCD[[#HEADERS],[Preço_Justo]], FCD[#HEADERS], 0)),"")</f>
        <v>154.1173861</v>
      </c>
      <c r="J96" s="98">
        <f t="array" ref="J96">IFERROR(INDEX(Indicador_Fii[], MATCH(D96, Indicador_Fii[Fii], 0), MATCH(Indicador_Fii[[#HEADERS],[FFO_Yield]], Indicador_Fii[#HEADERS], 0)),"")</f>
        <v>6.55</v>
      </c>
      <c r="K96" s="98">
        <f t="array" ref="K96">IFERROR(INDEX(Indicador_Fii[], MATCH(D96, Indicador_Fii[Fii], 0), MATCH(Indicador_Fii[[#HEADERS],[DIV_Yield]], Indicador_Fii[#HEADERS], 0)),"")</f>
        <v>7.2</v>
      </c>
      <c r="L96" s="100">
        <f>IFERROR(__xludf.DUMMYFUNCTION("GOOGLEFINANCE(D96, ""volumeavg"")"),129710.0)</f>
        <v>129710</v>
      </c>
    </row>
    <row r="97" ht="22.5" customHeight="1">
      <c r="A97" s="4" t="s">
        <v>147</v>
      </c>
      <c r="B97" s="13">
        <f>B94/B96</f>
        <v>0.005873810892</v>
      </c>
      <c r="D97" s="88" t="s">
        <v>137</v>
      </c>
      <c r="E97" s="91">
        <f t="array" ref="E97">IFERROR(INDEX(FCD[], MATCH(D97, FCD[FIIs], 0), MATCH(FCD[[#HEADERS],[V/Mercado]], FCD[#HEADERS], 0)),"")</f>
        <v>9</v>
      </c>
      <c r="F97" s="91">
        <f t="array" ref="F97">IFERROR(INDEX(Indicador_Fii[], MATCH(D97, Indicador_Fii[Fii], 0), MATCH(Indicador_Fii[[#HEADERS],[VP/Cota]], Indicador_Fii[#HEADERS], 0)),"")</f>
        <v>11.03</v>
      </c>
      <c r="G97" s="93">
        <f t="shared" si="78"/>
        <v>0.8159564823</v>
      </c>
      <c r="H97" s="94">
        <f t="shared" si="79"/>
        <v>0.943436746</v>
      </c>
      <c r="I97" s="97">
        <f t="array" ref="I97">IFERROR(INDEX(FCD[], MATCH(D97, FCD[FIIs], 0), MATCH(FCD[[#HEADERS],[Preço_Justo]], FCD[#HEADERS], 0)),"")</f>
        <v>10.40610731</v>
      </c>
      <c r="J97" s="98">
        <f t="array" ref="J97">IFERROR(INDEX(Indicador_Fii[], MATCH(D97, Indicador_Fii[Fii], 0), MATCH(Indicador_Fii[[#HEADERS],[FFO_Yield]], Indicador_Fii[#HEADERS], 0)),"")</f>
        <v>6.11</v>
      </c>
      <c r="K97" s="98">
        <f t="array" ref="K97">IFERROR(INDEX(Indicador_Fii[], MATCH(D97, Indicador_Fii[Fii], 0), MATCH(Indicador_Fii[[#HEADERS],[DIV_Yield]], Indicador_Fii[#HEADERS], 0)),"")</f>
        <v>11.8</v>
      </c>
      <c r="L97" s="100">
        <f>IFERROR(__xludf.DUMMYFUNCTION("GOOGLEFINANCE(D97, ""volumeavg"")"),2033352.0)</f>
        <v>2033352</v>
      </c>
    </row>
    <row r="98" ht="22.5" customHeight="1">
      <c r="A98" s="4" t="s">
        <v>149</v>
      </c>
      <c r="B98" s="22">
        <f t="array" ref="B98">IFERROR(INDEX(Indicador_Fii[], MATCH(B90, Indicador_Fii[Fii], 0), MATCH(Indicador_Fii[[#HEADERS],[Qtd_Cotas]], Indicador_Fii[#HEADERS], 0)),"")</f>
        <v>45601745</v>
      </c>
      <c r="D98" s="88" t="s">
        <v>122</v>
      </c>
      <c r="E98" s="91">
        <f t="array" ref="E98">IFERROR(INDEX(FCD[], MATCH(D98, FCD[FIIs], 0), MATCH(FCD[[#HEADERS],[V/Mercado]], FCD[#HEADERS], 0)),"")</f>
        <v>156.75</v>
      </c>
      <c r="F98" s="91">
        <f t="array" ref="F98">IFERROR(INDEX(Indicador_Fii[], MATCH(D98, Indicador_Fii[Fii], 0), MATCH(Indicador_Fii[[#HEADERS],[VP/Cota]], Indicador_Fii[#HEADERS], 0)),"")</f>
        <v>163.15</v>
      </c>
      <c r="G98" s="93">
        <f t="shared" si="78"/>
        <v>0.9607722954</v>
      </c>
      <c r="H98" s="94">
        <f t="shared" si="79"/>
        <v>0.9320399007</v>
      </c>
      <c r="I98" s="97">
        <f t="array" ref="I98">IFERROR(INDEX(FCD[], MATCH(D98, FCD[FIIs], 0), MATCH(FCD[[#HEADERS],[Preço_Justo]], FCD[#HEADERS], 0)),"")</f>
        <v>152.0623098</v>
      </c>
      <c r="J98" s="98">
        <f t="array" ref="J98">IFERROR(INDEX(Indicador_Fii[], MATCH(D98, Indicador_Fii[Fii], 0), MATCH(Indicador_Fii[[#HEADERS],[FFO_Yield]], Indicador_Fii[#HEADERS], 0)),"")</f>
        <v>7.34</v>
      </c>
      <c r="K98" s="98">
        <f t="array" ref="K98">IFERROR(INDEX(Indicador_Fii[], MATCH(D98, Indicador_Fii[Fii], 0), MATCH(Indicador_Fii[[#HEADERS],[DIV_Yield]], Indicador_Fii[#HEADERS], 0)),"")</f>
        <v>6.8</v>
      </c>
      <c r="L98" s="100">
        <f>IFERROR(__xludf.DUMMYFUNCTION("GOOGLEFINANCE(D98, ""volumeavg"")"),51677.0)</f>
        <v>51677</v>
      </c>
    </row>
    <row r="99" ht="22.5" customHeight="1">
      <c r="A99" s="4" t="s">
        <v>150</v>
      </c>
      <c r="B99" s="24">
        <f t="array" ref="B99">IFERROR(INDEX(Indicador_Fii[], MATCH(B90, Indicador_Fii[Fii], 0), MATCH(Indicador_Fii[[#HEADERS],[Patrimonio_Liq]], Indicador_Fii[#HEADERS], 0)),"")</f>
        <v>7570060000</v>
      </c>
      <c r="D99" s="88" t="s">
        <v>148</v>
      </c>
      <c r="E99" s="91">
        <f t="array" ref="E99">IFERROR(INDEX(FCD[], MATCH(D99, FCD[FIIs], 0), MATCH(FCD[[#HEADERS],[V/Mercado]], FCD[#HEADERS], 0)),"")</f>
        <v>110.21</v>
      </c>
      <c r="F99" s="91">
        <f t="array" ref="F99">IFERROR(INDEX(Indicador_Fii[], MATCH(D99, Indicador_Fii[Fii], 0), MATCH(Indicador_Fii[[#HEADERS],[VP/Cota]], Indicador_Fii[#HEADERS], 0)),"")</f>
        <v>115.72</v>
      </c>
      <c r="G99" s="93">
        <f t="shared" si="78"/>
        <v>0.9523850674</v>
      </c>
      <c r="H99" s="94">
        <f t="shared" si="79"/>
        <v>0.9696288982</v>
      </c>
      <c r="I99" s="97">
        <f t="array" ref="I99">IFERROR(INDEX(FCD[], MATCH(D99, FCD[FIIs], 0), MATCH(FCD[[#HEADERS],[Preço_Justo]], FCD[#HEADERS], 0)),"")</f>
        <v>112.2054561</v>
      </c>
      <c r="J99" s="98">
        <f t="array" ref="J99">IFERROR(INDEX(Indicador_Fii[], MATCH(D99, Indicador_Fii[Fii], 0), MATCH(Indicador_Fii[[#HEADERS],[FFO_Yield]], Indicador_Fii[#HEADERS], 0)),"")</f>
        <v>7.31</v>
      </c>
      <c r="K99" s="98">
        <f t="array" ref="K99">IFERROR(INDEX(Indicador_Fii[], MATCH(D99, Indicador_Fii[Fii], 0), MATCH(Indicador_Fii[[#HEADERS],[DIV_Yield]], Indicador_Fii[#HEADERS], 0)),"")</f>
        <v>8</v>
      </c>
      <c r="L99" s="100">
        <f>IFERROR(__xludf.DUMMYFUNCTION("GOOGLEFINANCE(D99, ""volumeavg"")"),42729.0)</f>
        <v>42729</v>
      </c>
    </row>
    <row r="100" ht="22.5" customHeight="1">
      <c r="A100" s="4" t="s">
        <v>151</v>
      </c>
      <c r="B100" s="40">
        <f>B93/B99</f>
        <v>0.09211550397</v>
      </c>
      <c r="D100" s="88" t="s">
        <v>145</v>
      </c>
      <c r="E100" s="91">
        <f t="array" ref="E100">IFERROR(INDEX(FCD[], MATCH(D100, FCD[FIIs], 0), MATCH(FCD[[#HEADERS],[V/Mercado]], FCD[#HEADERS], 0)),"")</f>
        <v>100.09</v>
      </c>
      <c r="F100" s="91">
        <f t="array" ref="F100">IFERROR(INDEX(Indicador_Fii[], MATCH(D100, Indicador_Fii[Fii], 0), MATCH(Indicador_Fii[[#HEADERS],[VP/Cota]], Indicador_Fii[#HEADERS], 0)),"")</f>
        <v>102.4</v>
      </c>
      <c r="G100" s="93">
        <f t="shared" si="78"/>
        <v>0.9774414063</v>
      </c>
      <c r="H100" s="94">
        <f t="shared" si="79"/>
        <v>0.9927610269</v>
      </c>
      <c r="I100" s="97">
        <f t="array" ref="I100">IFERROR(INDEX(FCD[], MATCH(D100, FCD[FIIs], 0), MATCH(FCD[[#HEADERS],[Preço_Justo]], FCD[#HEADERS], 0)),"")</f>
        <v>101.6587292</v>
      </c>
      <c r="J100" s="98">
        <f t="array" ref="J100">IFERROR(INDEX(Indicador_Fii[], MATCH(D100, Indicador_Fii[Fii], 0), MATCH(Indicador_Fii[[#HEADERS],[FFO_Yield]], Indicador_Fii[#HEADERS], 0)),"")</f>
        <v>6.08</v>
      </c>
      <c r="K100" s="98">
        <f t="array" ref="K100">IFERROR(INDEX(Indicador_Fii[], MATCH(D100, Indicador_Fii[Fii], 0), MATCH(Indicador_Fii[[#HEADERS],[DIV_Yield]], Indicador_Fii[#HEADERS], 0)),"")</f>
        <v>7.9</v>
      </c>
      <c r="L100" s="100">
        <f>IFERROR(__xludf.DUMMYFUNCTION("GOOGLEFINANCE(D100, ""volumeavg"")"),176536.0)</f>
        <v>176536</v>
      </c>
    </row>
    <row r="101">
      <c r="A101" s="4" t="s">
        <v>63</v>
      </c>
      <c r="B101" s="24">
        <f>SUM(B31,D31,F31,H31,J31,L31,N31,P31,R31,T31,V31,X31)</f>
        <v>587584731</v>
      </c>
    </row>
    <row r="102">
      <c r="A102" s="4" t="s">
        <v>152</v>
      </c>
      <c r="B102" s="40">
        <f>B101/B93</f>
        <v>0.8426329691</v>
      </c>
      <c r="J102" s="125"/>
    </row>
    <row r="103">
      <c r="A103" s="4" t="s">
        <v>153</v>
      </c>
      <c r="B103" s="4" t="s">
        <v>154</v>
      </c>
      <c r="I103" s="6" t="s">
        <v>157</v>
      </c>
      <c r="J103" s="6" t="s">
        <v>158</v>
      </c>
      <c r="K103" s="6"/>
    </row>
    <row r="104">
      <c r="A104" s="4" t="s">
        <v>155</v>
      </c>
      <c r="B104" s="4" t="s">
        <v>3</v>
      </c>
      <c r="I104" s="6" t="s">
        <v>140</v>
      </c>
      <c r="J104" s="83">
        <f t="array" ref="J104">IFERROR(INDEX(Indicador_Fii[], MATCH(I104, Indicador_Fii[Fii], 0), MATCH(Indicador_Fii[[#HEADERS],[VP/Cota]], Indicador_Fii[#HEADERS], 0)),"")</f>
        <v>166</v>
      </c>
      <c r="K104" s="6"/>
      <c r="L104" s="6"/>
    </row>
    <row r="105">
      <c r="A105" s="4" t="s">
        <v>156</v>
      </c>
      <c r="B105" s="4" t="s">
        <v>3</v>
      </c>
      <c r="I105" s="6" t="s">
        <v>143</v>
      </c>
      <c r="J105" s="83">
        <f t="array" ref="J105">IFERROR(INDEX(Indicador_Fii[], MATCH(I105, Indicador_Fii[Fii], 0), MATCH(Indicador_Fii[[#HEADERS],[VP/Cota]], Indicador_Fii[#HEADERS], 0)),"")</f>
        <v>120.46</v>
      </c>
      <c r="K105" s="6"/>
      <c r="L105" s="6"/>
    </row>
    <row r="106">
      <c r="B106" s="124"/>
      <c r="I106" s="6" t="s">
        <v>159</v>
      </c>
      <c r="J106" s="127">
        <f>J105/J104</f>
        <v>0.7256626506</v>
      </c>
      <c r="K106" s="6"/>
      <c r="L106" s="6"/>
    </row>
    <row r="107">
      <c r="I107" s="6"/>
      <c r="J107" s="6"/>
      <c r="K107" s="6"/>
      <c r="L107" s="5" t="s">
        <v>160</v>
      </c>
    </row>
    <row r="108">
      <c r="I108" s="6" t="s">
        <v>161</v>
      </c>
      <c r="J108" s="128">
        <f>IFERROR(__xludf.DUMMYFUNCTION("GOOGLEFINANCE(I105)"),97.28)</f>
        <v>97.28</v>
      </c>
      <c r="K108" s="6"/>
      <c r="L108" s="129">
        <f>J110/J104</f>
        <v>0.8826506024</v>
      </c>
    </row>
    <row r="109">
      <c r="I109" s="6" t="s">
        <v>162</v>
      </c>
      <c r="J109" s="6"/>
      <c r="K109" s="130">
        <f>J108/J106</f>
        <v>134.0567823</v>
      </c>
      <c r="L109" s="129">
        <f>K109/J104</f>
        <v>0.8075709779</v>
      </c>
    </row>
    <row r="110">
      <c r="I110" s="6" t="s">
        <v>163</v>
      </c>
      <c r="J110" s="128">
        <f>IFERROR(__xludf.DUMMYFUNCTION("GOOGLEFINANCE(I104)"),146.52)</f>
        <v>146.52</v>
      </c>
      <c r="K110" s="6"/>
      <c r="L110" s="6"/>
    </row>
    <row r="111">
      <c r="I111" s="6" t="s">
        <v>164</v>
      </c>
      <c r="J111" s="83">
        <f>J110-K109</f>
        <v>12.46321767</v>
      </c>
      <c r="K111" s="13">
        <f>J111/J108</f>
        <v>0.1281169579</v>
      </c>
      <c r="L111" s="6"/>
    </row>
  </sheetData>
  <mergeCells count="1">
    <mergeCell ref="B106:G111"/>
  </mergeCells>
  <dataValidations>
    <dataValidation type="list" allowBlank="1" showErrorMessage="1" sqref="B1 D1 F1 H1 J1 L1 N1 P1 R1 T1 V1 X1 B37 D37 F37 H37 J37 L37 N37 P37 R37 T37 V37 X37 B60 D60 F60 H60 J60 L60 N60 P60 R60 T60 V60 X60">
      <formula1>"Feito,Não,Atual"</formula1>
    </dataValidation>
    <dataValidation type="list" allowBlank="1" showErrorMessage="1" sqref="B103">
      <formula1>"Bom,Normal,Cuidado_Ver_DRE"</formula1>
    </dataValidation>
    <dataValidation type="list" allowBlank="1" showErrorMessage="1" sqref="B104:B105">
      <formula1>"Feito,Não"</formula1>
    </dataValidation>
    <dataValidation type="custom" allowBlank="1" showDropDown="1" sqref="E94:G100 I94:I100 L94:L100">
      <formula1>AND(ISNUMBER(E94),(NOT(OR(NOT(ISERROR(DATEVALUE(E94))), AND(ISNUMBER(E94), LEFT(CELL("format", E94))="D")))))</formula1>
    </dataValidation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3" width="15.25"/>
    <col customWidth="1" min="4" max="4" width="17.88"/>
    <col customWidth="1" min="5" max="5" width="16.25"/>
    <col customWidth="1" min="6" max="6" width="15.5"/>
    <col customWidth="1" min="7" max="7" width="17.75"/>
    <col customWidth="1" min="8" max="8" width="19.0"/>
    <col customWidth="1" min="9" max="9" width="16.13"/>
    <col customWidth="1" min="10" max="10" width="16.63"/>
    <col customWidth="1" min="11" max="11" width="16.0"/>
    <col customWidth="1" min="12" max="12" width="16.88"/>
    <col customWidth="1" min="13" max="13" width="16.5"/>
    <col customWidth="1" min="14" max="14" width="15.13"/>
    <col customWidth="1" min="15" max="15" width="15.38"/>
    <col customWidth="1" min="16" max="16" width="17.13"/>
    <col customWidth="1" min="17" max="17" width="15.63"/>
    <col customWidth="1" min="18" max="18" width="17.13"/>
    <col customWidth="1" min="19" max="19" width="15.5"/>
    <col customWidth="1" min="20" max="20" width="17.38"/>
    <col customWidth="1" min="21" max="21" width="15.13"/>
    <col customWidth="1" min="22" max="22" width="16.38"/>
    <col customWidth="1" min="23" max="23" width="15.38"/>
    <col customWidth="1" min="24" max="24" width="17.38"/>
    <col customWidth="1" min="25" max="25" width="15.63"/>
  </cols>
  <sheetData>
    <row r="1">
      <c r="A1" s="1" t="s">
        <v>0</v>
      </c>
      <c r="B1" s="2" t="s">
        <v>1</v>
      </c>
      <c r="C1" s="3">
        <v>46035.0</v>
      </c>
      <c r="D1" s="2" t="s">
        <v>1</v>
      </c>
      <c r="E1" s="3">
        <v>46094.0</v>
      </c>
      <c r="F1" s="2" t="s">
        <v>1</v>
      </c>
      <c r="G1" s="3">
        <v>46094.0</v>
      </c>
      <c r="H1" s="2" t="s">
        <v>1</v>
      </c>
      <c r="I1" s="3">
        <v>46129.0</v>
      </c>
      <c r="J1" s="2" t="s">
        <v>1</v>
      </c>
      <c r="K1" s="3">
        <v>46154.0</v>
      </c>
      <c r="L1" s="2" t="s">
        <v>1</v>
      </c>
      <c r="M1" s="3">
        <v>46189.0</v>
      </c>
      <c r="N1" s="2" t="s">
        <v>1</v>
      </c>
      <c r="O1" s="3">
        <v>46220.0</v>
      </c>
      <c r="P1" s="2" t="s">
        <v>2</v>
      </c>
      <c r="Q1" s="3">
        <v>46248.0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4" t="s">
        <v>4</v>
      </c>
      <c r="B2" s="4" t="s">
        <v>5</v>
      </c>
      <c r="D2" s="5" t="s">
        <v>6</v>
      </c>
      <c r="E2" s="6"/>
      <c r="F2" s="5" t="s">
        <v>7</v>
      </c>
      <c r="G2" s="6"/>
      <c r="H2" s="5" t="s">
        <v>8</v>
      </c>
      <c r="I2" s="6"/>
      <c r="J2" s="5" t="s">
        <v>9</v>
      </c>
      <c r="K2" s="6"/>
      <c r="L2" s="5" t="s">
        <v>10</v>
      </c>
      <c r="M2" s="6"/>
      <c r="N2" s="5" t="s">
        <v>11</v>
      </c>
      <c r="O2" s="6"/>
      <c r="P2" s="4" t="s">
        <v>12</v>
      </c>
      <c r="R2" s="4" t="s">
        <v>13</v>
      </c>
      <c r="T2" s="4" t="s">
        <v>14</v>
      </c>
      <c r="V2" s="4" t="s">
        <v>15</v>
      </c>
      <c r="X2" s="4" t="s">
        <v>16</v>
      </c>
    </row>
    <row r="3">
      <c r="A3" s="7" t="s">
        <v>17</v>
      </c>
      <c r="B3" s="8">
        <f>SUM(B6,B9,B11,B13,B15)</f>
        <v>23536791.46</v>
      </c>
      <c r="C3" s="9">
        <f t="shared" ref="C3:C18" si="1">IFERROR(SUM((D3/B3)-1),0)</f>
        <v>0.658379615</v>
      </c>
      <c r="D3" s="8">
        <f>SUM(D6,D9,D11,D13,D15)</f>
        <v>39032935.16</v>
      </c>
      <c r="E3" s="9">
        <f t="shared" ref="E3:E18" si="2">IFERROR(SUM((F3/D3)-1),0)</f>
        <v>-0.3929660328</v>
      </c>
      <c r="F3" s="8">
        <f>SUM(F6,F9,F11,F13,F15)</f>
        <v>23694317.48</v>
      </c>
      <c r="G3" s="9">
        <f t="shared" ref="G3:G18" si="3">IFERROR(SUM((H3/F3)-1),0)</f>
        <v>-0.01402995213</v>
      </c>
      <c r="H3" s="8">
        <f>SUM(H6,H9,H11,H13,H15)</f>
        <v>23361887.34</v>
      </c>
      <c r="I3" s="9">
        <f t="shared" ref="I3:I18" si="4">IFERROR(SUM((J3/H3)-1),0)</f>
        <v>-0.01192029719</v>
      </c>
      <c r="J3" s="8">
        <f>SUM(J6,J9,J11,J13,J15)</f>
        <v>23083406.7</v>
      </c>
      <c r="K3" s="9">
        <f t="shared" ref="K3:K18" si="5">IFERROR(SUM((L3/J3)-1),0)</f>
        <v>0.07405894122</v>
      </c>
      <c r="L3" s="8">
        <f>SUM(L6,L9,L11,L13,L15)</f>
        <v>24792939.36</v>
      </c>
      <c r="M3" s="9">
        <f t="shared" ref="M3:M18" si="6">IFERROR(SUM((N3/L3)-1),0)</f>
        <v>0.1086182232</v>
      </c>
      <c r="N3" s="8">
        <f>SUM(N6,N9,N11,N13,N15)</f>
        <v>27485904.38</v>
      </c>
      <c r="O3" s="9">
        <f t="shared" ref="O3:O18" si="7">IFERROR(SUM((P3/N3)-1),0)</f>
        <v>0.3344764936</v>
      </c>
      <c r="P3" s="8">
        <f>SUM(P6,P9,P11,P13,P15)</f>
        <v>36679293.3</v>
      </c>
      <c r="Q3" s="9">
        <f t="shared" ref="Q3:Q18" si="8">IFERROR(SUM((R3/P3)-1),0)</f>
        <v>0</v>
      </c>
      <c r="R3" s="8">
        <f>SUM(R6,R9,R11,R13,R15)</f>
        <v>36679293.3</v>
      </c>
      <c r="S3" s="9">
        <f t="shared" ref="S3:S18" si="9">IFERROR(SUM((T3/R3)-1),0)</f>
        <v>0</v>
      </c>
      <c r="T3" s="8">
        <f>SUM(T6,T9,T11,T13,T15)</f>
        <v>36679293.3</v>
      </c>
      <c r="U3" s="9">
        <f t="shared" ref="U3:U18" si="10">IFERROR(SUM((V3/T3)-1),0)</f>
        <v>0</v>
      </c>
      <c r="V3" s="8">
        <f>SUM(V6,V9,V11,V13,V15)</f>
        <v>36679293.3</v>
      </c>
      <c r="W3" s="9">
        <f t="shared" ref="W3:W18" si="11">IFERROR(SUM((X3/V3)-1),0)</f>
        <v>-0.3706692626</v>
      </c>
      <c r="X3" s="8">
        <f>SUM(X6,X9,X11,X13,X15)</f>
        <v>23083406.7</v>
      </c>
      <c r="Y3" s="10"/>
      <c r="Z3" s="10"/>
    </row>
    <row r="4">
      <c r="A4" s="1" t="s">
        <v>18</v>
      </c>
      <c r="B4" s="11">
        <v>0.0021</v>
      </c>
      <c r="C4" s="12">
        <f t="shared" si="1"/>
        <v>0</v>
      </c>
      <c r="D4" s="11">
        <v>0.0021</v>
      </c>
      <c r="E4" s="12">
        <f t="shared" si="2"/>
        <v>-0.04761904762</v>
      </c>
      <c r="F4" s="11">
        <v>0.002</v>
      </c>
      <c r="G4" s="12">
        <f t="shared" si="3"/>
        <v>0</v>
      </c>
      <c r="H4" s="11">
        <v>0.002</v>
      </c>
      <c r="I4" s="12">
        <f t="shared" si="4"/>
        <v>-0.05</v>
      </c>
      <c r="J4" s="11">
        <v>0.0019</v>
      </c>
      <c r="K4" s="12">
        <f t="shared" si="5"/>
        <v>0</v>
      </c>
      <c r="L4" s="11">
        <v>0.0019</v>
      </c>
      <c r="M4" s="12">
        <f t="shared" si="6"/>
        <v>6.368421053</v>
      </c>
      <c r="N4" s="11">
        <v>0.014</v>
      </c>
      <c r="O4" s="12">
        <f t="shared" si="7"/>
        <v>-0.08571428571</v>
      </c>
      <c r="P4" s="11">
        <v>0.0128</v>
      </c>
      <c r="Q4" s="12">
        <f t="shared" si="8"/>
        <v>0</v>
      </c>
      <c r="R4" s="11">
        <v>0.0128</v>
      </c>
      <c r="S4" s="12">
        <f t="shared" si="9"/>
        <v>0</v>
      </c>
      <c r="T4" s="11">
        <v>0.0128</v>
      </c>
      <c r="U4" s="12">
        <f t="shared" si="10"/>
        <v>0</v>
      </c>
      <c r="V4" s="11">
        <v>0.0128</v>
      </c>
      <c r="W4" s="12">
        <f t="shared" si="11"/>
        <v>-0.8515625</v>
      </c>
      <c r="X4" s="11">
        <v>0.0019</v>
      </c>
      <c r="Y4" s="13"/>
    </row>
    <row r="5">
      <c r="A5" s="1" t="s">
        <v>19</v>
      </c>
      <c r="B5" s="14">
        <f>B6/(1-B4)</f>
        <v>20372857.44</v>
      </c>
      <c r="C5" s="12">
        <f t="shared" si="1"/>
        <v>-0.05759598635</v>
      </c>
      <c r="D5" s="14">
        <f>D6/(1-D4)</f>
        <v>19199462.62</v>
      </c>
      <c r="E5" s="12">
        <f t="shared" si="2"/>
        <v>0.03502528275</v>
      </c>
      <c r="F5" s="14">
        <f>F6/(1-F4)</f>
        <v>19871929.23</v>
      </c>
      <c r="G5" s="12">
        <f t="shared" si="3"/>
        <v>-0.01294094752</v>
      </c>
      <c r="H5" s="14">
        <f>H6/(1-H4)</f>
        <v>19614767.64</v>
      </c>
      <c r="I5" s="12">
        <f t="shared" si="4"/>
        <v>-0.007649312732</v>
      </c>
      <c r="J5" s="14">
        <f>J6/(1-J4)</f>
        <v>19464728.14</v>
      </c>
      <c r="K5" s="12">
        <f t="shared" si="5"/>
        <v>0.009612070184</v>
      </c>
      <c r="L5" s="14">
        <f>L6/(1-L4)</f>
        <v>19651824.48</v>
      </c>
      <c r="M5" s="12">
        <f t="shared" si="6"/>
        <v>0.06961246912</v>
      </c>
      <c r="N5" s="14">
        <f>N6/(1-N4)</f>
        <v>21019836.5</v>
      </c>
      <c r="O5" s="12">
        <f t="shared" si="7"/>
        <v>0.04298749323</v>
      </c>
      <c r="P5" s="14">
        <f>P6/(1-P4)</f>
        <v>21923426.58</v>
      </c>
      <c r="Q5" s="12">
        <f t="shared" si="8"/>
        <v>0</v>
      </c>
      <c r="R5" s="14">
        <f>R6/(1-R4)</f>
        <v>21923426.58</v>
      </c>
      <c r="S5" s="12">
        <f t="shared" si="9"/>
        <v>0</v>
      </c>
      <c r="T5" s="14">
        <f>T6/(1-T4)</f>
        <v>21923426.58</v>
      </c>
      <c r="U5" s="12">
        <f t="shared" si="10"/>
        <v>0</v>
      </c>
      <c r="V5" s="14">
        <f>V6/(1-V4)</f>
        <v>21923426.58</v>
      </c>
      <c r="W5" s="12">
        <f t="shared" si="11"/>
        <v>-0.1121493681</v>
      </c>
      <c r="X5" s="14">
        <f>X6/(1-X4)</f>
        <v>19464728.14</v>
      </c>
      <c r="Y5" s="13"/>
    </row>
    <row r="6">
      <c r="A6" s="4" t="s">
        <v>20</v>
      </c>
      <c r="B6" s="15">
        <v>2.033007444E7</v>
      </c>
      <c r="C6" s="13">
        <f t="shared" si="1"/>
        <v>-0.05759598635</v>
      </c>
      <c r="D6" s="15">
        <v>1.915914375E7</v>
      </c>
      <c r="E6" s="13">
        <f t="shared" si="2"/>
        <v>0.03512900309</v>
      </c>
      <c r="F6" s="15">
        <v>1.983218537E7</v>
      </c>
      <c r="G6" s="13">
        <f t="shared" si="3"/>
        <v>-0.01294094752</v>
      </c>
      <c r="H6" s="15">
        <v>1.95755381E7</v>
      </c>
      <c r="I6" s="13">
        <f t="shared" si="4"/>
        <v>-0.007549878795</v>
      </c>
      <c r="J6" s="15">
        <v>1.942774516E7</v>
      </c>
      <c r="K6" s="13">
        <f t="shared" si="5"/>
        <v>0.009612070184</v>
      </c>
      <c r="L6" s="15">
        <v>1.961448601E7</v>
      </c>
      <c r="M6" s="13">
        <f t="shared" si="6"/>
        <v>0.05664552104</v>
      </c>
      <c r="N6" s="15">
        <v>2.072555879E7</v>
      </c>
      <c r="O6" s="13">
        <f t="shared" si="7"/>
        <v>0.0442568492</v>
      </c>
      <c r="P6" s="15">
        <v>2.164280672E7</v>
      </c>
      <c r="Q6" s="13">
        <f t="shared" si="8"/>
        <v>0</v>
      </c>
      <c r="R6" s="15">
        <v>2.164280672E7</v>
      </c>
      <c r="S6" s="13">
        <f t="shared" si="9"/>
        <v>0</v>
      </c>
      <c r="T6" s="15">
        <v>2.164280672E7</v>
      </c>
      <c r="U6" s="13">
        <f t="shared" si="10"/>
        <v>0</v>
      </c>
      <c r="V6" s="15">
        <v>2.164280672E7</v>
      </c>
      <c r="W6" s="13">
        <f t="shared" si="11"/>
        <v>-0.1023463171</v>
      </c>
      <c r="X6" s="15">
        <v>1.942774516E7</v>
      </c>
      <c r="Y6" s="13"/>
    </row>
    <row r="7">
      <c r="A7" s="16" t="s">
        <v>21</v>
      </c>
      <c r="B7" s="17">
        <f>B6/B3</f>
        <v>0.8637572574</v>
      </c>
      <c r="C7" s="18">
        <f t="shared" si="1"/>
        <v>-0.4317320322</v>
      </c>
      <c r="D7" s="17">
        <f>D6/D3</f>
        <v>0.4908455813</v>
      </c>
      <c r="E7" s="18">
        <f t="shared" si="2"/>
        <v>0.7052241869</v>
      </c>
      <c r="F7" s="17">
        <f>F6/F3</f>
        <v>0.8370017574</v>
      </c>
      <c r="G7" s="18">
        <f t="shared" si="3"/>
        <v>0.001104500706</v>
      </c>
      <c r="H7" s="17">
        <f>H6/H3</f>
        <v>0.8379262264</v>
      </c>
      <c r="I7" s="18">
        <f t="shared" si="4"/>
        <v>0.004423143581</v>
      </c>
      <c r="J7" s="17">
        <f>J6/J3</f>
        <v>0.8416324944</v>
      </c>
      <c r="K7" s="18">
        <f t="shared" si="5"/>
        <v>-0.06000310464</v>
      </c>
      <c r="L7" s="17">
        <f>L6/L3</f>
        <v>0.7911319318</v>
      </c>
      <c r="M7" s="18">
        <f t="shared" si="6"/>
        <v>-0.0468806132</v>
      </c>
      <c r="N7" s="17">
        <f>N6/N3</f>
        <v>0.7540431817</v>
      </c>
      <c r="O7" s="18">
        <f t="shared" si="7"/>
        <v>-0.2174782739</v>
      </c>
      <c r="P7" s="17">
        <f>P6/P3</f>
        <v>0.5900551721</v>
      </c>
      <c r="Q7" s="18">
        <f t="shared" si="8"/>
        <v>0</v>
      </c>
      <c r="R7" s="17">
        <f>R6/R3</f>
        <v>0.5900551721</v>
      </c>
      <c r="S7" s="18">
        <f t="shared" si="9"/>
        <v>0</v>
      </c>
      <c r="T7" s="17">
        <f>T6/T3</f>
        <v>0.5900551721</v>
      </c>
      <c r="U7" s="18">
        <f t="shared" si="10"/>
        <v>0</v>
      </c>
      <c r="V7" s="17">
        <f>V6/V3</f>
        <v>0.5900551721</v>
      </c>
      <c r="W7" s="18">
        <f t="shared" si="11"/>
        <v>0.4263623712</v>
      </c>
      <c r="X7" s="17">
        <f>X6/X3</f>
        <v>0.8416324944</v>
      </c>
      <c r="Y7" s="13"/>
    </row>
    <row r="8">
      <c r="A8" s="1" t="s">
        <v>22</v>
      </c>
      <c r="B8" s="14">
        <f>B5-B6</f>
        <v>42783.00063</v>
      </c>
      <c r="C8" s="12">
        <f t="shared" si="1"/>
        <v>-0.05759598635</v>
      </c>
      <c r="D8" s="14">
        <f>D5-D6</f>
        <v>40318.87151</v>
      </c>
      <c r="E8" s="12">
        <f t="shared" si="2"/>
        <v>-0.01426163548</v>
      </c>
      <c r="F8" s="14">
        <f>F5-F6</f>
        <v>39743.85846</v>
      </c>
      <c r="G8" s="12">
        <f t="shared" si="3"/>
        <v>-0.01294094752</v>
      </c>
      <c r="H8" s="14">
        <f>H5-H6</f>
        <v>39229.53527</v>
      </c>
      <c r="I8" s="12">
        <f t="shared" si="4"/>
        <v>-0.05726684709</v>
      </c>
      <c r="J8" s="14">
        <f>J5-J6</f>
        <v>36982.98347</v>
      </c>
      <c r="K8" s="12">
        <f t="shared" si="5"/>
        <v>0.009612070184</v>
      </c>
      <c r="L8" s="14">
        <f>L5-L6</f>
        <v>37338.46651</v>
      </c>
      <c r="M8" s="12">
        <f t="shared" si="6"/>
        <v>6.881355036</v>
      </c>
      <c r="N8" s="14">
        <f>N5-N6</f>
        <v>294277.711</v>
      </c>
      <c r="O8" s="12">
        <f t="shared" si="7"/>
        <v>-0.04641143476</v>
      </c>
      <c r="P8" s="14">
        <f>P5-P6</f>
        <v>280619.8602</v>
      </c>
      <c r="Q8" s="12">
        <f t="shared" si="8"/>
        <v>0</v>
      </c>
      <c r="R8" s="14">
        <f>R5-R6</f>
        <v>280619.8602</v>
      </c>
      <c r="S8" s="12">
        <f t="shared" si="9"/>
        <v>0</v>
      </c>
      <c r="T8" s="14">
        <f>T5-T6</f>
        <v>280619.8602</v>
      </c>
      <c r="U8" s="12">
        <f t="shared" si="10"/>
        <v>0</v>
      </c>
      <c r="V8" s="14">
        <f>V5-V6</f>
        <v>280619.8602</v>
      </c>
      <c r="W8" s="12">
        <f t="shared" si="11"/>
        <v>-0.8682096718</v>
      </c>
      <c r="X8" s="14">
        <f>X5-X6</f>
        <v>36982.98347</v>
      </c>
      <c r="Y8" s="13"/>
    </row>
    <row r="9">
      <c r="A9" s="4" t="s">
        <v>23</v>
      </c>
      <c r="B9" s="15">
        <v>0.0</v>
      </c>
      <c r="C9" s="13">
        <f t="shared" si="1"/>
        <v>0</v>
      </c>
      <c r="D9" s="15">
        <v>1.652077644E7</v>
      </c>
      <c r="E9" s="13">
        <f t="shared" si="2"/>
        <v>-0.9499849984</v>
      </c>
      <c r="F9" s="15">
        <v>826286.66</v>
      </c>
      <c r="G9" s="13">
        <f t="shared" si="3"/>
        <v>0</v>
      </c>
      <c r="H9" s="15">
        <v>826286.66</v>
      </c>
      <c r="I9" s="13">
        <f t="shared" si="4"/>
        <v>-0.1288245535</v>
      </c>
      <c r="J9" s="15">
        <v>719840.65</v>
      </c>
      <c r="K9" s="13">
        <f t="shared" si="5"/>
        <v>0</v>
      </c>
      <c r="L9" s="15">
        <v>719840.65</v>
      </c>
      <c r="M9" s="13">
        <f t="shared" si="6"/>
        <v>0.1864977478</v>
      </c>
      <c r="N9" s="15">
        <v>854089.31</v>
      </c>
      <c r="O9" s="13">
        <f t="shared" si="7"/>
        <v>-0.007238833138</v>
      </c>
      <c r="P9" s="15">
        <v>847906.7</v>
      </c>
      <c r="Q9" s="13">
        <f t="shared" si="8"/>
        <v>0</v>
      </c>
      <c r="R9" s="15">
        <v>847906.7</v>
      </c>
      <c r="S9" s="13">
        <f t="shared" si="9"/>
        <v>0</v>
      </c>
      <c r="T9" s="15">
        <v>847906.7</v>
      </c>
      <c r="U9" s="13">
        <f t="shared" si="10"/>
        <v>0</v>
      </c>
      <c r="V9" s="15">
        <v>847906.7</v>
      </c>
      <c r="W9" s="13">
        <f t="shared" si="11"/>
        <v>-0.1510379031</v>
      </c>
      <c r="X9" s="15">
        <v>719840.65</v>
      </c>
    </row>
    <row r="10">
      <c r="A10" s="16" t="s">
        <v>24</v>
      </c>
      <c r="B10" s="17">
        <f>B9/B3</f>
        <v>0</v>
      </c>
      <c r="C10" s="18">
        <f t="shared" si="1"/>
        <v>0</v>
      </c>
      <c r="D10" s="17">
        <f>D9/D3</f>
        <v>0.4232522195</v>
      </c>
      <c r="E10" s="18">
        <f t="shared" si="2"/>
        <v>-0.9176075734</v>
      </c>
      <c r="F10" s="17">
        <f>F9/F3</f>
        <v>0.03487277744</v>
      </c>
      <c r="G10" s="18">
        <f t="shared" si="3"/>
        <v>0.01422959263</v>
      </c>
      <c r="H10" s="17">
        <f>H9/H3</f>
        <v>0.03536900285</v>
      </c>
      <c r="I10" s="18">
        <f t="shared" si="4"/>
        <v>-0.1183146015</v>
      </c>
      <c r="J10" s="17">
        <f>J9/J3</f>
        <v>0.03118433338</v>
      </c>
      <c r="K10" s="18">
        <f t="shared" si="5"/>
        <v>-0.06895239952</v>
      </c>
      <c r="L10" s="17">
        <f>L9/L3</f>
        <v>0.02903409876</v>
      </c>
      <c r="M10" s="18">
        <f t="shared" si="6"/>
        <v>0.07024918319</v>
      </c>
      <c r="N10" s="17">
        <f>N9/N3</f>
        <v>0.03107372049</v>
      </c>
      <c r="O10" s="18">
        <f t="shared" si="7"/>
        <v>-0.2560669509</v>
      </c>
      <c r="P10" s="17">
        <f>P9/P3</f>
        <v>0.02311676763</v>
      </c>
      <c r="Q10" s="18">
        <f t="shared" si="8"/>
        <v>0</v>
      </c>
      <c r="R10" s="17">
        <f>R9/R3</f>
        <v>0.02311676763</v>
      </c>
      <c r="S10" s="18">
        <f t="shared" si="9"/>
        <v>0</v>
      </c>
      <c r="T10" s="17">
        <f>T9/T3</f>
        <v>0.02311676763</v>
      </c>
      <c r="U10" s="18">
        <f t="shared" si="10"/>
        <v>0</v>
      </c>
      <c r="V10" s="17">
        <f>V9/V3</f>
        <v>0.02311676763</v>
      </c>
      <c r="W10" s="18">
        <f t="shared" si="11"/>
        <v>0.3489919472</v>
      </c>
      <c r="X10" s="17">
        <f>X9/X3</f>
        <v>0.03118433338</v>
      </c>
    </row>
    <row r="11">
      <c r="A11" s="4" t="s">
        <v>166</v>
      </c>
      <c r="B11" s="15">
        <v>2736758.54</v>
      </c>
      <c r="C11" s="13">
        <f t="shared" si="1"/>
        <v>-0.1007894763</v>
      </c>
      <c r="D11" s="15">
        <v>2460922.08</v>
      </c>
      <c r="E11" s="13">
        <f t="shared" si="2"/>
        <v>-0.1218979514</v>
      </c>
      <c r="F11" s="15">
        <v>2160940.72</v>
      </c>
      <c r="G11" s="13">
        <f t="shared" si="3"/>
        <v>-0.02816230887</v>
      </c>
      <c r="H11" s="15">
        <v>2100083.64</v>
      </c>
      <c r="I11" s="13">
        <f t="shared" si="4"/>
        <v>-0.03282601163</v>
      </c>
      <c r="J11" s="15">
        <v>2031146.27</v>
      </c>
      <c r="K11" s="13">
        <f t="shared" si="5"/>
        <v>0.2804185343</v>
      </c>
      <c r="L11" s="15">
        <v>2600717.33</v>
      </c>
      <c r="M11" s="13">
        <f t="shared" si="6"/>
        <v>0.3218931794</v>
      </c>
      <c r="N11" s="15">
        <v>3437870.5</v>
      </c>
      <c r="O11" s="13">
        <f t="shared" si="7"/>
        <v>0.7632707398</v>
      </c>
      <c r="P11" s="15">
        <v>6061896.46</v>
      </c>
      <c r="Q11" s="13">
        <f t="shared" si="8"/>
        <v>0</v>
      </c>
      <c r="R11" s="15">
        <v>6061896.46</v>
      </c>
      <c r="S11" s="13">
        <f t="shared" si="9"/>
        <v>0</v>
      </c>
      <c r="T11" s="15">
        <v>6061896.46</v>
      </c>
      <c r="U11" s="13">
        <f t="shared" si="10"/>
        <v>0</v>
      </c>
      <c r="V11" s="15">
        <v>6061896.46</v>
      </c>
      <c r="W11" s="13">
        <f t="shared" si="11"/>
        <v>-0.6649322067</v>
      </c>
      <c r="X11" s="15">
        <v>2031146.27</v>
      </c>
    </row>
    <row r="12">
      <c r="A12" s="16" t="s">
        <v>167</v>
      </c>
      <c r="B12" s="17">
        <f>B11/B3</f>
        <v>0.1162757696</v>
      </c>
      <c r="C12" s="18">
        <f t="shared" si="1"/>
        <v>-0.4577776309</v>
      </c>
      <c r="D12" s="17">
        <f>D11/D3</f>
        <v>0.06304732324</v>
      </c>
      <c r="E12" s="18">
        <f t="shared" si="2"/>
        <v>0.4465451625</v>
      </c>
      <c r="F12" s="17">
        <f>F11/F3</f>
        <v>0.09120080044</v>
      </c>
      <c r="G12" s="18">
        <f t="shared" si="3"/>
        <v>-0.01433345442</v>
      </c>
      <c r="H12" s="17">
        <f>H11/H3</f>
        <v>0.08989357792</v>
      </c>
      <c r="I12" s="18">
        <f t="shared" si="4"/>
        <v>-0.02115792318</v>
      </c>
      <c r="J12" s="17">
        <f>J11/J3</f>
        <v>0.08799161651</v>
      </c>
      <c r="K12" s="18">
        <f t="shared" si="5"/>
        <v>0.192130604</v>
      </c>
      <c r="L12" s="17">
        <f>L11/L3</f>
        <v>0.1048974989</v>
      </c>
      <c r="M12" s="18">
        <f t="shared" si="6"/>
        <v>0.1923790821</v>
      </c>
      <c r="N12" s="17">
        <f>N11/N3</f>
        <v>0.1250775835</v>
      </c>
      <c r="O12" s="18">
        <f t="shared" si="7"/>
        <v>0.3213201943</v>
      </c>
      <c r="P12" s="17">
        <f>P11/P3</f>
        <v>0.1652675369</v>
      </c>
      <c r="Q12" s="18">
        <f t="shared" si="8"/>
        <v>0</v>
      </c>
      <c r="R12" s="17">
        <f>R11/R3</f>
        <v>0.1652675369</v>
      </c>
      <c r="S12" s="18">
        <f t="shared" si="9"/>
        <v>0</v>
      </c>
      <c r="T12" s="17">
        <f>T11/T3</f>
        <v>0.1652675369</v>
      </c>
      <c r="U12" s="18">
        <f t="shared" si="10"/>
        <v>0</v>
      </c>
      <c r="V12" s="17">
        <f>V11/V3</f>
        <v>0.1652675369</v>
      </c>
      <c r="W12" s="18">
        <f t="shared" si="11"/>
        <v>-0.4675807594</v>
      </c>
      <c r="X12" s="17">
        <f>X11/X3</f>
        <v>0.08799161651</v>
      </c>
    </row>
    <row r="13">
      <c r="A13" s="4" t="s">
        <v>37</v>
      </c>
      <c r="B13" s="15">
        <v>277118.03</v>
      </c>
      <c r="C13" s="13">
        <f t="shared" si="1"/>
        <v>-0.223862482</v>
      </c>
      <c r="D13" s="15">
        <v>215081.7</v>
      </c>
      <c r="E13" s="13">
        <f t="shared" si="2"/>
        <v>-0.1873110544</v>
      </c>
      <c r="F13" s="15">
        <v>174794.52</v>
      </c>
      <c r="G13" s="13">
        <f t="shared" si="3"/>
        <v>-0.0634746444</v>
      </c>
      <c r="H13" s="15">
        <v>163699.5</v>
      </c>
      <c r="I13" s="13">
        <f t="shared" si="4"/>
        <v>-0.2500229384</v>
      </c>
      <c r="J13" s="15">
        <v>122770.87</v>
      </c>
      <c r="K13" s="13">
        <f t="shared" si="5"/>
        <v>-0.0141746165</v>
      </c>
      <c r="L13" s="15">
        <v>121030.64</v>
      </c>
      <c r="M13" s="13">
        <f t="shared" si="6"/>
        <v>0.2232725531</v>
      </c>
      <c r="N13" s="15">
        <v>148053.46</v>
      </c>
      <c r="O13" s="13">
        <f t="shared" si="7"/>
        <v>3.736699365</v>
      </c>
      <c r="P13" s="15">
        <v>701284.73</v>
      </c>
      <c r="Q13" s="13">
        <f t="shared" si="8"/>
        <v>0</v>
      </c>
      <c r="R13" s="15">
        <v>701284.73</v>
      </c>
      <c r="S13" s="13">
        <f t="shared" si="9"/>
        <v>0</v>
      </c>
      <c r="T13" s="15">
        <v>701284.73</v>
      </c>
      <c r="U13" s="13">
        <f t="shared" si="10"/>
        <v>0</v>
      </c>
      <c r="V13" s="15">
        <v>701284.73</v>
      </c>
      <c r="W13" s="13">
        <f t="shared" si="11"/>
        <v>-0.8249343459</v>
      </c>
      <c r="X13" s="15">
        <v>122770.87</v>
      </c>
    </row>
    <row r="14">
      <c r="A14" s="16" t="s">
        <v>34</v>
      </c>
      <c r="B14" s="17">
        <f>B13/B3</f>
        <v>0.01177382357</v>
      </c>
      <c r="C14" s="18">
        <f t="shared" si="1"/>
        <v>-0.5319904375</v>
      </c>
      <c r="D14" s="17">
        <f>D13/D3</f>
        <v>0.005510262016</v>
      </c>
      <c r="E14" s="18">
        <f t="shared" si="2"/>
        <v>0.3387866077</v>
      </c>
      <c r="F14" s="17">
        <f>F13/F3</f>
        <v>0.007377064992</v>
      </c>
      <c r="G14" s="18">
        <f t="shared" si="3"/>
        <v>-0.0501482701</v>
      </c>
      <c r="H14" s="17">
        <f>H13/H3</f>
        <v>0.007007117945</v>
      </c>
      <c r="I14" s="18">
        <f t="shared" si="4"/>
        <v>-0.2409751364</v>
      </c>
      <c r="J14" s="17">
        <f>J13/J3</f>
        <v>0.005318576742</v>
      </c>
      <c r="K14" s="18">
        <f t="shared" si="5"/>
        <v>-0.0821496422</v>
      </c>
      <c r="L14" s="17">
        <f>L13/L3</f>
        <v>0.004881657566</v>
      </c>
      <c r="M14" s="18">
        <f t="shared" si="6"/>
        <v>0.1034209321</v>
      </c>
      <c r="N14" s="17">
        <f>N13/N3</f>
        <v>0.005386523141</v>
      </c>
      <c r="O14" s="18">
        <f t="shared" si="7"/>
        <v>2.549481304</v>
      </c>
      <c r="P14" s="17">
        <f>P13/P3</f>
        <v>0.01911936319</v>
      </c>
      <c r="Q14" s="18">
        <f t="shared" si="8"/>
        <v>0</v>
      </c>
      <c r="R14" s="17">
        <f>R13/R3</f>
        <v>0.01911936319</v>
      </c>
      <c r="S14" s="18">
        <f t="shared" si="9"/>
        <v>0</v>
      </c>
      <c r="T14" s="17">
        <f>T13/T3</f>
        <v>0.01911936319</v>
      </c>
      <c r="U14" s="18">
        <f t="shared" si="10"/>
        <v>0</v>
      </c>
      <c r="V14" s="17">
        <f>V13/V3</f>
        <v>0.01911936319</v>
      </c>
      <c r="W14" s="18">
        <f t="shared" si="11"/>
        <v>-0.7218224953</v>
      </c>
      <c r="X14" s="17">
        <f>X13/X3</f>
        <v>0.005318576742</v>
      </c>
    </row>
    <row r="15">
      <c r="A15" s="4" t="s">
        <v>45</v>
      </c>
      <c r="B15" s="15">
        <v>192840.45</v>
      </c>
      <c r="C15" s="13">
        <f t="shared" si="1"/>
        <v>2.510732266</v>
      </c>
      <c r="D15" s="15">
        <v>677011.19</v>
      </c>
      <c r="E15" s="13">
        <f t="shared" si="2"/>
        <v>0.03411911109</v>
      </c>
      <c r="F15" s="15">
        <v>700110.21</v>
      </c>
      <c r="G15" s="13">
        <f t="shared" si="3"/>
        <v>-0.005471667097</v>
      </c>
      <c r="H15" s="15">
        <v>696279.44</v>
      </c>
      <c r="I15" s="13">
        <f t="shared" si="4"/>
        <v>0.1229740605</v>
      </c>
      <c r="J15" s="15">
        <v>781903.75</v>
      </c>
      <c r="K15" s="13">
        <f t="shared" si="5"/>
        <v>1.221328047</v>
      </c>
      <c r="L15" s="15">
        <v>1736864.73</v>
      </c>
      <c r="M15" s="13">
        <f t="shared" si="6"/>
        <v>0.3359315092</v>
      </c>
      <c r="N15" s="15">
        <v>2320332.32</v>
      </c>
      <c r="O15" s="13">
        <f t="shared" si="7"/>
        <v>2.200144491</v>
      </c>
      <c r="P15" s="15">
        <v>7425398.69</v>
      </c>
      <c r="Q15" s="13">
        <f t="shared" si="8"/>
        <v>0</v>
      </c>
      <c r="R15" s="15">
        <v>7425398.69</v>
      </c>
      <c r="S15" s="13">
        <f t="shared" si="9"/>
        <v>0</v>
      </c>
      <c r="T15" s="15">
        <v>7425398.69</v>
      </c>
      <c r="U15" s="13">
        <f t="shared" si="10"/>
        <v>0</v>
      </c>
      <c r="V15" s="15">
        <v>7425398.69</v>
      </c>
      <c r="W15" s="13">
        <f t="shared" si="11"/>
        <v>-0.8946987519</v>
      </c>
      <c r="X15" s="15">
        <v>781903.75</v>
      </c>
    </row>
    <row r="16">
      <c r="A16" s="16" t="s">
        <v>47</v>
      </c>
      <c r="B16" s="17">
        <f>B15/B3</f>
        <v>0.00819314945</v>
      </c>
      <c r="C16" s="18">
        <f t="shared" si="1"/>
        <v>1.116965401</v>
      </c>
      <c r="D16" s="17">
        <f>D15/D3</f>
        <v>0.01734461391</v>
      </c>
      <c r="E16" s="18">
        <f t="shared" si="2"/>
        <v>0.703560537</v>
      </c>
      <c r="F16" s="17">
        <f>F15/F3</f>
        <v>0.02954759978</v>
      </c>
      <c r="G16" s="18">
        <f t="shared" si="3"/>
        <v>0.008680065943</v>
      </c>
      <c r="H16" s="17">
        <f>H15/H3</f>
        <v>0.0298040749</v>
      </c>
      <c r="I16" s="18">
        <f t="shared" si="4"/>
        <v>0.1365217374</v>
      </c>
      <c r="J16" s="17">
        <f>J15/J3</f>
        <v>0.03387297898</v>
      </c>
      <c r="K16" s="18">
        <f t="shared" si="5"/>
        <v>1.068162148</v>
      </c>
      <c r="L16" s="17">
        <f>L15/L3</f>
        <v>0.07005481298</v>
      </c>
      <c r="M16" s="18">
        <f t="shared" si="6"/>
        <v>0.2050419895</v>
      </c>
      <c r="N16" s="17">
        <f>N15/N3</f>
        <v>0.0844189912</v>
      </c>
      <c r="O16" s="18">
        <f t="shared" si="7"/>
        <v>1.398052349</v>
      </c>
      <c r="P16" s="17">
        <f>P15/P3</f>
        <v>0.2024411602</v>
      </c>
      <c r="Q16" s="18">
        <f t="shared" si="8"/>
        <v>0</v>
      </c>
      <c r="R16" s="17">
        <f>R15/R3</f>
        <v>0.2024411602</v>
      </c>
      <c r="S16" s="18">
        <f t="shared" si="9"/>
        <v>0</v>
      </c>
      <c r="T16" s="17">
        <f>T15/T3</f>
        <v>0.2024411602</v>
      </c>
      <c r="U16" s="18">
        <f t="shared" si="10"/>
        <v>0</v>
      </c>
      <c r="V16" s="17">
        <f>V15/V3</f>
        <v>0.2024411602</v>
      </c>
      <c r="W16" s="18">
        <f t="shared" si="11"/>
        <v>-0.8326774113</v>
      </c>
      <c r="X16" s="17">
        <f>X15/X3</f>
        <v>0.03387297898</v>
      </c>
    </row>
    <row r="17">
      <c r="A17" s="1" t="s">
        <v>36</v>
      </c>
      <c r="B17" s="24">
        <f>B9</f>
        <v>0</v>
      </c>
      <c r="C17" s="13">
        <f t="shared" si="1"/>
        <v>0</v>
      </c>
      <c r="D17" s="24">
        <f>D9</f>
        <v>16520776.44</v>
      </c>
      <c r="E17" s="13">
        <f t="shared" si="2"/>
        <v>-0.9499849984</v>
      </c>
      <c r="F17" s="24">
        <f>F9</f>
        <v>826286.66</v>
      </c>
      <c r="G17" s="13">
        <f t="shared" si="3"/>
        <v>0</v>
      </c>
      <c r="H17" s="24">
        <f>H9</f>
        <v>826286.66</v>
      </c>
      <c r="I17" s="13">
        <f t="shared" si="4"/>
        <v>-0.1288245535</v>
      </c>
      <c r="J17" s="24">
        <f>J9</f>
        <v>719840.65</v>
      </c>
      <c r="K17" s="13">
        <f t="shared" si="5"/>
        <v>0</v>
      </c>
      <c r="L17" s="24">
        <f>L9</f>
        <v>719840.65</v>
      </c>
      <c r="M17" s="13">
        <f t="shared" si="6"/>
        <v>0.1864977478</v>
      </c>
      <c r="N17" s="24">
        <f>N9</f>
        <v>854089.31</v>
      </c>
      <c r="O17" s="13">
        <f t="shared" si="7"/>
        <v>-0.007238833138</v>
      </c>
      <c r="P17" s="24">
        <f>P9</f>
        <v>847906.7</v>
      </c>
      <c r="Q17" s="13">
        <f t="shared" si="8"/>
        <v>0</v>
      </c>
      <c r="R17" s="24">
        <f>R9</f>
        <v>847906.7</v>
      </c>
      <c r="S17" s="13">
        <f t="shared" si="9"/>
        <v>0</v>
      </c>
      <c r="T17" s="24">
        <f>T9</f>
        <v>847906.7</v>
      </c>
      <c r="U17" s="13">
        <f t="shared" si="10"/>
        <v>0</v>
      </c>
      <c r="V17" s="24">
        <f>V9</f>
        <v>847906.7</v>
      </c>
      <c r="W17" s="13">
        <f t="shared" si="11"/>
        <v>-0.1510379031</v>
      </c>
      <c r="X17" s="24">
        <f>X9</f>
        <v>719840.65</v>
      </c>
    </row>
    <row r="18">
      <c r="A18" s="28" t="s">
        <v>39</v>
      </c>
      <c r="B18" s="24">
        <f>B3-ABS(B17)</f>
        <v>23536791.46</v>
      </c>
      <c r="C18" s="13">
        <f t="shared" si="1"/>
        <v>-0.04353323781</v>
      </c>
      <c r="D18" s="24">
        <f>D3-ABS(D17)</f>
        <v>22512158.72</v>
      </c>
      <c r="E18" s="13">
        <f t="shared" si="2"/>
        <v>0.01580799533</v>
      </c>
      <c r="F18" s="24">
        <f>F3-ABS(F17)</f>
        <v>22868030.82</v>
      </c>
      <c r="G18" s="13">
        <f t="shared" si="3"/>
        <v>-0.014536894</v>
      </c>
      <c r="H18" s="24">
        <f>H3-ABS(H17)</f>
        <v>22535600.68</v>
      </c>
      <c r="I18" s="13">
        <f t="shared" si="4"/>
        <v>-0.007633904791</v>
      </c>
      <c r="J18" s="24">
        <f>J3-ABS(J17)</f>
        <v>22363566.05</v>
      </c>
      <c r="K18" s="13">
        <f t="shared" si="5"/>
        <v>0.07644275766</v>
      </c>
      <c r="L18" s="24">
        <f>L3-ABS(L17)</f>
        <v>24073098.71</v>
      </c>
      <c r="M18" s="13">
        <f t="shared" si="6"/>
        <v>0.1062894474</v>
      </c>
      <c r="N18" s="24">
        <f>N3-ABS(N17)</f>
        <v>26631815.07</v>
      </c>
      <c r="O18" s="13">
        <f t="shared" si="7"/>
        <v>0.3454353939</v>
      </c>
      <c r="P18" s="24">
        <f>P3-ABS(P17)</f>
        <v>35831386.6</v>
      </c>
      <c r="Q18" s="13">
        <f t="shared" si="8"/>
        <v>0</v>
      </c>
      <c r="R18" s="24">
        <f>R3-ABS(R17)</f>
        <v>35831386.6</v>
      </c>
      <c r="S18" s="13">
        <f t="shared" si="9"/>
        <v>0</v>
      </c>
      <c r="T18" s="24">
        <f>T3-ABS(T17)</f>
        <v>35831386.6</v>
      </c>
      <c r="U18" s="13">
        <f t="shared" si="10"/>
        <v>0</v>
      </c>
      <c r="V18" s="24">
        <f>V3-ABS(V17)</f>
        <v>35831386.6</v>
      </c>
      <c r="W18" s="13">
        <f t="shared" si="11"/>
        <v>-0.3758665748</v>
      </c>
      <c r="X18" s="24">
        <f>X3-ABS(X17)</f>
        <v>22363566.05</v>
      </c>
    </row>
    <row r="20">
      <c r="A20" s="25" t="s">
        <v>44</v>
      </c>
      <c r="B20" s="26">
        <f>SUM(B21,B22,B24,B26,B27)</f>
        <v>4193764.27</v>
      </c>
      <c r="C20" s="27">
        <f t="shared" ref="C20:C41" si="12">IFERROR(SUM((D20/B20)-1),0)</f>
        <v>0.04105938458</v>
      </c>
      <c r="D20" s="26">
        <f>SUM(D21,D22,D24,D26,D27)</f>
        <v>4365957.65</v>
      </c>
      <c r="E20" s="27">
        <f t="shared" ref="E20:E41" si="13">IFERROR(SUM((F20/D20)-1),0)</f>
        <v>-0.01716505885</v>
      </c>
      <c r="F20" s="26">
        <f>SUM(F21,F22,F24,F26,F27)</f>
        <v>4291015.73</v>
      </c>
      <c r="G20" s="27">
        <f t="shared" ref="G20:G41" si="14">IFERROR(SUM((H20/F20)-1),0)</f>
        <v>-0.1487594826</v>
      </c>
      <c r="H20" s="26">
        <f>SUM(H21,H22,H24,H26,H27)</f>
        <v>3652686.45</v>
      </c>
      <c r="I20" s="27">
        <f t="shared" ref="I20:I41" si="15">IFERROR(SUM((J20/H20)-1),0)</f>
        <v>0.173136038</v>
      </c>
      <c r="J20" s="26">
        <f>SUM(J21,J22,J24,J26,J27)</f>
        <v>4285098.11</v>
      </c>
      <c r="K20" s="27">
        <f t="shared" ref="K20:K41" si="16">IFERROR(SUM((L20/J20)-1),0)</f>
        <v>0.06205209383</v>
      </c>
      <c r="L20" s="26">
        <f>SUM(L21,L22,L24,L26,L27)</f>
        <v>4550997.42</v>
      </c>
      <c r="M20" s="27">
        <f t="shared" ref="M20:M41" si="17">IFERROR(SUM((N20/L20)-1),0)</f>
        <v>-0.09518098782</v>
      </c>
      <c r="N20" s="26">
        <f>SUM(N21,N22,N24,N26,N27)</f>
        <v>4117828.99</v>
      </c>
      <c r="O20" s="27">
        <f t="shared" ref="O20:O41" si="18">IFERROR(SUM((P20/N20)-1),0)</f>
        <v>0.123450605</v>
      </c>
      <c r="P20" s="26">
        <f>SUM(P21,P22,P24,P26,P27)</f>
        <v>4626177.47</v>
      </c>
      <c r="Q20" s="27">
        <f t="shared" ref="Q20:Q41" si="19">IFERROR(SUM((R20/P20)-1),0)</f>
        <v>0</v>
      </c>
      <c r="R20" s="26">
        <f>SUM(R21,R22,R24,R26,R27)</f>
        <v>4626177.47</v>
      </c>
      <c r="S20" s="27">
        <f t="shared" ref="S20:S41" si="20">IFERROR(SUM((T20/R20)-1),0)</f>
        <v>0</v>
      </c>
      <c r="T20" s="26">
        <f>SUM(T21,T22,T24,T26,T27)</f>
        <v>4626177.47</v>
      </c>
      <c r="U20" s="27">
        <f t="shared" ref="U20:U41" si="21">IFERROR(SUM((V20/T20)-1),0)</f>
        <v>0</v>
      </c>
      <c r="V20" s="26">
        <f>SUM(V21,V22,V24,V26,V27)</f>
        <v>4626177.47</v>
      </c>
      <c r="W20" s="27">
        <f t="shared" ref="W20:W41" si="22">IFERROR(SUM((X20/V20)-1),0)</f>
        <v>-0.07372811835</v>
      </c>
      <c r="X20" s="26">
        <f>SUM(X21,X22,X24,X26,X27)</f>
        <v>4285098.11</v>
      </c>
    </row>
    <row r="21">
      <c r="A21" s="4" t="s">
        <v>48</v>
      </c>
      <c r="B21" s="15">
        <v>251686.21</v>
      </c>
      <c r="C21" s="13">
        <f t="shared" si="12"/>
        <v>-0.8553349427</v>
      </c>
      <c r="D21" s="15">
        <v>36410.2</v>
      </c>
      <c r="E21" s="13">
        <f t="shared" si="13"/>
        <v>0.2513260021</v>
      </c>
      <c r="F21" s="15">
        <v>45561.03</v>
      </c>
      <c r="G21" s="13">
        <f t="shared" si="14"/>
        <v>-0.2174228721</v>
      </c>
      <c r="H21" s="15">
        <v>35655.02</v>
      </c>
      <c r="I21" s="13">
        <f t="shared" si="15"/>
        <v>-0.2539202053</v>
      </c>
      <c r="J21" s="15">
        <v>26601.49</v>
      </c>
      <c r="K21" s="13">
        <f t="shared" si="16"/>
        <v>20.73515769</v>
      </c>
      <c r="L21" s="15">
        <v>578187.58</v>
      </c>
      <c r="M21" s="13">
        <f t="shared" si="17"/>
        <v>-0.8887654418</v>
      </c>
      <c r="N21" s="15">
        <v>64314.44</v>
      </c>
      <c r="O21" s="13">
        <f t="shared" si="18"/>
        <v>4.310521712</v>
      </c>
      <c r="P21" s="15">
        <v>341543.23</v>
      </c>
      <c r="Q21" s="13">
        <f t="shared" si="19"/>
        <v>0</v>
      </c>
      <c r="R21" s="15">
        <v>341543.23</v>
      </c>
      <c r="S21" s="13">
        <f t="shared" si="20"/>
        <v>0</v>
      </c>
      <c r="T21" s="15">
        <v>341543.23</v>
      </c>
      <c r="U21" s="13">
        <f t="shared" si="21"/>
        <v>0</v>
      </c>
      <c r="V21" s="15">
        <v>341543.23</v>
      </c>
      <c r="W21" s="13">
        <f t="shared" si="22"/>
        <v>-0.9221138419</v>
      </c>
      <c r="X21" s="15">
        <v>26601.49</v>
      </c>
    </row>
    <row r="22">
      <c r="A22" s="25" t="s">
        <v>49</v>
      </c>
      <c r="B22" s="15">
        <v>1871198.94</v>
      </c>
      <c r="C22" s="13">
        <f t="shared" si="12"/>
        <v>0.0797378391</v>
      </c>
      <c r="D22" s="15">
        <v>2020404.3</v>
      </c>
      <c r="E22" s="13">
        <f t="shared" si="13"/>
        <v>-0.04561707278</v>
      </c>
      <c r="F22" s="15">
        <v>1928239.37</v>
      </c>
      <c r="G22" s="13">
        <f t="shared" si="14"/>
        <v>-0.1180064434</v>
      </c>
      <c r="H22" s="15">
        <v>1700694.7</v>
      </c>
      <c r="I22" s="13">
        <f t="shared" si="15"/>
        <v>0.1321311168</v>
      </c>
      <c r="J22" s="15">
        <v>1925409.39</v>
      </c>
      <c r="K22" s="13">
        <f t="shared" si="16"/>
        <v>-0.07653151105</v>
      </c>
      <c r="L22" s="15">
        <v>1778054.9</v>
      </c>
      <c r="M22" s="13">
        <f t="shared" si="17"/>
        <v>0.03106286538</v>
      </c>
      <c r="N22" s="15">
        <v>1833286.38</v>
      </c>
      <c r="O22" s="13">
        <f t="shared" si="18"/>
        <v>0.03845131386</v>
      </c>
      <c r="P22" s="15">
        <v>1903778.65</v>
      </c>
      <c r="Q22" s="13">
        <f t="shared" si="19"/>
        <v>0</v>
      </c>
      <c r="R22" s="15">
        <v>1903778.65</v>
      </c>
      <c r="S22" s="13">
        <f t="shared" si="20"/>
        <v>0</v>
      </c>
      <c r="T22" s="15">
        <v>1903778.65</v>
      </c>
      <c r="U22" s="13">
        <f t="shared" si="21"/>
        <v>0</v>
      </c>
      <c r="V22" s="15">
        <v>1903778.65</v>
      </c>
      <c r="W22" s="13">
        <f t="shared" si="22"/>
        <v>0.01136200367</v>
      </c>
      <c r="X22" s="15">
        <v>1925409.39</v>
      </c>
    </row>
    <row r="23">
      <c r="A23" s="1" t="s">
        <v>50</v>
      </c>
      <c r="B23" s="30">
        <f>B22/B3</f>
        <v>0.07950102048</v>
      </c>
      <c r="C23" s="31">
        <f t="shared" si="12"/>
        <v>-0.3489199763</v>
      </c>
      <c r="D23" s="30">
        <f>D22/D3</f>
        <v>0.0517615263</v>
      </c>
      <c r="E23" s="31">
        <f t="shared" si="13"/>
        <v>0.5722067938</v>
      </c>
      <c r="F23" s="30">
        <f>F22/F3</f>
        <v>0.08137982331</v>
      </c>
      <c r="G23" s="31">
        <f t="shared" si="14"/>
        <v>-0.1054560343</v>
      </c>
      <c r="H23" s="30">
        <f>H22/H3</f>
        <v>0.07279782987</v>
      </c>
      <c r="I23" s="31">
        <f t="shared" si="15"/>
        <v>0.1457892653</v>
      </c>
      <c r="J23" s="30">
        <f>J22/J3</f>
        <v>0.083410972</v>
      </c>
      <c r="K23" s="31">
        <f t="shared" si="16"/>
        <v>-0.1402068792</v>
      </c>
      <c r="L23" s="30">
        <f>L22/L3</f>
        <v>0.07171617992</v>
      </c>
      <c r="M23" s="31">
        <f t="shared" si="17"/>
        <v>-0.06995677696</v>
      </c>
      <c r="N23" s="30">
        <f>N22/N3</f>
        <v>0.06669914712</v>
      </c>
      <c r="O23" s="31">
        <f t="shared" si="18"/>
        <v>-0.2218286955</v>
      </c>
      <c r="P23" s="30">
        <f>P22/P3</f>
        <v>0.05190336233</v>
      </c>
      <c r="Q23" s="31">
        <f t="shared" si="19"/>
        <v>0</v>
      </c>
      <c r="R23" s="30">
        <f>R22/R3</f>
        <v>0.05190336233</v>
      </c>
      <c r="S23" s="31">
        <f t="shared" si="20"/>
        <v>0</v>
      </c>
      <c r="T23" s="30">
        <f>T22/T3</f>
        <v>0.05190336233</v>
      </c>
      <c r="U23" s="31">
        <f t="shared" si="21"/>
        <v>0</v>
      </c>
      <c r="V23" s="30">
        <f>V22/V3</f>
        <v>0.05190336233</v>
      </c>
      <c r="W23" s="31">
        <f t="shared" si="22"/>
        <v>0.607043711</v>
      </c>
      <c r="X23" s="30">
        <f>X22/X3</f>
        <v>0.083410972</v>
      </c>
    </row>
    <row r="24">
      <c r="A24" s="4" t="s">
        <v>51</v>
      </c>
      <c r="B24" s="15">
        <v>1795911.36</v>
      </c>
      <c r="C24" s="13">
        <f t="shared" si="12"/>
        <v>0.1464475118</v>
      </c>
      <c r="D24" s="15">
        <v>2058918.11</v>
      </c>
      <c r="E24" s="13">
        <f t="shared" si="13"/>
        <v>-0.03427065392</v>
      </c>
      <c r="F24" s="15">
        <v>1988357.64</v>
      </c>
      <c r="G24" s="13">
        <f t="shared" si="14"/>
        <v>-0.1328001486</v>
      </c>
      <c r="H24" s="15">
        <v>1724303.45</v>
      </c>
      <c r="I24" s="13">
        <f t="shared" si="15"/>
        <v>0.2171275595</v>
      </c>
      <c r="J24" s="15">
        <v>2098697.25</v>
      </c>
      <c r="K24" s="13">
        <f t="shared" si="16"/>
        <v>-0.07807891777</v>
      </c>
      <c r="L24" s="15">
        <v>1934833.24</v>
      </c>
      <c r="M24" s="13">
        <f t="shared" si="17"/>
        <v>-0.004355357261</v>
      </c>
      <c r="N24" s="15">
        <v>1926406.35</v>
      </c>
      <c r="O24" s="13">
        <f t="shared" si="18"/>
        <v>0.02601500457</v>
      </c>
      <c r="P24" s="15">
        <v>1976521.82</v>
      </c>
      <c r="Q24" s="13">
        <f t="shared" si="19"/>
        <v>0</v>
      </c>
      <c r="R24" s="15">
        <v>1976521.82</v>
      </c>
      <c r="S24" s="13">
        <f t="shared" si="20"/>
        <v>0</v>
      </c>
      <c r="T24" s="15">
        <v>1976521.82</v>
      </c>
      <c r="U24" s="13">
        <f t="shared" si="21"/>
        <v>0</v>
      </c>
      <c r="V24" s="15">
        <v>1976521.82</v>
      </c>
      <c r="W24" s="13">
        <f t="shared" si="22"/>
        <v>0.06181334745</v>
      </c>
      <c r="X24" s="15">
        <v>2098697.25</v>
      </c>
    </row>
    <row r="25">
      <c r="A25" s="1" t="s">
        <v>52</v>
      </c>
      <c r="B25" s="30">
        <f>B24/B3</f>
        <v>0.07630230157</v>
      </c>
      <c r="C25" s="31">
        <f t="shared" si="12"/>
        <v>-0.3086941606</v>
      </c>
      <c r="D25" s="30">
        <f>D24/D3</f>
        <v>0.05274822663</v>
      </c>
      <c r="E25" s="31">
        <f t="shared" si="13"/>
        <v>0.5908983654</v>
      </c>
      <c r="F25" s="30">
        <f>F24/F3</f>
        <v>0.08391706753</v>
      </c>
      <c r="G25" s="31">
        <f t="shared" si="14"/>
        <v>-0.120460248</v>
      </c>
      <c r="H25" s="30">
        <f>H24/H3</f>
        <v>0.07380839677</v>
      </c>
      <c r="I25" s="31">
        <f t="shared" si="15"/>
        <v>0.2318111141</v>
      </c>
      <c r="J25" s="30">
        <f>J24/J3</f>
        <v>0.09091800345</v>
      </c>
      <c r="K25" s="31">
        <f t="shared" si="16"/>
        <v>-0.1416475886</v>
      </c>
      <c r="L25" s="30">
        <f>L24/L3</f>
        <v>0.07803968751</v>
      </c>
      <c r="M25" s="31">
        <f t="shared" si="17"/>
        <v>-0.101904856</v>
      </c>
      <c r="N25" s="30">
        <f>N24/N3</f>
        <v>0.07008706439</v>
      </c>
      <c r="O25" s="31">
        <f t="shared" si="18"/>
        <v>-0.2311479374</v>
      </c>
      <c r="P25" s="30">
        <f>P24/P3</f>
        <v>0.05388658401</v>
      </c>
      <c r="Q25" s="31">
        <f t="shared" si="19"/>
        <v>0</v>
      </c>
      <c r="R25" s="30">
        <f>R24/R3</f>
        <v>0.05388658401</v>
      </c>
      <c r="S25" s="31">
        <f t="shared" si="20"/>
        <v>0</v>
      </c>
      <c r="T25" s="30">
        <f>T24/T3</f>
        <v>0.05388658401</v>
      </c>
      <c r="U25" s="31">
        <f t="shared" si="21"/>
        <v>0</v>
      </c>
      <c r="V25" s="30">
        <f>V24/V3</f>
        <v>0.05388658401</v>
      </c>
      <c r="W25" s="31">
        <f t="shared" si="22"/>
        <v>0.6872103718</v>
      </c>
      <c r="X25" s="30">
        <f>X24/X3</f>
        <v>0.09091800345</v>
      </c>
    </row>
    <row r="26">
      <c r="A26" s="4" t="s">
        <v>55</v>
      </c>
      <c r="B26" s="15">
        <v>60630.32</v>
      </c>
      <c r="C26" s="13">
        <f t="shared" si="12"/>
        <v>-0.2224937952</v>
      </c>
      <c r="D26" s="15">
        <v>47140.45</v>
      </c>
      <c r="E26" s="13">
        <f t="shared" si="13"/>
        <v>-0.2007861614</v>
      </c>
      <c r="F26" s="15">
        <v>37675.3</v>
      </c>
      <c r="G26" s="13">
        <f t="shared" si="14"/>
        <v>-0.1997738571</v>
      </c>
      <c r="H26" s="15">
        <v>30148.76</v>
      </c>
      <c r="I26" s="13">
        <f t="shared" si="15"/>
        <v>-0.2520504989</v>
      </c>
      <c r="J26" s="15">
        <v>22549.75</v>
      </c>
      <c r="K26" s="13">
        <f t="shared" si="16"/>
        <v>-0.01417443652</v>
      </c>
      <c r="L26" s="15">
        <v>22230.12</v>
      </c>
      <c r="M26" s="13">
        <f t="shared" si="17"/>
        <v>0.2232709495</v>
      </c>
      <c r="N26" s="15">
        <v>27193.46</v>
      </c>
      <c r="O26" s="13">
        <f t="shared" si="18"/>
        <v>3.736705075</v>
      </c>
      <c r="P26" s="15">
        <v>128807.4</v>
      </c>
      <c r="Q26" s="13">
        <f t="shared" si="19"/>
        <v>0</v>
      </c>
      <c r="R26" s="15">
        <v>128807.4</v>
      </c>
      <c r="S26" s="13">
        <f t="shared" si="20"/>
        <v>0</v>
      </c>
      <c r="T26" s="15">
        <v>128807.4</v>
      </c>
      <c r="U26" s="13">
        <f t="shared" si="21"/>
        <v>0</v>
      </c>
      <c r="V26" s="15">
        <v>128807.4</v>
      </c>
      <c r="W26" s="13">
        <f t="shared" si="22"/>
        <v>-0.8249343594</v>
      </c>
      <c r="X26" s="15">
        <v>22549.75</v>
      </c>
    </row>
    <row r="27">
      <c r="A27" s="4" t="s">
        <v>53</v>
      </c>
      <c r="B27" s="15">
        <v>214337.44</v>
      </c>
      <c r="C27" s="13">
        <f t="shared" si="12"/>
        <v>-0.05250062705</v>
      </c>
      <c r="D27" s="15">
        <v>203084.59</v>
      </c>
      <c r="E27" s="13">
        <f t="shared" si="13"/>
        <v>0.4337985467</v>
      </c>
      <c r="F27" s="15">
        <v>291182.39</v>
      </c>
      <c r="G27" s="13">
        <f t="shared" si="14"/>
        <v>-0.4440442638</v>
      </c>
      <c r="H27" s="15">
        <v>161884.52</v>
      </c>
      <c r="I27" s="13">
        <f t="shared" si="15"/>
        <v>0.3085885544</v>
      </c>
      <c r="J27" s="15">
        <v>211840.23</v>
      </c>
      <c r="K27" s="13">
        <f t="shared" si="16"/>
        <v>0.1220322976</v>
      </c>
      <c r="L27" s="15">
        <v>237691.58</v>
      </c>
      <c r="M27" s="13">
        <f t="shared" si="17"/>
        <v>0.1217408711</v>
      </c>
      <c r="N27" s="15">
        <v>266628.36</v>
      </c>
      <c r="O27" s="13">
        <f t="shared" si="18"/>
        <v>0.03337233144</v>
      </c>
      <c r="P27" s="15">
        <v>275526.37</v>
      </c>
      <c r="Q27" s="13">
        <f t="shared" si="19"/>
        <v>0</v>
      </c>
      <c r="R27" s="15">
        <v>275526.37</v>
      </c>
      <c r="S27" s="13">
        <f t="shared" si="20"/>
        <v>0</v>
      </c>
      <c r="T27" s="15">
        <v>275526.37</v>
      </c>
      <c r="U27" s="13">
        <f t="shared" si="21"/>
        <v>0</v>
      </c>
      <c r="V27" s="15">
        <v>275526.37</v>
      </c>
      <c r="W27" s="13">
        <f t="shared" si="22"/>
        <v>-0.2311435381</v>
      </c>
      <c r="X27" s="15">
        <v>211840.23</v>
      </c>
    </row>
    <row r="28">
      <c r="A28" s="1" t="s">
        <v>54</v>
      </c>
      <c r="B28" s="30">
        <f>B20/B3</f>
        <v>0.1781790979</v>
      </c>
      <c r="C28" s="31">
        <f t="shared" si="12"/>
        <v>-0.3722430165</v>
      </c>
      <c r="D28" s="30">
        <f>D20/D3</f>
        <v>0.111853173</v>
      </c>
      <c r="E28" s="31">
        <f t="shared" si="13"/>
        <v>0.6190773405</v>
      </c>
      <c r="F28" s="30">
        <f>F20/F3</f>
        <v>0.1810989379</v>
      </c>
      <c r="G28" s="31">
        <f t="shared" si="14"/>
        <v>-0.1366466768</v>
      </c>
      <c r="H28" s="30">
        <f>H20/H3</f>
        <v>0.1563523699</v>
      </c>
      <c r="I28" s="31">
        <f t="shared" si="15"/>
        <v>0.1872888742</v>
      </c>
      <c r="J28" s="30">
        <f>J20/J3</f>
        <v>0.1856354292</v>
      </c>
      <c r="K28" s="31">
        <f t="shared" si="16"/>
        <v>-0.01117894645</v>
      </c>
      <c r="L28" s="30">
        <f>L20/L3</f>
        <v>0.1835602207</v>
      </c>
      <c r="M28" s="31">
        <f t="shared" si="17"/>
        <v>-0.1838317346</v>
      </c>
      <c r="N28" s="30">
        <f>N20/N3</f>
        <v>0.1498160269</v>
      </c>
      <c r="O28" s="31">
        <f t="shared" si="18"/>
        <v>-0.1581338372</v>
      </c>
      <c r="P28" s="30">
        <f>P20/P3</f>
        <v>0.1261250437</v>
      </c>
      <c r="Q28" s="31">
        <f t="shared" si="19"/>
        <v>0</v>
      </c>
      <c r="R28" s="30">
        <f>R20/R3</f>
        <v>0.1261250437</v>
      </c>
      <c r="S28" s="31">
        <f t="shared" si="20"/>
        <v>0</v>
      </c>
      <c r="T28" s="30">
        <f>T20/T3</f>
        <v>0.1261250437</v>
      </c>
      <c r="U28" s="31">
        <f t="shared" si="21"/>
        <v>0</v>
      </c>
      <c r="V28" s="30">
        <f>V20/V3</f>
        <v>0.1261250437</v>
      </c>
      <c r="W28" s="31">
        <f t="shared" si="22"/>
        <v>0.4718363916</v>
      </c>
      <c r="X28" s="30">
        <f>X20/X3</f>
        <v>0.1856354292</v>
      </c>
    </row>
    <row r="29">
      <c r="A29" s="36" t="s">
        <v>56</v>
      </c>
      <c r="B29" s="37">
        <f>B30/$B$3</f>
        <v>0.8218209021</v>
      </c>
      <c r="C29" s="38">
        <f t="shared" si="12"/>
        <v>0.08070605739</v>
      </c>
      <c r="D29" s="37">
        <f>D30/$D$3</f>
        <v>0.888146827</v>
      </c>
      <c r="E29" s="38">
        <f t="shared" si="13"/>
        <v>-0.07796657352</v>
      </c>
      <c r="F29" s="37">
        <f>F30/$F$3</f>
        <v>0.8189010621</v>
      </c>
      <c r="G29" s="38">
        <f t="shared" si="14"/>
        <v>0.03021924038</v>
      </c>
      <c r="H29" s="37">
        <f>H30/$H$3</f>
        <v>0.8436476301</v>
      </c>
      <c r="I29" s="38">
        <f t="shared" si="15"/>
        <v>-0.03471005938</v>
      </c>
      <c r="J29" s="37">
        <f>J30/$J$3</f>
        <v>0.8143645708</v>
      </c>
      <c r="K29" s="38">
        <f t="shared" si="16"/>
        <v>0.002548254918</v>
      </c>
      <c r="L29" s="37">
        <f>L30/$L$3</f>
        <v>0.8164397793</v>
      </c>
      <c r="M29" s="38">
        <f t="shared" si="17"/>
        <v>0.04133090354</v>
      </c>
      <c r="N29" s="37">
        <f>N30/$N$3</f>
        <v>0.8501839731</v>
      </c>
      <c r="O29" s="38">
        <f t="shared" si="18"/>
        <v>0.02786571373</v>
      </c>
      <c r="P29" s="37">
        <f>P30/$P$3</f>
        <v>0.8738749563</v>
      </c>
      <c r="Q29" s="38">
        <f t="shared" si="19"/>
        <v>0</v>
      </c>
      <c r="R29" s="37">
        <f>R30/$P$3</f>
        <v>0.8738749563</v>
      </c>
      <c r="S29" s="38">
        <f t="shared" si="20"/>
        <v>0</v>
      </c>
      <c r="T29" s="37">
        <f>T30/$P$3</f>
        <v>0.8738749563</v>
      </c>
      <c r="U29" s="38">
        <f t="shared" si="21"/>
        <v>0</v>
      </c>
      <c r="V29" s="37">
        <f>V30/$P$3</f>
        <v>0.8738749563</v>
      </c>
      <c r="W29" s="38">
        <f t="shared" si="22"/>
        <v>-0.06809942896</v>
      </c>
      <c r="X29" s="37">
        <f>X30/$X$3</f>
        <v>0.8143645708</v>
      </c>
      <c r="Y29" s="13"/>
    </row>
    <row r="30">
      <c r="A30" s="28" t="s">
        <v>57</v>
      </c>
      <c r="B30" s="24">
        <f>B3-B20</f>
        <v>19343027.19</v>
      </c>
      <c r="C30" s="13">
        <f t="shared" si="12"/>
        <v>0.7922208954</v>
      </c>
      <c r="D30" s="24">
        <f>D3-D20</f>
        <v>34666977.51</v>
      </c>
      <c r="E30" s="13">
        <f t="shared" si="13"/>
        <v>-0.4402943913</v>
      </c>
      <c r="F30" s="24">
        <f>F3-F20</f>
        <v>19403301.75</v>
      </c>
      <c r="G30" s="13">
        <f t="shared" si="14"/>
        <v>0.01576531376</v>
      </c>
      <c r="H30" s="24">
        <f>H3-H20</f>
        <v>19709200.89</v>
      </c>
      <c r="I30" s="13">
        <f t="shared" si="15"/>
        <v>-0.04621660234</v>
      </c>
      <c r="J30" s="24">
        <f>J3-J20</f>
        <v>18798308.59</v>
      </c>
      <c r="K30" s="13">
        <f t="shared" si="16"/>
        <v>0.0767959172</v>
      </c>
      <c r="L30" s="24">
        <f>L3-L20</f>
        <v>20241941.94</v>
      </c>
      <c r="M30" s="13">
        <f t="shared" si="17"/>
        <v>0.154438416</v>
      </c>
      <c r="N30" s="24">
        <f>N3-N20</f>
        <v>23368075.39</v>
      </c>
      <c r="O30" s="13">
        <f t="shared" si="18"/>
        <v>0.3716626335</v>
      </c>
      <c r="P30" s="24">
        <f>P3-P20</f>
        <v>32053115.83</v>
      </c>
      <c r="Q30" s="13">
        <f t="shared" si="19"/>
        <v>0</v>
      </c>
      <c r="R30" s="24">
        <f>R3-R20</f>
        <v>32053115.83</v>
      </c>
      <c r="S30" s="13">
        <f t="shared" si="20"/>
        <v>0</v>
      </c>
      <c r="T30" s="24">
        <f>T3-T20</f>
        <v>32053115.83</v>
      </c>
      <c r="U30" s="13">
        <f t="shared" si="21"/>
        <v>0</v>
      </c>
      <c r="V30" s="24">
        <f>V3-V20</f>
        <v>32053115.83</v>
      </c>
      <c r="W30" s="13">
        <f t="shared" si="22"/>
        <v>-0.4135263264</v>
      </c>
      <c r="X30" s="24">
        <f>X3-X20</f>
        <v>18798308.59</v>
      </c>
    </row>
    <row r="31">
      <c r="A31" s="28" t="s">
        <v>58</v>
      </c>
      <c r="B31" s="39">
        <f>B30-ABS(B17)</f>
        <v>19343027.19</v>
      </c>
      <c r="C31" s="12">
        <f t="shared" si="12"/>
        <v>-0.0618737754</v>
      </c>
      <c r="D31" s="39">
        <f>D30-ABS(D17)</f>
        <v>18146201.07</v>
      </c>
      <c r="E31" s="12">
        <f t="shared" si="13"/>
        <v>0.02374127887</v>
      </c>
      <c r="F31" s="39">
        <f>F30-ABS(F17)</f>
        <v>18577015.09</v>
      </c>
      <c r="G31" s="12">
        <f t="shared" si="14"/>
        <v>0.01646653881</v>
      </c>
      <c r="H31" s="39">
        <f>H30-ABS(H17)</f>
        <v>18882914.23</v>
      </c>
      <c r="I31" s="12">
        <f t="shared" si="15"/>
        <v>-0.04260180818</v>
      </c>
      <c r="J31" s="39">
        <f>J30-ABS(J17)</f>
        <v>18078467.94</v>
      </c>
      <c r="K31" s="12">
        <f t="shared" si="16"/>
        <v>0.07985374396</v>
      </c>
      <c r="L31" s="39">
        <f>L30-ABS(L17)</f>
        <v>19522101.29</v>
      </c>
      <c r="M31" s="12">
        <f t="shared" si="17"/>
        <v>0.1532562886</v>
      </c>
      <c r="N31" s="39">
        <f>N30-ABS(N17)</f>
        <v>22513986.08</v>
      </c>
      <c r="O31" s="12">
        <f t="shared" si="18"/>
        <v>0.3860366183</v>
      </c>
      <c r="P31" s="39">
        <f>P30-ABS(P17)</f>
        <v>31205209.13</v>
      </c>
      <c r="Q31" s="12">
        <f t="shared" si="19"/>
        <v>0</v>
      </c>
      <c r="R31" s="39">
        <f>R30-ABS(R17)</f>
        <v>31205209.13</v>
      </c>
      <c r="S31" s="12">
        <f t="shared" si="20"/>
        <v>0</v>
      </c>
      <c r="T31" s="39">
        <f>T30-ABS(T17)</f>
        <v>31205209.13</v>
      </c>
      <c r="U31" s="12">
        <f t="shared" si="21"/>
        <v>0</v>
      </c>
      <c r="V31" s="39">
        <f>V30-ABS(V17)</f>
        <v>31205209.13</v>
      </c>
      <c r="W31" s="12">
        <f t="shared" si="22"/>
        <v>-0.4206586514</v>
      </c>
      <c r="X31" s="39">
        <f>X30-ABS(X17)</f>
        <v>18078467.94</v>
      </c>
    </row>
    <row r="32">
      <c r="A32" s="1" t="s">
        <v>59</v>
      </c>
      <c r="B32" s="15">
        <f>(B40-B39)*B38</f>
        <v>-2081939.21</v>
      </c>
      <c r="C32" s="13">
        <f t="shared" si="12"/>
        <v>-7.360421595</v>
      </c>
      <c r="D32" s="15">
        <f>(D40-D39)*D38</f>
        <v>13242011.11</v>
      </c>
      <c r="E32" s="13">
        <f t="shared" si="13"/>
        <v>-1.152670515</v>
      </c>
      <c r="F32" s="15">
        <f>(F40-F39)*F38</f>
        <v>-2021664.65</v>
      </c>
      <c r="G32" s="13">
        <f t="shared" si="14"/>
        <v>-0.1517532</v>
      </c>
      <c r="H32" s="15">
        <f>(H40-H39)*H38</f>
        <v>-1714870.57</v>
      </c>
      <c r="I32" s="13">
        <f t="shared" si="15"/>
        <v>0.531694494</v>
      </c>
      <c r="J32" s="15">
        <f>(J40-J39)*J38</f>
        <v>-2626657.81</v>
      </c>
      <c r="K32" s="13">
        <f t="shared" si="16"/>
        <v>-0.5496084585</v>
      </c>
      <c r="L32" s="15">
        <f>(L40-L39)*L38</f>
        <v>-1183024.46</v>
      </c>
      <c r="M32" s="13">
        <f t="shared" si="17"/>
        <v>-2.642492658</v>
      </c>
      <c r="N32" s="15">
        <f>(N40-N39)*N38</f>
        <v>1943108.99</v>
      </c>
      <c r="O32" s="13">
        <f t="shared" si="18"/>
        <v>4.469662013</v>
      </c>
      <c r="P32" s="15">
        <f>(P40-P39)*P38</f>
        <v>10628149.43</v>
      </c>
      <c r="Q32" s="13">
        <f t="shared" si="19"/>
        <v>0</v>
      </c>
      <c r="R32" s="15">
        <f>(R40-R39)*R38</f>
        <v>10628149.43</v>
      </c>
      <c r="S32" s="13">
        <f t="shared" si="20"/>
        <v>0</v>
      </c>
      <c r="T32" s="15">
        <f>(T40-T39)*T38</f>
        <v>10628149.43</v>
      </c>
      <c r="U32" s="13">
        <f t="shared" si="21"/>
        <v>0</v>
      </c>
      <c r="V32" s="15">
        <f>(V40-V39)*V38</f>
        <v>10628149.43</v>
      </c>
      <c r="W32" s="13">
        <f t="shared" si="22"/>
        <v>-1.247141596</v>
      </c>
      <c r="X32" s="15">
        <f>(X40-X39)*X38</f>
        <v>-2626657.81</v>
      </c>
    </row>
    <row r="33">
      <c r="A33" s="4" t="s">
        <v>60</v>
      </c>
      <c r="B33" s="40">
        <f>B32/B30</f>
        <v>-0.1076325432</v>
      </c>
      <c r="C33" s="13">
        <f t="shared" si="12"/>
        <v>-4.548904943</v>
      </c>
      <c r="D33" s="40">
        <f>D32/D30</f>
        <v>0.3819776647</v>
      </c>
      <c r="E33" s="13">
        <f t="shared" si="13"/>
        <v>-1.272769313</v>
      </c>
      <c r="F33" s="40">
        <f>F32/F30</f>
        <v>-0.1041917853</v>
      </c>
      <c r="G33" s="13">
        <f t="shared" si="14"/>
        <v>-0.1649185215</v>
      </c>
      <c r="H33" s="40">
        <f>H32/H30</f>
        <v>-0.08700863011</v>
      </c>
      <c r="I33" s="13">
        <f t="shared" si="15"/>
        <v>0.6059144013</v>
      </c>
      <c r="J33" s="40">
        <f>J32/J30</f>
        <v>-0.1397284121</v>
      </c>
      <c r="K33" s="13">
        <f t="shared" si="16"/>
        <v>-0.5817298949</v>
      </c>
      <c r="L33" s="40">
        <f>L32/L30</f>
        <v>-0.05844421763</v>
      </c>
      <c r="M33" s="13">
        <f t="shared" si="17"/>
        <v>-2.422763341</v>
      </c>
      <c r="N33" s="40">
        <f>N32/N30</f>
        <v>0.08315229036</v>
      </c>
      <c r="O33" s="13">
        <f t="shared" si="18"/>
        <v>2.987614651</v>
      </c>
      <c r="P33" s="40">
        <f>P32/P30</f>
        <v>0.3315792913</v>
      </c>
      <c r="Q33" s="13">
        <f t="shared" si="19"/>
        <v>0</v>
      </c>
      <c r="R33" s="40">
        <f>R32/R30</f>
        <v>0.3315792913</v>
      </c>
      <c r="S33" s="13">
        <f t="shared" si="20"/>
        <v>0</v>
      </c>
      <c r="T33" s="40">
        <f>T32/T30</f>
        <v>0.3315792913</v>
      </c>
      <c r="U33" s="13">
        <f t="shared" si="21"/>
        <v>0</v>
      </c>
      <c r="V33" s="40">
        <f>V32/V30</f>
        <v>0.3315792913</v>
      </c>
      <c r="W33" s="13">
        <f t="shared" si="22"/>
        <v>-1.421402711</v>
      </c>
      <c r="X33" s="40">
        <f>X32/X30</f>
        <v>-0.1397284121</v>
      </c>
    </row>
    <row r="34">
      <c r="A34" s="4" t="s">
        <v>61</v>
      </c>
      <c r="B34" s="41">
        <f>B44+B32</f>
        <v>115384263</v>
      </c>
      <c r="C34" s="13">
        <f t="shared" si="12"/>
        <v>0.132807975</v>
      </c>
      <c r="D34" s="41">
        <f>D44+D32</f>
        <v>130708213.4</v>
      </c>
      <c r="E34" s="13">
        <f t="shared" si="13"/>
        <v>-0.1167767148</v>
      </c>
      <c r="F34" s="41">
        <f>F44+F32</f>
        <v>115444537.6</v>
      </c>
      <c r="G34" s="13">
        <f t="shared" si="14"/>
        <v>0.07539026021</v>
      </c>
      <c r="H34" s="41">
        <f>H44+H32</f>
        <v>124147931.3</v>
      </c>
      <c r="I34" s="13">
        <f t="shared" si="15"/>
        <v>-0.8449713748</v>
      </c>
      <c r="J34" s="41">
        <f>J44+J32</f>
        <v>19246483.11</v>
      </c>
      <c r="K34" s="13">
        <f t="shared" si="16"/>
        <v>-0.007909544779</v>
      </c>
      <c r="L34" s="41">
        <f>L44+L32</f>
        <v>19094252.19</v>
      </c>
      <c r="M34" s="13">
        <f t="shared" si="17"/>
        <v>0.1637211774</v>
      </c>
      <c r="N34" s="41">
        <f>N44+N32</f>
        <v>22220385.64</v>
      </c>
      <c r="O34" s="13">
        <f t="shared" si="18"/>
        <v>1.635512342</v>
      </c>
      <c r="P34" s="41">
        <f>P44+P32</f>
        <v>58562100.6</v>
      </c>
      <c r="Q34" s="13">
        <f t="shared" si="19"/>
        <v>0</v>
      </c>
      <c r="R34" s="41">
        <f>R44+R32</f>
        <v>58562100.6</v>
      </c>
      <c r="S34" s="13">
        <f t="shared" si="20"/>
        <v>0</v>
      </c>
      <c r="T34" s="41">
        <f>T44+T32</f>
        <v>58562100.6</v>
      </c>
      <c r="U34" s="13">
        <f t="shared" si="21"/>
        <v>0</v>
      </c>
      <c r="V34" s="41">
        <f>V44+V32</f>
        <v>58562100.6</v>
      </c>
      <c r="W34" s="13">
        <f t="shared" si="22"/>
        <v>-0.2263376331</v>
      </c>
      <c r="X34" s="41">
        <f>X44+X32</f>
        <v>45307293.36</v>
      </c>
      <c r="Y34" s="13"/>
      <c r="Z34" s="22"/>
    </row>
    <row r="35">
      <c r="A35" s="4" t="s">
        <v>62</v>
      </c>
      <c r="B35" s="42">
        <f>B34/B38</f>
        <v>0.5385504971</v>
      </c>
      <c r="C35" s="13">
        <f t="shared" si="12"/>
        <v>0.132807975</v>
      </c>
      <c r="D35" s="42">
        <f>D34/D38</f>
        <v>0.610074298</v>
      </c>
      <c r="E35" s="13">
        <f t="shared" si="13"/>
        <v>-0.1167767148</v>
      </c>
      <c r="F35" s="42">
        <f>F34/F38</f>
        <v>0.5388318257</v>
      </c>
      <c r="G35" s="13">
        <f t="shared" si="14"/>
        <v>0.07539026021</v>
      </c>
      <c r="H35" s="42">
        <f>H34/H38</f>
        <v>0.5794544972</v>
      </c>
      <c r="I35" s="13">
        <f t="shared" si="15"/>
        <v>-0.8449713748</v>
      </c>
      <c r="J35" s="42">
        <f>J34/J38</f>
        <v>0.08983203404</v>
      </c>
      <c r="K35" s="13">
        <f t="shared" si="16"/>
        <v>-0.007909544779</v>
      </c>
      <c r="L35" s="42">
        <f>L34/L38</f>
        <v>0.08912150355</v>
      </c>
      <c r="M35" s="13">
        <f t="shared" si="17"/>
        <v>0.1637211774</v>
      </c>
      <c r="N35" s="42">
        <f>N34/N38</f>
        <v>0.103712581</v>
      </c>
      <c r="O35" s="13">
        <f t="shared" si="18"/>
        <v>1.635512342</v>
      </c>
      <c r="P35" s="42">
        <f>P34/P38</f>
        <v>0.2733357874</v>
      </c>
      <c r="Q35" s="13">
        <f t="shared" si="19"/>
        <v>0</v>
      </c>
      <c r="R35" s="42">
        <f>R34/R38</f>
        <v>0.2733357874</v>
      </c>
      <c r="S35" s="13">
        <f t="shared" si="20"/>
        <v>0</v>
      </c>
      <c r="T35" s="42">
        <f>T34/T38</f>
        <v>0.2733357874</v>
      </c>
      <c r="U35" s="13">
        <f t="shared" si="21"/>
        <v>0</v>
      </c>
      <c r="V35" s="42">
        <f>V34/V38</f>
        <v>0.2733357874</v>
      </c>
      <c r="W35" s="13">
        <f t="shared" si="22"/>
        <v>-0.2263376331</v>
      </c>
      <c r="X35" s="42">
        <f>X34/X38</f>
        <v>0.2114696122</v>
      </c>
      <c r="Y35" s="13"/>
      <c r="Z35" s="13"/>
    </row>
    <row r="36">
      <c r="A36" s="28" t="s">
        <v>63</v>
      </c>
      <c r="B36" s="43">
        <v>2.14249664E7</v>
      </c>
      <c r="C36" s="12">
        <f t="shared" si="12"/>
        <v>0</v>
      </c>
      <c r="D36" s="43">
        <v>2.14249664E7</v>
      </c>
      <c r="E36" s="12">
        <f t="shared" si="13"/>
        <v>0</v>
      </c>
      <c r="F36" s="43">
        <v>2.14249664E7</v>
      </c>
      <c r="G36" s="12">
        <f t="shared" si="14"/>
        <v>-0.00004177089398</v>
      </c>
      <c r="H36" s="43">
        <v>2.142407146E7</v>
      </c>
      <c r="I36" s="12">
        <f t="shared" si="15"/>
        <v>0.00004177263886</v>
      </c>
      <c r="J36" s="43">
        <v>2.14249664E7</v>
      </c>
      <c r="K36" s="12">
        <f t="shared" si="16"/>
        <v>0</v>
      </c>
      <c r="L36" s="43">
        <v>2.14249664E7</v>
      </c>
      <c r="M36" s="12">
        <f t="shared" si="17"/>
        <v>0</v>
      </c>
      <c r="N36" s="43">
        <v>2.14249664E7</v>
      </c>
      <c r="O36" s="12">
        <f t="shared" si="18"/>
        <v>0</v>
      </c>
      <c r="P36" s="43">
        <v>2.14249664E7</v>
      </c>
      <c r="Q36" s="12">
        <f t="shared" si="19"/>
        <v>0</v>
      </c>
      <c r="R36" s="43">
        <v>2.14249664E7</v>
      </c>
      <c r="S36" s="12">
        <f t="shared" si="20"/>
        <v>0</v>
      </c>
      <c r="T36" s="43">
        <v>2.14249664E7</v>
      </c>
      <c r="U36" s="12">
        <f t="shared" si="21"/>
        <v>0</v>
      </c>
      <c r="V36" s="43">
        <v>2.14249664E7</v>
      </c>
      <c r="W36" s="12">
        <f t="shared" si="22"/>
        <v>0</v>
      </c>
      <c r="X36" s="43">
        <v>2.14249664E7</v>
      </c>
    </row>
    <row r="37">
      <c r="A37" s="1" t="s">
        <v>64</v>
      </c>
      <c r="B37" s="40">
        <f>B36/B30</f>
        <v>1.107632543</v>
      </c>
      <c r="C37" s="13">
        <f t="shared" si="12"/>
        <v>-0.4420330649</v>
      </c>
      <c r="D37" s="40">
        <f>D36/D30</f>
        <v>0.6180223353</v>
      </c>
      <c r="E37" s="13">
        <f t="shared" si="13"/>
        <v>0.7866535272</v>
      </c>
      <c r="F37" s="40">
        <f>F36/F30</f>
        <v>1.104191785</v>
      </c>
      <c r="G37" s="13">
        <f t="shared" si="14"/>
        <v>-0.0155617488</v>
      </c>
      <c r="H37" s="40">
        <f>H36/H30</f>
        <v>1.08700863</v>
      </c>
      <c r="I37" s="13">
        <f t="shared" si="15"/>
        <v>0.04849987439</v>
      </c>
      <c r="J37" s="40">
        <f>J36/J30</f>
        <v>1.139728412</v>
      </c>
      <c r="K37" s="13">
        <f t="shared" si="16"/>
        <v>-0.07131891566</v>
      </c>
      <c r="L37" s="40">
        <f>L36/L30</f>
        <v>1.058444218</v>
      </c>
      <c r="M37" s="13">
        <f t="shared" si="17"/>
        <v>-0.1337779598</v>
      </c>
      <c r="N37" s="40">
        <f>N36/N30</f>
        <v>0.9168477096</v>
      </c>
      <c r="O37" s="13">
        <f t="shared" si="18"/>
        <v>-0.2709577592</v>
      </c>
      <c r="P37" s="40">
        <f>P36/P30</f>
        <v>0.6684207087</v>
      </c>
      <c r="Q37" s="13">
        <f t="shared" si="19"/>
        <v>0</v>
      </c>
      <c r="R37" s="40">
        <f>R36/R30</f>
        <v>0.6684207087</v>
      </c>
      <c r="S37" s="13">
        <f t="shared" si="20"/>
        <v>0</v>
      </c>
      <c r="T37" s="40">
        <f>T36/T30</f>
        <v>0.6684207087</v>
      </c>
      <c r="U37" s="13">
        <f t="shared" si="21"/>
        <v>0</v>
      </c>
      <c r="V37" s="40">
        <f>V36/V30</f>
        <v>0.6684207087</v>
      </c>
      <c r="W37" s="13">
        <f t="shared" si="22"/>
        <v>0.7051063757</v>
      </c>
      <c r="X37" s="40">
        <f>X36/X30</f>
        <v>1.139728412</v>
      </c>
    </row>
    <row r="38">
      <c r="A38" s="4" t="s">
        <v>65</v>
      </c>
      <c r="B38" s="45">
        <v>2.14249664E8</v>
      </c>
      <c r="C38" s="12">
        <f t="shared" si="12"/>
        <v>0</v>
      </c>
      <c r="D38" s="45">
        <v>2.14249664E8</v>
      </c>
      <c r="E38" s="12">
        <f t="shared" si="13"/>
        <v>0</v>
      </c>
      <c r="F38" s="45">
        <v>2.14249664E8</v>
      </c>
      <c r="G38" s="12">
        <f t="shared" si="14"/>
        <v>0</v>
      </c>
      <c r="H38" s="45">
        <v>2.14249664E8</v>
      </c>
      <c r="I38" s="12">
        <f t="shared" si="15"/>
        <v>0</v>
      </c>
      <c r="J38" s="45">
        <v>2.14249664E8</v>
      </c>
      <c r="K38" s="12">
        <f t="shared" si="16"/>
        <v>0</v>
      </c>
      <c r="L38" s="45">
        <v>2.14249664E8</v>
      </c>
      <c r="M38" s="12">
        <f t="shared" si="17"/>
        <v>0</v>
      </c>
      <c r="N38" s="45">
        <v>2.14249664E8</v>
      </c>
      <c r="O38" s="12">
        <f t="shared" si="18"/>
        <v>0</v>
      </c>
      <c r="P38" s="45">
        <v>2.14249664E8</v>
      </c>
      <c r="Q38" s="12">
        <f t="shared" si="19"/>
        <v>0</v>
      </c>
      <c r="R38" s="45">
        <v>2.14249664E8</v>
      </c>
      <c r="S38" s="12">
        <f t="shared" si="20"/>
        <v>0</v>
      </c>
      <c r="T38" s="45">
        <v>2.14249664E8</v>
      </c>
      <c r="U38" s="12">
        <f t="shared" si="21"/>
        <v>0</v>
      </c>
      <c r="V38" s="45">
        <v>2.14249664E8</v>
      </c>
      <c r="W38" s="12">
        <f t="shared" si="22"/>
        <v>0</v>
      </c>
      <c r="X38" s="45">
        <v>2.14249664E8</v>
      </c>
    </row>
    <row r="39">
      <c r="A39" s="28" t="s">
        <v>66</v>
      </c>
      <c r="B39" s="49">
        <f>B36/B38</f>
        <v>0.1</v>
      </c>
      <c r="C39" s="13">
        <f t="shared" si="12"/>
        <v>0</v>
      </c>
      <c r="D39" s="49">
        <f>D36/D38</f>
        <v>0.1</v>
      </c>
      <c r="E39" s="13">
        <f t="shared" si="13"/>
        <v>0</v>
      </c>
      <c r="F39" s="50">
        <f>F36/F38</f>
        <v>0.1</v>
      </c>
      <c r="G39" s="13">
        <f t="shared" si="14"/>
        <v>-0.00004177089398</v>
      </c>
      <c r="H39" s="50">
        <f>H36/H38</f>
        <v>0.09999582291</v>
      </c>
      <c r="I39" s="13">
        <f t="shared" si="15"/>
        <v>0.00004177263886</v>
      </c>
      <c r="J39" s="50">
        <f>J36/J38</f>
        <v>0.1</v>
      </c>
      <c r="K39" s="13">
        <f t="shared" si="16"/>
        <v>0</v>
      </c>
      <c r="L39" s="50">
        <f>L36/L38</f>
        <v>0.1</v>
      </c>
      <c r="M39" s="13">
        <f t="shared" si="17"/>
        <v>0</v>
      </c>
      <c r="N39" s="50">
        <f>N36/N38</f>
        <v>0.1</v>
      </c>
      <c r="O39" s="13">
        <f t="shared" si="18"/>
        <v>0</v>
      </c>
      <c r="P39" s="50">
        <f>P36/P38</f>
        <v>0.1</v>
      </c>
      <c r="Q39" s="13">
        <f t="shared" si="19"/>
        <v>0</v>
      </c>
      <c r="R39" s="50">
        <f>R36/R38</f>
        <v>0.1</v>
      </c>
      <c r="S39" s="13">
        <f t="shared" si="20"/>
        <v>0</v>
      </c>
      <c r="T39" s="50">
        <f>T36/T38</f>
        <v>0.1</v>
      </c>
      <c r="U39" s="13">
        <f t="shared" si="21"/>
        <v>0</v>
      </c>
      <c r="V39" s="50">
        <f>V36/V38</f>
        <v>0.1</v>
      </c>
      <c r="W39" s="13">
        <f t="shared" si="22"/>
        <v>0</v>
      </c>
      <c r="X39" s="50">
        <f>X36/X38</f>
        <v>0.1</v>
      </c>
    </row>
    <row r="40">
      <c r="A40" s="28" t="s">
        <v>67</v>
      </c>
      <c r="B40" s="24">
        <f>B30/B38</f>
        <v>0.09028264889</v>
      </c>
      <c r="C40" s="13">
        <f t="shared" si="12"/>
        <v>0.7922208954</v>
      </c>
      <c r="D40" s="24">
        <f>D30/D38</f>
        <v>0.1618064498</v>
      </c>
      <c r="E40" s="13">
        <f t="shared" si="13"/>
        <v>-0.4402943913</v>
      </c>
      <c r="F40" s="24">
        <f>F30/F38</f>
        <v>0.0905639775</v>
      </c>
      <c r="G40" s="13">
        <f t="shared" si="14"/>
        <v>0.01576531376</v>
      </c>
      <c r="H40" s="24">
        <f>H30/H38</f>
        <v>0.09199174702</v>
      </c>
      <c r="I40" s="13">
        <f t="shared" si="15"/>
        <v>-0.04621660234</v>
      </c>
      <c r="J40" s="24">
        <f>J30/J38</f>
        <v>0.08774020103</v>
      </c>
      <c r="K40" s="13">
        <f t="shared" si="16"/>
        <v>0.0767959172</v>
      </c>
      <c r="L40" s="24">
        <f>L30/L38</f>
        <v>0.09447829024</v>
      </c>
      <c r="M40" s="13">
        <f t="shared" si="17"/>
        <v>0.154438416</v>
      </c>
      <c r="N40" s="24">
        <f>N30/N38</f>
        <v>0.1090693677</v>
      </c>
      <c r="O40" s="13">
        <f t="shared" si="18"/>
        <v>0.3716626335</v>
      </c>
      <c r="P40" s="24">
        <f>P30/P38</f>
        <v>0.1496063762</v>
      </c>
      <c r="Q40" s="13">
        <f t="shared" si="19"/>
        <v>0</v>
      </c>
      <c r="R40" s="24">
        <f>R30/R38</f>
        <v>0.1496063762</v>
      </c>
      <c r="S40" s="13">
        <f t="shared" si="20"/>
        <v>0</v>
      </c>
      <c r="T40" s="24">
        <f>T30/T38</f>
        <v>0.1496063762</v>
      </c>
      <c r="U40" s="13">
        <f t="shared" si="21"/>
        <v>0</v>
      </c>
      <c r="V40" s="24">
        <f>V30/V38</f>
        <v>0.1496063762</v>
      </c>
      <c r="W40" s="13">
        <f t="shared" si="22"/>
        <v>-0.4135263264</v>
      </c>
      <c r="X40" s="24">
        <f>X30/X38</f>
        <v>0.08774020103</v>
      </c>
    </row>
    <row r="41">
      <c r="A41" s="4" t="s">
        <v>68</v>
      </c>
      <c r="B41" s="51">
        <f>B31/B38</f>
        <v>0.09028264889</v>
      </c>
      <c r="C41" s="13">
        <f t="shared" si="12"/>
        <v>-0.0618737754</v>
      </c>
      <c r="D41" s="24">
        <f>D31/D38</f>
        <v>0.08469652055</v>
      </c>
      <c r="E41" s="13">
        <f t="shared" si="13"/>
        <v>0.02374127887</v>
      </c>
      <c r="F41" s="24">
        <f>F31/F38</f>
        <v>0.08670732426</v>
      </c>
      <c r="G41" s="13">
        <f t="shared" si="14"/>
        <v>0.01646653881</v>
      </c>
      <c r="H41" s="24">
        <f>H31/H38</f>
        <v>0.08813509378</v>
      </c>
      <c r="I41" s="13">
        <f t="shared" si="15"/>
        <v>-0.04260180818</v>
      </c>
      <c r="J41" s="24">
        <f>J31/J38</f>
        <v>0.08438037943</v>
      </c>
      <c r="K41" s="13">
        <f t="shared" si="16"/>
        <v>0.07985374396</v>
      </c>
      <c r="L41" s="24">
        <f>L31/L38</f>
        <v>0.09111846864</v>
      </c>
      <c r="M41" s="13">
        <f t="shared" si="17"/>
        <v>0.1532562886</v>
      </c>
      <c r="N41" s="24">
        <f>N31/N38</f>
        <v>0.105082947</v>
      </c>
      <c r="O41" s="13">
        <f t="shared" si="18"/>
        <v>0.3860366183</v>
      </c>
      <c r="P41" s="24">
        <f>P31/P38</f>
        <v>0.1456488125</v>
      </c>
      <c r="Q41" s="13">
        <f t="shared" si="19"/>
        <v>0</v>
      </c>
      <c r="R41" s="24">
        <f>R31/R38</f>
        <v>0.1456488125</v>
      </c>
      <c r="S41" s="13">
        <f t="shared" si="20"/>
        <v>0</v>
      </c>
      <c r="T41" s="24">
        <f>T31/T38</f>
        <v>0.1456488125</v>
      </c>
      <c r="U41" s="13">
        <f t="shared" si="21"/>
        <v>0</v>
      </c>
      <c r="V41" s="24">
        <f>V31/V38</f>
        <v>0.1456488125</v>
      </c>
      <c r="W41" s="13">
        <f t="shared" si="22"/>
        <v>-0.4206586514</v>
      </c>
      <c r="X41" s="24">
        <f>X31/X38</f>
        <v>0.08438037943</v>
      </c>
    </row>
    <row r="42">
      <c r="A42" s="52"/>
      <c r="B42" s="2" t="s">
        <v>1</v>
      </c>
      <c r="C42" s="3">
        <v>46036.0</v>
      </c>
      <c r="D42" s="2" t="s">
        <v>1</v>
      </c>
      <c r="E42" s="3">
        <v>46065.0</v>
      </c>
      <c r="F42" s="2" t="s">
        <v>1</v>
      </c>
      <c r="G42" s="3">
        <v>46094.0</v>
      </c>
      <c r="H42" s="2" t="s">
        <v>1</v>
      </c>
      <c r="I42" s="3">
        <v>46127.0</v>
      </c>
      <c r="J42" s="2" t="s">
        <v>1</v>
      </c>
      <c r="K42" s="3">
        <v>46156.0</v>
      </c>
      <c r="L42" s="2" t="s">
        <v>1</v>
      </c>
      <c r="M42" s="3">
        <v>46188.0</v>
      </c>
      <c r="N42" s="2" t="s">
        <v>1</v>
      </c>
      <c r="O42" s="3">
        <v>46218.0</v>
      </c>
      <c r="P42" s="2" t="s">
        <v>2</v>
      </c>
      <c r="Q42" s="3">
        <v>46195.0</v>
      </c>
      <c r="R42" s="2" t="s">
        <v>3</v>
      </c>
      <c r="S42" s="3">
        <v>46195.0</v>
      </c>
      <c r="T42" s="2" t="s">
        <v>3</v>
      </c>
      <c r="U42" s="3">
        <v>46195.0</v>
      </c>
      <c r="V42" s="2" t="s">
        <v>3</v>
      </c>
      <c r="W42" s="3">
        <v>46195.0</v>
      </c>
      <c r="X42" s="2" t="s">
        <v>3</v>
      </c>
      <c r="Y42" s="3">
        <v>46195.0</v>
      </c>
    </row>
    <row r="43">
      <c r="A43" s="1" t="s">
        <v>69</v>
      </c>
      <c r="B43" s="1" t="s">
        <v>5</v>
      </c>
      <c r="C43" s="53"/>
      <c r="D43" s="54" t="s">
        <v>6</v>
      </c>
      <c r="E43" s="55"/>
      <c r="F43" s="54" t="s">
        <v>7</v>
      </c>
      <c r="G43" s="55"/>
      <c r="H43" s="54" t="s">
        <v>8</v>
      </c>
      <c r="I43" s="55"/>
      <c r="J43" s="54" t="s">
        <v>9</v>
      </c>
      <c r="K43" s="55"/>
      <c r="L43" s="54" t="s">
        <v>10</v>
      </c>
      <c r="M43" s="55"/>
      <c r="N43" s="54" t="s">
        <v>11</v>
      </c>
      <c r="O43" s="55"/>
      <c r="P43" s="1" t="s">
        <v>12</v>
      </c>
      <c r="Q43" s="53"/>
      <c r="R43" s="1" t="s">
        <v>13</v>
      </c>
      <c r="S43" s="53"/>
      <c r="T43" s="1" t="s">
        <v>14</v>
      </c>
      <c r="U43" s="53"/>
      <c r="V43" s="1" t="s">
        <v>15</v>
      </c>
      <c r="W43" s="53"/>
      <c r="X43" s="1" t="s">
        <v>16</v>
      </c>
      <c r="Y43" s="13"/>
    </row>
    <row r="44">
      <c r="A44" s="4" t="s">
        <v>61</v>
      </c>
      <c r="B44" s="56">
        <v>1.1746620225E8</v>
      </c>
      <c r="C44" s="13">
        <f t="shared" ref="C44:C47" si="23">IFERROR(SUM((D44/B44)-1),0)</f>
        <v>0</v>
      </c>
      <c r="D44" s="56">
        <v>1.1746620225E8</v>
      </c>
      <c r="E44" s="13">
        <f t="shared" ref="E44:E47" si="24">IFERROR(SUM((F44/D44)-1),0)</f>
        <v>0</v>
      </c>
      <c r="F44" s="56">
        <v>1.1746620225E8</v>
      </c>
      <c r="G44" s="13">
        <f t="shared" ref="G44:G47" si="25">IFERROR(SUM((H44/F44)-1),0)</f>
        <v>0.07148098337</v>
      </c>
      <c r="H44" s="57">
        <v>1.258628019E8</v>
      </c>
      <c r="I44" s="13">
        <f t="shared" ref="I44:I47" si="26">IFERROR(SUM((J44/H44)-1),0)</f>
        <v>-0.8262144129</v>
      </c>
      <c r="J44" s="57">
        <v>2.187314092E7</v>
      </c>
      <c r="K44" s="13">
        <f t="shared" ref="K44:K47" si="27">IFERROR(SUM((L44/J44)-1),0)</f>
        <v>-0.07295999582</v>
      </c>
      <c r="L44" s="57">
        <v>2.027727665E7</v>
      </c>
      <c r="M44" s="13">
        <f t="shared" ref="M44:M47" si="28">IFERROR(SUM((N44/L44)-1),0)</f>
        <v>0</v>
      </c>
      <c r="N44" s="57">
        <v>2.027727665E7</v>
      </c>
      <c r="O44" s="13">
        <f t="shared" ref="O44:O47" si="29">IFERROR(SUM((P44/N44)-1),0)</f>
        <v>1.363924505</v>
      </c>
      <c r="P44" s="57">
        <v>4.793395117E7</v>
      </c>
      <c r="Q44" s="13">
        <f t="shared" ref="Q44:Q47" si="30">IFERROR(SUM((R44/P44)-1),0)</f>
        <v>0</v>
      </c>
      <c r="R44" s="57">
        <v>4.793395117E7</v>
      </c>
      <c r="S44" s="13">
        <f t="shared" ref="S44:S47" si="31">IFERROR(SUM((T44/R44)-1),0)</f>
        <v>0</v>
      </c>
      <c r="T44" s="57">
        <v>4.793395117E7</v>
      </c>
      <c r="U44" s="13">
        <f t="shared" ref="U44:U47" si="32">IFERROR(SUM((V44/T44)-1),0)</f>
        <v>0</v>
      </c>
      <c r="V44" s="57">
        <v>4.793395117E7</v>
      </c>
      <c r="W44" s="13">
        <f t="shared" ref="W44:W47" si="33">IFERROR(SUM((X44/V44)-1),0)</f>
        <v>0</v>
      </c>
      <c r="X44" s="57">
        <v>4.793395117E7</v>
      </c>
      <c r="Y44" s="13"/>
    </row>
    <row r="45">
      <c r="A45" s="4" t="s">
        <v>70</v>
      </c>
      <c r="B45" s="58">
        <v>2.49844475472E9</v>
      </c>
      <c r="C45" s="13">
        <f t="shared" si="23"/>
        <v>0</v>
      </c>
      <c r="D45" s="58">
        <v>2.49844475472E9</v>
      </c>
      <c r="E45" s="13">
        <f t="shared" si="24"/>
        <v>0</v>
      </c>
      <c r="F45" s="58">
        <v>2.49844475472E9</v>
      </c>
      <c r="G45" s="13">
        <f t="shared" si="25"/>
        <v>0.01899884005</v>
      </c>
      <c r="H45" s="58">
        <v>2.545912307E9</v>
      </c>
      <c r="I45" s="13">
        <f t="shared" si="26"/>
        <v>0.03175261621</v>
      </c>
      <c r="J45" s="58">
        <v>2.62675168339E9</v>
      </c>
      <c r="K45" s="13">
        <f t="shared" si="27"/>
        <v>0.162237435</v>
      </c>
      <c r="L45" s="58">
        <v>3.05290913897E9</v>
      </c>
      <c r="M45" s="13">
        <f t="shared" si="28"/>
        <v>0</v>
      </c>
      <c r="N45" s="58">
        <v>3.05290913897E9</v>
      </c>
      <c r="O45" s="13">
        <f t="shared" si="29"/>
        <v>0.2043241241</v>
      </c>
      <c r="P45" s="58">
        <v>3.67669212473E9</v>
      </c>
      <c r="Q45" s="13">
        <f t="shared" si="30"/>
        <v>0</v>
      </c>
      <c r="R45" s="58">
        <v>3.67669212473E9</v>
      </c>
      <c r="S45" s="13">
        <f t="shared" si="31"/>
        <v>0</v>
      </c>
      <c r="T45" s="58">
        <v>3.67669212473E9</v>
      </c>
      <c r="U45" s="13">
        <f t="shared" si="32"/>
        <v>0</v>
      </c>
      <c r="V45" s="58">
        <v>3.67669212473E9</v>
      </c>
      <c r="W45" s="13">
        <f t="shared" si="33"/>
        <v>0</v>
      </c>
      <c r="X45" s="58">
        <v>3.67669212473E9</v>
      </c>
      <c r="Y45" s="13"/>
    </row>
    <row r="46">
      <c r="A46" s="4" t="s">
        <v>71</v>
      </c>
      <c r="B46" s="58">
        <v>9.571059568E7</v>
      </c>
      <c r="C46" s="13">
        <f t="shared" si="23"/>
        <v>0</v>
      </c>
      <c r="D46" s="58">
        <v>9.571059568E7</v>
      </c>
      <c r="E46" s="13">
        <f t="shared" si="24"/>
        <v>0</v>
      </c>
      <c r="F46" s="58">
        <v>9.571059568E7</v>
      </c>
      <c r="G46" s="13">
        <f t="shared" si="25"/>
        <v>-0.6530902787</v>
      </c>
      <c r="H46" s="58">
        <v>3.320293607E7</v>
      </c>
      <c r="I46" s="13">
        <f t="shared" si="26"/>
        <v>0.2483406348</v>
      </c>
      <c r="J46" s="58">
        <v>4.144857429E7</v>
      </c>
      <c r="K46" s="13">
        <f t="shared" si="27"/>
        <v>8.990092275</v>
      </c>
      <c r="L46" s="58">
        <v>4.1407508184E8</v>
      </c>
      <c r="M46" s="13">
        <f t="shared" si="28"/>
        <v>0</v>
      </c>
      <c r="N46" s="58">
        <v>4.1407508184E8</v>
      </c>
      <c r="O46" s="13">
        <f t="shared" si="29"/>
        <v>0.2876926313</v>
      </c>
      <c r="P46" s="58">
        <v>5.3320143168E8</v>
      </c>
      <c r="Q46" s="13">
        <f t="shared" si="30"/>
        <v>0</v>
      </c>
      <c r="R46" s="58">
        <v>5.3320143168E8</v>
      </c>
      <c r="S46" s="13">
        <f t="shared" si="31"/>
        <v>0</v>
      </c>
      <c r="T46" s="58">
        <v>5.3320143168E8</v>
      </c>
      <c r="U46" s="13">
        <f t="shared" si="32"/>
        <v>0</v>
      </c>
      <c r="V46" s="58">
        <v>5.3320143168E8</v>
      </c>
      <c r="W46" s="13">
        <f t="shared" si="33"/>
        <v>0</v>
      </c>
      <c r="X46" s="58">
        <v>5.3320143168E8</v>
      </c>
      <c r="Y46" s="13"/>
    </row>
    <row r="47">
      <c r="A47" s="59" t="s">
        <v>72</v>
      </c>
      <c r="B47" s="24">
        <f>SUM(B44:B46)</f>
        <v>2711621553</v>
      </c>
      <c r="C47" s="13">
        <f t="shared" si="23"/>
        <v>0</v>
      </c>
      <c r="D47" s="24">
        <f>SUM(D44:D46)</f>
        <v>2711621553</v>
      </c>
      <c r="E47" s="13">
        <f t="shared" si="24"/>
        <v>0</v>
      </c>
      <c r="F47" s="24">
        <f>SUM(F44:F46)</f>
        <v>2711621553</v>
      </c>
      <c r="G47" s="13">
        <f t="shared" si="25"/>
        <v>-0.002450012862</v>
      </c>
      <c r="H47" s="24">
        <f>SUM(H44:H46)</f>
        <v>2704978045</v>
      </c>
      <c r="I47" s="13">
        <f t="shared" si="26"/>
        <v>-0.005510080349</v>
      </c>
      <c r="J47" s="24">
        <f>SUM(J44:J46)</f>
        <v>2690073399</v>
      </c>
      <c r="K47" s="13">
        <f t="shared" si="27"/>
        <v>0.2963443671</v>
      </c>
      <c r="L47" s="24">
        <f>SUM(L44:L46)</f>
        <v>3487261497</v>
      </c>
      <c r="M47" s="13">
        <f t="shared" si="28"/>
        <v>0</v>
      </c>
      <c r="N47" s="24">
        <f>SUM(N44:N46)</f>
        <v>3487261497</v>
      </c>
      <c r="O47" s="13">
        <f t="shared" si="29"/>
        <v>0.2209659387</v>
      </c>
      <c r="P47" s="24">
        <f>SUM(P44:P46)</f>
        <v>4257827508</v>
      </c>
      <c r="Q47" s="13">
        <f t="shared" si="30"/>
        <v>0</v>
      </c>
      <c r="R47" s="24">
        <f>SUM(R44:R46)</f>
        <v>4257827508</v>
      </c>
      <c r="S47" s="13">
        <f t="shared" si="31"/>
        <v>0</v>
      </c>
      <c r="T47" s="24">
        <f>SUM(T44:T46)</f>
        <v>4257827508</v>
      </c>
      <c r="U47" s="13">
        <f t="shared" si="32"/>
        <v>0</v>
      </c>
      <c r="V47" s="24">
        <f>SUM(V44:V46)</f>
        <v>4257827508</v>
      </c>
      <c r="W47" s="13">
        <f t="shared" si="33"/>
        <v>0</v>
      </c>
      <c r="X47" s="24">
        <f>SUM(X44:X46)</f>
        <v>4257827508</v>
      </c>
    </row>
    <row r="48">
      <c r="B48" s="40"/>
      <c r="Y48" s="13"/>
    </row>
    <row r="49">
      <c r="A49" s="25" t="s">
        <v>73</v>
      </c>
      <c r="B49" s="15">
        <v>2.7386558954E8</v>
      </c>
      <c r="C49" s="13">
        <f t="shared" ref="C49:C59" si="34">IFERROR(SUM((D49/B49)-1),0)</f>
        <v>0</v>
      </c>
      <c r="D49" s="15">
        <v>2.7386558954E8</v>
      </c>
      <c r="E49" s="13">
        <f t="shared" ref="E49:E59" si="35">IFERROR(SUM((F49/D49)-1),0)</f>
        <v>0</v>
      </c>
      <c r="F49" s="15">
        <v>2.7386558954E8</v>
      </c>
      <c r="G49" s="13">
        <f t="shared" ref="G49:G59" si="36">IFERROR(SUM((H49/F49)-1),0)</f>
        <v>-0.006131795173</v>
      </c>
      <c r="H49" s="15">
        <v>2.7218630184E8</v>
      </c>
      <c r="I49" s="13">
        <f t="shared" ref="I49:I59" si="37">IFERROR(SUM((J49/H49)-1),0)</f>
        <v>-0.009514001228</v>
      </c>
      <c r="J49" s="15">
        <v>2.6959672103E8</v>
      </c>
      <c r="K49" s="13">
        <f t="shared" ref="K49:K59" si="38">IFERROR(SUM((L49/J49)-1),0)</f>
        <v>-0.003035542706</v>
      </c>
      <c r="L49" s="15">
        <v>2.6877834867E8</v>
      </c>
      <c r="M49" s="13">
        <f t="shared" ref="M49:M59" si="39">IFERROR(SUM((N49/L49)-1),0)</f>
        <v>0</v>
      </c>
      <c r="N49" s="15">
        <v>2.6877834867E8</v>
      </c>
      <c r="O49" s="13">
        <f t="shared" ref="O49:O59" si="40">IFERROR(SUM((P49/N49)-1),0)</f>
        <v>0.2438280882</v>
      </c>
      <c r="P49" s="15">
        <v>3.3431405957E8</v>
      </c>
      <c r="Q49" s="13">
        <f t="shared" ref="Q49:Q59" si="41">IFERROR(SUM((R49/P49)-1),0)</f>
        <v>0</v>
      </c>
      <c r="R49" s="15">
        <v>3.3431405957E8</v>
      </c>
      <c r="S49" s="13">
        <f t="shared" ref="S49:S59" si="42">IFERROR(SUM((T49/R49)-1),0)</f>
        <v>0</v>
      </c>
      <c r="T49" s="15">
        <v>3.3431405957E8</v>
      </c>
      <c r="U49" s="13">
        <f t="shared" ref="U49:U59" si="43">IFERROR(SUM((V49/T49)-1),0)</f>
        <v>0</v>
      </c>
      <c r="V49" s="15">
        <v>3.3431405957E8</v>
      </c>
      <c r="W49" s="13">
        <f t="shared" ref="W49:W57" si="44">IFERROR(SUM((X49/V49)-1),0)</f>
        <v>0</v>
      </c>
      <c r="X49" s="15">
        <v>3.3431405957E8</v>
      </c>
      <c r="Y49" s="13"/>
    </row>
    <row r="50">
      <c r="A50" s="25" t="s">
        <v>74</v>
      </c>
      <c r="B50" s="15">
        <v>7780786.74</v>
      </c>
      <c r="C50" s="13">
        <f t="shared" si="34"/>
        <v>0</v>
      </c>
      <c r="D50" s="15">
        <v>7780786.74</v>
      </c>
      <c r="E50" s="13">
        <f t="shared" si="35"/>
        <v>0</v>
      </c>
      <c r="F50" s="15">
        <v>7780786.74</v>
      </c>
      <c r="G50" s="13">
        <f t="shared" si="36"/>
        <v>-0.2364799424</v>
      </c>
      <c r="H50" s="15">
        <v>5940786.74</v>
      </c>
      <c r="I50" s="13">
        <f t="shared" si="37"/>
        <v>-1</v>
      </c>
      <c r="J50" s="15">
        <v>0.0</v>
      </c>
      <c r="K50" s="13">
        <f t="shared" si="38"/>
        <v>0</v>
      </c>
      <c r="L50" s="15">
        <v>7.600000125E7</v>
      </c>
      <c r="M50" s="13">
        <f t="shared" si="39"/>
        <v>0</v>
      </c>
      <c r="N50" s="15">
        <v>7.600000125E7</v>
      </c>
      <c r="O50" s="13">
        <f t="shared" si="40"/>
        <v>-0.73670507</v>
      </c>
      <c r="P50" s="15">
        <v>2.001041501E7</v>
      </c>
      <c r="Q50" s="13">
        <f t="shared" si="41"/>
        <v>0</v>
      </c>
      <c r="R50" s="15">
        <v>2.001041501E7</v>
      </c>
      <c r="S50" s="13">
        <f t="shared" si="42"/>
        <v>0</v>
      </c>
      <c r="T50" s="15">
        <v>2.001041501E7</v>
      </c>
      <c r="U50" s="13">
        <f t="shared" si="43"/>
        <v>0</v>
      </c>
      <c r="V50" s="15">
        <v>2.001041501E7</v>
      </c>
      <c r="W50" s="13">
        <f t="shared" si="44"/>
        <v>0</v>
      </c>
      <c r="X50" s="15">
        <v>2.001041501E7</v>
      </c>
      <c r="Y50" s="6"/>
    </row>
    <row r="51">
      <c r="A51" s="25" t="s">
        <v>75</v>
      </c>
      <c r="B51" s="26">
        <f>SUM(B49:B50)</f>
        <v>281646376.3</v>
      </c>
      <c r="C51" s="27">
        <f t="shared" si="34"/>
        <v>0</v>
      </c>
      <c r="D51" s="26">
        <f>SUM(D49:D50)</f>
        <v>281646376.3</v>
      </c>
      <c r="E51" s="27">
        <f t="shared" si="35"/>
        <v>0</v>
      </c>
      <c r="F51" s="26">
        <f>SUM(F49:F50)</f>
        <v>281646376.3</v>
      </c>
      <c r="G51" s="27">
        <f t="shared" si="36"/>
        <v>-0.01249541267</v>
      </c>
      <c r="H51" s="26">
        <f>SUM(H49:H50)</f>
        <v>278127088.6</v>
      </c>
      <c r="I51" s="27">
        <f t="shared" si="37"/>
        <v>-0.03067075413</v>
      </c>
      <c r="J51" s="26">
        <f>SUM(J49:J50)</f>
        <v>269596721</v>
      </c>
      <c r="K51" s="27">
        <f t="shared" si="38"/>
        <v>0.2788670003</v>
      </c>
      <c r="L51" s="26">
        <f>SUM(L49:L50)</f>
        <v>344778349.9</v>
      </c>
      <c r="M51" s="27">
        <f t="shared" si="39"/>
        <v>0</v>
      </c>
      <c r="N51" s="26">
        <f>SUM(N49:N50)</f>
        <v>344778349.9</v>
      </c>
      <c r="O51" s="27">
        <f t="shared" si="40"/>
        <v>0.02768771491</v>
      </c>
      <c r="P51" s="26">
        <f>SUM(P49:P50)</f>
        <v>354324474.6</v>
      </c>
      <c r="Q51" s="27">
        <f t="shared" si="41"/>
        <v>0</v>
      </c>
      <c r="R51" s="26">
        <f>SUM(R49:R50)</f>
        <v>354324474.6</v>
      </c>
      <c r="S51" s="27">
        <f t="shared" si="42"/>
        <v>0</v>
      </c>
      <c r="T51" s="26">
        <f>SUM(T49:T50)</f>
        <v>354324474.6</v>
      </c>
      <c r="U51" s="27">
        <f t="shared" si="43"/>
        <v>0</v>
      </c>
      <c r="V51" s="26">
        <f>SUM(V49:V50)</f>
        <v>354324474.6</v>
      </c>
      <c r="W51" s="27">
        <f t="shared" si="44"/>
        <v>0</v>
      </c>
      <c r="X51" s="26">
        <f>SUM(X49:X50)</f>
        <v>354324474.6</v>
      </c>
      <c r="Y51" s="13"/>
    </row>
    <row r="52">
      <c r="A52" s="1" t="s">
        <v>76</v>
      </c>
      <c r="B52" s="62">
        <f>B22/B64</f>
        <v>0.0007782874926</v>
      </c>
      <c r="C52" s="31">
        <f t="shared" si="34"/>
        <v>0.07985596709</v>
      </c>
      <c r="D52" s="62">
        <f>D22/D64</f>
        <v>0.000840438393</v>
      </c>
      <c r="E52" s="31">
        <f t="shared" si="35"/>
        <v>-0.04564508445</v>
      </c>
      <c r="F52" s="62">
        <f>F22/F64</f>
        <v>0.0008020765116</v>
      </c>
      <c r="G52" s="31">
        <f t="shared" si="36"/>
        <v>-0.1169560689</v>
      </c>
      <c r="H52" s="62">
        <f>H22/H64</f>
        <v>0.0007082687958</v>
      </c>
      <c r="I52" s="31">
        <f t="shared" si="37"/>
        <v>0.1341368355</v>
      </c>
      <c r="J52" s="62">
        <f>J22/J64</f>
        <v>0.0008032737308</v>
      </c>
      <c r="K52" s="31">
        <f t="shared" si="38"/>
        <v>-0.06278673899</v>
      </c>
      <c r="L52" s="62">
        <f>L22/L64</f>
        <v>0.0007528387927</v>
      </c>
      <c r="M52" s="31">
        <f t="shared" si="39"/>
        <v>0.03105918657</v>
      </c>
      <c r="N52" s="62">
        <f>N22/N64</f>
        <v>0.0007762213532</v>
      </c>
      <c r="O52" s="31">
        <f t="shared" si="40"/>
        <v>0.0275410364</v>
      </c>
      <c r="P52" s="62">
        <f>P22/P64</f>
        <v>0.0007975992938</v>
      </c>
      <c r="Q52" s="31">
        <f t="shared" si="41"/>
        <v>0</v>
      </c>
      <c r="R52" s="62">
        <f>R22/R64</f>
        <v>0.0007975992938</v>
      </c>
      <c r="S52" s="31">
        <f t="shared" si="42"/>
        <v>0</v>
      </c>
      <c r="T52" s="62">
        <f>T22/T64</f>
        <v>0.0007975992938</v>
      </c>
      <c r="U52" s="31">
        <f t="shared" si="43"/>
        <v>0</v>
      </c>
      <c r="V52" s="62">
        <f>V22/V64</f>
        <v>0.0007975992938</v>
      </c>
      <c r="W52" s="31">
        <f t="shared" si="44"/>
        <v>0.01141377401</v>
      </c>
      <c r="X52" s="62">
        <f>X22/X64</f>
        <v>0.0008067029119</v>
      </c>
      <c r="Y52" s="13"/>
    </row>
    <row r="53">
      <c r="A53" s="1" t="s">
        <v>77</v>
      </c>
      <c r="B53" s="31">
        <f>B51/B47</f>
        <v>0.1038664027</v>
      </c>
      <c r="C53" s="31">
        <f t="shared" si="34"/>
        <v>0</v>
      </c>
      <c r="D53" s="31">
        <f>D51/D47</f>
        <v>0.1038664027</v>
      </c>
      <c r="E53" s="31">
        <f t="shared" si="35"/>
        <v>0</v>
      </c>
      <c r="F53" s="31">
        <f>F51/F47</f>
        <v>0.1038664027</v>
      </c>
      <c r="G53" s="31">
        <f t="shared" si="36"/>
        <v>-0.01007007162</v>
      </c>
      <c r="H53" s="31">
        <f>H51/H47</f>
        <v>0.1028204606</v>
      </c>
      <c r="I53" s="31">
        <f t="shared" si="37"/>
        <v>-0.02530007925</v>
      </c>
      <c r="J53" s="31">
        <f>J51/J47</f>
        <v>0.1002190948</v>
      </c>
      <c r="K53" s="31">
        <f t="shared" si="38"/>
        <v>-0.01348204016</v>
      </c>
      <c r="L53" s="31">
        <f>L51/L47</f>
        <v>0.09886793697</v>
      </c>
      <c r="M53" s="31">
        <f t="shared" si="39"/>
        <v>0</v>
      </c>
      <c r="N53" s="31">
        <f>N51/N47</f>
        <v>0.09886793697</v>
      </c>
      <c r="O53" s="31">
        <f t="shared" si="40"/>
        <v>-0.1582994395</v>
      </c>
      <c r="P53" s="31">
        <f>P51/P47</f>
        <v>0.08321719796</v>
      </c>
      <c r="Q53" s="31">
        <f t="shared" si="41"/>
        <v>0</v>
      </c>
      <c r="R53" s="31">
        <f>R51/R47</f>
        <v>0.08321719796</v>
      </c>
      <c r="S53" s="31">
        <f t="shared" si="42"/>
        <v>0</v>
      </c>
      <c r="T53" s="31">
        <f>T51/T47</f>
        <v>0.08321719796</v>
      </c>
      <c r="U53" s="31">
        <f t="shared" si="43"/>
        <v>0</v>
      </c>
      <c r="V53" s="31">
        <f>V51/V47</f>
        <v>0.08321719796</v>
      </c>
      <c r="W53" s="31">
        <f t="shared" si="44"/>
        <v>0</v>
      </c>
      <c r="X53" s="31">
        <f>X51/X47</f>
        <v>0.08321719796</v>
      </c>
      <c r="Y53" s="13"/>
    </row>
    <row r="54">
      <c r="A54" s="1" t="s">
        <v>78</v>
      </c>
      <c r="B54" s="31">
        <f>B51/B64</f>
        <v>0.1171451348</v>
      </c>
      <c r="C54" s="31">
        <f t="shared" si="34"/>
        <v>0.0001094043258</v>
      </c>
      <c r="D54" s="31">
        <f>D51/D64</f>
        <v>0.1171579509</v>
      </c>
      <c r="E54" s="31">
        <f t="shared" si="35"/>
        <v>-0.00002935055497</v>
      </c>
      <c r="F54" s="31">
        <f>F51/F64</f>
        <v>0.1171545123</v>
      </c>
      <c r="G54" s="31">
        <f t="shared" si="36"/>
        <v>-0.01131938409</v>
      </c>
      <c r="H54" s="31">
        <f>H51/H64</f>
        <v>0.1158283954</v>
      </c>
      <c r="I54" s="31">
        <f t="shared" si="37"/>
        <v>-0.02895346027</v>
      </c>
      <c r="J54" s="31">
        <f>J51/J64</f>
        <v>0.1124747625</v>
      </c>
      <c r="K54" s="31">
        <f t="shared" si="38"/>
        <v>0.2979014727</v>
      </c>
      <c r="L54" s="31">
        <f>L51/L64</f>
        <v>0.1459811599</v>
      </c>
      <c r="M54" s="31">
        <f t="shared" si="39"/>
        <v>-0.000003567981539</v>
      </c>
      <c r="N54" s="31">
        <f>N51/N64</f>
        <v>0.1459806391</v>
      </c>
      <c r="O54" s="31">
        <f t="shared" si="40"/>
        <v>0.01689052301</v>
      </c>
      <c r="P54" s="31">
        <f>P51/P64</f>
        <v>0.1484463284</v>
      </c>
      <c r="Q54" s="31">
        <f t="shared" si="41"/>
        <v>0</v>
      </c>
      <c r="R54" s="31">
        <f>R51/R64</f>
        <v>0.1484463284</v>
      </c>
      <c r="S54" s="31">
        <f t="shared" si="42"/>
        <v>0</v>
      </c>
      <c r="T54" s="31">
        <f>T51/T64</f>
        <v>0.1484463284</v>
      </c>
      <c r="U54" s="31">
        <f t="shared" si="43"/>
        <v>0</v>
      </c>
      <c r="V54" s="31">
        <f>V51/V64</f>
        <v>0.1484463284</v>
      </c>
      <c r="W54" s="31">
        <f t="shared" si="44"/>
        <v>0.00005118873713</v>
      </c>
      <c r="X54" s="31">
        <f>X51/X64</f>
        <v>0.1484539272</v>
      </c>
      <c r="Y54" s="13"/>
    </row>
    <row r="55">
      <c r="A55" s="4" t="s">
        <v>79</v>
      </c>
      <c r="B55" s="15">
        <f>B36</f>
        <v>21424966.4</v>
      </c>
      <c r="C55" s="13">
        <f t="shared" si="34"/>
        <v>0</v>
      </c>
      <c r="D55" s="15">
        <f>D36</f>
        <v>21424966.4</v>
      </c>
      <c r="E55" s="13">
        <f t="shared" si="35"/>
        <v>0</v>
      </c>
      <c r="F55" s="15">
        <f>F36</f>
        <v>21424966.4</v>
      </c>
      <c r="G55" s="13">
        <f t="shared" si="36"/>
        <v>-0.00004177089398</v>
      </c>
      <c r="H55" s="15">
        <f>H36</f>
        <v>21424071.46</v>
      </c>
      <c r="I55" s="13">
        <f t="shared" si="37"/>
        <v>0.00004177263886</v>
      </c>
      <c r="J55" s="15">
        <f>J36</f>
        <v>21424966.4</v>
      </c>
      <c r="K55" s="13">
        <f t="shared" si="38"/>
        <v>0</v>
      </c>
      <c r="L55" s="15">
        <f>L36</f>
        <v>21424966.4</v>
      </c>
      <c r="M55" s="13">
        <f t="shared" si="39"/>
        <v>0</v>
      </c>
      <c r="N55" s="15">
        <f>N36</f>
        <v>21424966.4</v>
      </c>
      <c r="O55" s="13">
        <f t="shared" si="40"/>
        <v>0</v>
      </c>
      <c r="P55" s="15">
        <f>P36</f>
        <v>21424966.4</v>
      </c>
      <c r="Q55" s="13">
        <f t="shared" si="41"/>
        <v>0</v>
      </c>
      <c r="R55" s="15">
        <f>R36</f>
        <v>21424966.4</v>
      </c>
      <c r="S55" s="13">
        <f t="shared" si="42"/>
        <v>0</v>
      </c>
      <c r="T55" s="15">
        <f>T36</f>
        <v>21424966.4</v>
      </c>
      <c r="U55" s="13">
        <f t="shared" si="43"/>
        <v>0</v>
      </c>
      <c r="V55" s="15">
        <f>V36</f>
        <v>21424966.4</v>
      </c>
      <c r="W55" s="13">
        <f t="shared" si="44"/>
        <v>0</v>
      </c>
      <c r="X55" s="15">
        <f>X36</f>
        <v>21424966.4</v>
      </c>
      <c r="Y55" s="13"/>
    </row>
    <row r="56">
      <c r="A56" s="4" t="s">
        <v>80</v>
      </c>
      <c r="B56" s="15">
        <f>B24</f>
        <v>1795911.36</v>
      </c>
      <c r="C56" s="13">
        <f t="shared" si="34"/>
        <v>0.1464475118</v>
      </c>
      <c r="D56" s="15">
        <f>D24</f>
        <v>2058918.11</v>
      </c>
      <c r="E56" s="13">
        <f t="shared" si="35"/>
        <v>-0.03427065392</v>
      </c>
      <c r="F56" s="15">
        <f>F24</f>
        <v>1988357.64</v>
      </c>
      <c r="G56" s="13">
        <f t="shared" si="36"/>
        <v>-0.1328001486</v>
      </c>
      <c r="H56" s="15">
        <f>H24</f>
        <v>1724303.45</v>
      </c>
      <c r="I56" s="13">
        <f t="shared" si="37"/>
        <v>0.2171275595</v>
      </c>
      <c r="J56" s="15">
        <f>J24</f>
        <v>2098697.25</v>
      </c>
      <c r="K56" s="13">
        <f t="shared" si="38"/>
        <v>-0.07807891777</v>
      </c>
      <c r="L56" s="15">
        <f>L24</f>
        <v>1934833.24</v>
      </c>
      <c r="M56" s="13">
        <f t="shared" si="39"/>
        <v>-0.004355357261</v>
      </c>
      <c r="N56" s="15">
        <f>N24</f>
        <v>1926406.35</v>
      </c>
      <c r="O56" s="13">
        <f t="shared" si="40"/>
        <v>0.02601500457</v>
      </c>
      <c r="P56" s="15">
        <f>P24</f>
        <v>1976521.82</v>
      </c>
      <c r="Q56" s="13">
        <f t="shared" si="41"/>
        <v>0</v>
      </c>
      <c r="R56" s="15">
        <f>R24</f>
        <v>1976521.82</v>
      </c>
      <c r="S56" s="13">
        <f t="shared" si="42"/>
        <v>0</v>
      </c>
      <c r="T56" s="15">
        <f>T24</f>
        <v>1976521.82</v>
      </c>
      <c r="U56" s="13">
        <f t="shared" si="43"/>
        <v>0</v>
      </c>
      <c r="V56" s="15">
        <f>V24</f>
        <v>1976521.82</v>
      </c>
      <c r="W56" s="13">
        <f t="shared" si="44"/>
        <v>0.06181334745</v>
      </c>
      <c r="X56" s="15">
        <f>X24</f>
        <v>2098697.25</v>
      </c>
      <c r="Y56" s="13"/>
    </row>
    <row r="57">
      <c r="A57" s="1" t="s">
        <v>81</v>
      </c>
      <c r="B57" s="62">
        <f>IFERROR(B56/B31,0)</f>
        <v>0.09284541361</v>
      </c>
      <c r="C57" s="31">
        <f t="shared" si="34"/>
        <v>0.2220610422</v>
      </c>
      <c r="D57" s="62">
        <f>IFERROR(D56/D31,0)</f>
        <v>0.1134627629</v>
      </c>
      <c r="E57" s="31">
        <f t="shared" si="35"/>
        <v>-0.05666659535</v>
      </c>
      <c r="F57" s="62">
        <f>IFERROR(F56/F31,0)</f>
        <v>0.1070332145</v>
      </c>
      <c r="G57" s="31">
        <f t="shared" si="36"/>
        <v>-0.1468485992</v>
      </c>
      <c r="H57" s="62">
        <f>IFERROR(H56/H31,0)</f>
        <v>0.09131553684</v>
      </c>
      <c r="I57" s="31">
        <f t="shared" si="37"/>
        <v>0.2712866704</v>
      </c>
      <c r="J57" s="62">
        <f>IFERROR(J56/J31,0)</f>
        <v>0.1160882248</v>
      </c>
      <c r="K57" s="31">
        <f t="shared" si="38"/>
        <v>-0.1462537521</v>
      </c>
      <c r="L57" s="62">
        <f>IFERROR(L56/L31,0)</f>
        <v>0.09910988634</v>
      </c>
      <c r="M57" s="31">
        <f t="shared" si="39"/>
        <v>-0.136666626</v>
      </c>
      <c r="N57" s="62">
        <f>IFERROR(N56/N31,0)</f>
        <v>0.08556487257</v>
      </c>
      <c r="O57" s="31">
        <f t="shared" si="40"/>
        <v>-0.2597489914</v>
      </c>
      <c r="P57" s="62">
        <f>IFERROR(P56/P31,0)</f>
        <v>0.06333948322</v>
      </c>
      <c r="Q57" s="31">
        <f t="shared" si="41"/>
        <v>0</v>
      </c>
      <c r="R57" s="62">
        <f>IFERROR(R56/R31,0)</f>
        <v>0.06333948322</v>
      </c>
      <c r="S57" s="31">
        <f t="shared" si="42"/>
        <v>0</v>
      </c>
      <c r="T57" s="62">
        <f>IFERROR(T56/T31,0)</f>
        <v>0.06333948322</v>
      </c>
      <c r="U57" s="31">
        <f t="shared" si="43"/>
        <v>0</v>
      </c>
      <c r="V57" s="62">
        <f>IFERROR(V56/V31,0)</f>
        <v>0.06333948322</v>
      </c>
      <c r="W57" s="31">
        <f t="shared" si="44"/>
        <v>0.8327939997</v>
      </c>
      <c r="X57" s="62">
        <f>IFERROR(X56/X31,0)</f>
        <v>0.1160882248</v>
      </c>
      <c r="Y57" s="13"/>
    </row>
    <row r="58">
      <c r="A58" s="25" t="s">
        <v>82</v>
      </c>
      <c r="B58" s="63">
        <f>IFERROR(B56/(B83*B38),0)*12</f>
        <v>0.01016039985</v>
      </c>
      <c r="C58" s="27">
        <f t="shared" si="34"/>
        <v>0.1293363549</v>
      </c>
      <c r="D58" s="63">
        <f>IFERROR(D56/(D83*D38),0)*12</f>
        <v>0.01147450893</v>
      </c>
      <c r="E58" s="27">
        <f t="shared" si="35"/>
        <v>-0.06316796061</v>
      </c>
      <c r="F58" s="63">
        <f>IFERROR(F56/(F83*F38),0)*12</f>
        <v>0.01074968761</v>
      </c>
      <c r="G58" s="27">
        <f t="shared" si="36"/>
        <v>-0.1277484989</v>
      </c>
      <c r="H58" s="63">
        <f>IFERROR(H56/(H83*H38),0)*12</f>
        <v>0.00937643115</v>
      </c>
      <c r="I58" s="27">
        <f t="shared" si="37"/>
        <v>0.2206829468</v>
      </c>
      <c r="J58" s="63">
        <f>IFERROR(J56/(J83*J38),0)*12</f>
        <v>0.01144564961</v>
      </c>
      <c r="K58" s="27">
        <f t="shared" si="38"/>
        <v>-0.06717935817</v>
      </c>
      <c r="L58" s="63">
        <f>IFERROR(L56/(L83*L38),0)*12</f>
        <v>0.01067673821</v>
      </c>
      <c r="M58" s="27">
        <f t="shared" si="39"/>
        <v>0.02181932495</v>
      </c>
      <c r="N58" s="63">
        <f>IFERROR(N56/(N83*N38),0)*12</f>
        <v>0.01090969743</v>
      </c>
      <c r="O58" s="27">
        <f t="shared" si="40"/>
        <v>0.01169375825</v>
      </c>
      <c r="P58" s="63">
        <f>IFERROR(P56/(P83*P38),0)*12</f>
        <v>0.0110372728</v>
      </c>
      <c r="Q58" s="27">
        <f t="shared" si="41"/>
        <v>0.01415571284</v>
      </c>
      <c r="R58" s="63">
        <f>IFERROR(R56/(R83*R38),0)*12</f>
        <v>0.01119351326</v>
      </c>
      <c r="S58" s="27">
        <f t="shared" si="42"/>
        <v>0</v>
      </c>
      <c r="T58" s="63">
        <f>IFERROR(T56/(T83*T38),0)*12</f>
        <v>0.01119351326</v>
      </c>
      <c r="U58" s="27">
        <f t="shared" si="43"/>
        <v>0</v>
      </c>
      <c r="V58" s="63">
        <f>IFERROR(V56/(V83*V38),0)*12</f>
        <v>0.01119351326</v>
      </c>
      <c r="W58" s="27">
        <f>IFERROR(SUM((X58/V62)-1),0)</f>
        <v>-0.9848369664</v>
      </c>
      <c r="X58" s="63">
        <f>IFERROR(X56/(X83*X38),0)*12</f>
        <v>0.01188542178</v>
      </c>
    </row>
    <row r="59">
      <c r="A59" s="65" t="s">
        <v>83</v>
      </c>
      <c r="B59" s="67">
        <v>2502710.55</v>
      </c>
      <c r="C59" s="68">
        <f t="shared" si="34"/>
        <v>0</v>
      </c>
      <c r="D59" s="67">
        <v>2502710.55</v>
      </c>
      <c r="E59" s="68">
        <f t="shared" si="35"/>
        <v>0</v>
      </c>
      <c r="F59" s="67">
        <v>2502710.55</v>
      </c>
      <c r="G59" s="68">
        <f t="shared" si="36"/>
        <v>0.0001360365065</v>
      </c>
      <c r="H59" s="67">
        <v>2503051.01</v>
      </c>
      <c r="I59" s="68">
        <f t="shared" si="37"/>
        <v>-1</v>
      </c>
      <c r="J59" s="67">
        <v>0.0</v>
      </c>
      <c r="K59" s="68">
        <f t="shared" si="38"/>
        <v>0</v>
      </c>
      <c r="L59" s="67">
        <v>7.5732302992E8</v>
      </c>
      <c r="M59" s="68">
        <f t="shared" si="39"/>
        <v>0</v>
      </c>
      <c r="N59" s="67">
        <v>7.5732302992E8</v>
      </c>
      <c r="O59" s="68">
        <f t="shared" si="40"/>
        <v>0.9717021772</v>
      </c>
      <c r="P59" s="67">
        <v>1.49321546692E9</v>
      </c>
      <c r="Q59" s="68">
        <f t="shared" si="41"/>
        <v>0</v>
      </c>
      <c r="R59" s="67">
        <v>1.49321546692E9</v>
      </c>
      <c r="S59" s="68">
        <f t="shared" si="42"/>
        <v>0</v>
      </c>
      <c r="T59" s="67">
        <v>1.49321546692E9</v>
      </c>
      <c r="U59" s="68">
        <f t="shared" si="43"/>
        <v>0</v>
      </c>
      <c r="V59" s="67">
        <v>1.49321546692E9</v>
      </c>
      <c r="W59" s="68">
        <f>IFERROR(SUM((X59/V59)-1),0)</f>
        <v>0</v>
      </c>
      <c r="X59" s="67">
        <v>1.49321546692E9</v>
      </c>
      <c r="Y59" s="13"/>
    </row>
    <row r="60">
      <c r="B60" s="64"/>
      <c r="C60" s="13"/>
      <c r="D60" s="64"/>
      <c r="E60" s="13"/>
      <c r="F60" s="64"/>
      <c r="G60" s="13"/>
      <c r="H60" s="15"/>
      <c r="I60" s="13"/>
      <c r="J60" s="15"/>
      <c r="K60" s="13"/>
      <c r="L60" s="15"/>
      <c r="M60" s="13"/>
      <c r="N60" s="15"/>
      <c r="O60" s="13"/>
      <c r="P60" s="15"/>
      <c r="Q60" s="13"/>
      <c r="R60" s="15"/>
      <c r="S60" s="13"/>
      <c r="T60" s="15"/>
      <c r="U60" s="13"/>
      <c r="V60" s="15"/>
      <c r="W60" s="13"/>
      <c r="X60" s="15"/>
      <c r="Y60" s="13"/>
    </row>
    <row r="61">
      <c r="A61" s="25" t="s">
        <v>84</v>
      </c>
      <c r="B61" s="24">
        <f>SUM(B55,B51,B56,B59)</f>
        <v>307369964.6</v>
      </c>
      <c r="C61" s="13">
        <f t="shared" ref="C61:C64" si="45">IFERROR(SUM((D61/B61)-1),0)</f>
        <v>0.0008556683486</v>
      </c>
      <c r="D61" s="24">
        <f>SUM(D55,D51,D56,D59)</f>
        <v>307632971.3</v>
      </c>
      <c r="E61" s="13">
        <f t="shared" ref="E61:E64" si="46">IFERROR(SUM((F61/D61)-1),0)</f>
        <v>-0.0002293657591</v>
      </c>
      <c r="F61" s="24">
        <f>SUM(F55,F51,F56,F59)</f>
        <v>307562410.9</v>
      </c>
      <c r="G61" s="13">
        <f t="shared" ref="G61:G64" si="47">IFERROR(SUM((H61/F61)-1),0)</f>
        <v>-0.01230285703</v>
      </c>
      <c r="H61" s="24">
        <f>SUM(H55,H51,H56,H59)</f>
        <v>303778514.5</v>
      </c>
      <c r="I61" s="13">
        <f t="shared" ref="I61:I64" si="48">IFERROR(SUM((J61/H61)-1),0)</f>
        <v>-0.03508519962</v>
      </c>
      <c r="J61" s="24">
        <f>SUM(J55,J51,J56,J59)</f>
        <v>293120384.7</v>
      </c>
      <c r="K61" s="13">
        <f t="shared" ref="K61:K64" si="49">IFERROR(SUM((L61/J61)-1),0)</f>
        <v>2.839586867</v>
      </c>
      <c r="L61" s="24">
        <f>SUM(L55,L51,L56,L59)</f>
        <v>1125461179</v>
      </c>
      <c r="M61" s="13">
        <f t="shared" ref="M61:M64" si="50">IFERROR(SUM((N61/L61)-1),0)</f>
        <v>-0.000007487499484</v>
      </c>
      <c r="N61" s="24">
        <f>SUM(N55,N51,N56,N59)</f>
        <v>1125452753</v>
      </c>
      <c r="O61" s="13">
        <f t="shared" ref="O61:O64" si="51">IFERROR(SUM((P61/N61)-1),0)</f>
        <v>0.6623900252</v>
      </c>
      <c r="P61" s="24">
        <f>SUM(P55,P51,P56,P59)</f>
        <v>1870941430</v>
      </c>
      <c r="Q61" s="13">
        <f t="shared" ref="Q61:Q64" si="52">IFERROR(SUM((R61/P61)-1),0)</f>
        <v>0</v>
      </c>
      <c r="R61" s="24">
        <f>SUM(R55,R51,R56,R59)</f>
        <v>1870941430</v>
      </c>
      <c r="S61" s="13">
        <f t="shared" ref="S61:S64" si="53">IFERROR(SUM((T61/R61)-1),0)</f>
        <v>0</v>
      </c>
      <c r="T61" s="24">
        <f>SUM(T55,T51,T56,T59)</f>
        <v>1870941430</v>
      </c>
      <c r="U61" s="13">
        <f t="shared" ref="U61:U64" si="54">IFERROR(SUM((V61/T61)-1),0)</f>
        <v>0</v>
      </c>
      <c r="V61" s="24">
        <f>SUM(V55,V51,V56,V59)</f>
        <v>1870941430</v>
      </c>
      <c r="W61" s="13">
        <f t="shared" ref="W61:W64" si="55">IFERROR(SUM((X61/V61)-1),0)</f>
        <v>0.00006530157923</v>
      </c>
      <c r="X61" s="24">
        <f>SUM(X55,X51,X56,X59)</f>
        <v>1871063605</v>
      </c>
      <c r="Y61" s="13"/>
    </row>
    <row r="62">
      <c r="A62" s="4" t="s">
        <v>85</v>
      </c>
      <c r="B62" s="13">
        <f>(B47/B64)-1</f>
        <v>0.127844343</v>
      </c>
      <c r="C62" s="13">
        <f t="shared" si="45"/>
        <v>0.0009651662882</v>
      </c>
      <c r="D62" s="13">
        <f>(D47/D64)-1</f>
        <v>0.127967734</v>
      </c>
      <c r="E62" s="13">
        <f t="shared" si="46"/>
        <v>-0.0002587095821</v>
      </c>
      <c r="F62" s="13">
        <f>(F47/F64)-1</f>
        <v>0.1279346275</v>
      </c>
      <c r="G62" s="13">
        <f t="shared" si="47"/>
        <v>-0.01112659913</v>
      </c>
      <c r="H62" s="13">
        <f>(H47/H64)-1</f>
        <v>0.1265111502</v>
      </c>
      <c r="I62" s="13">
        <f t="shared" si="48"/>
        <v>-0.03337572653</v>
      </c>
      <c r="J62" s="13">
        <f>(J47/J64)-1</f>
        <v>0.1222887487</v>
      </c>
      <c r="K62" s="13">
        <f t="shared" si="49"/>
        <v>2.896734725</v>
      </c>
      <c r="L62" s="13">
        <f>(L47/L64)-1</f>
        <v>0.4765268134</v>
      </c>
      <c r="M62" s="13">
        <f t="shared" si="50"/>
        <v>-0.00001105545431</v>
      </c>
      <c r="N62" s="13">
        <f>(N47/N64)-1</f>
        <v>0.4765215452</v>
      </c>
      <c r="O62" s="13">
        <f t="shared" si="51"/>
        <v>0.6449244626</v>
      </c>
      <c r="P62" s="13">
        <f>(P47/P64)-1</f>
        <v>0.7838419467</v>
      </c>
      <c r="Q62" s="13">
        <f t="shared" si="52"/>
        <v>0</v>
      </c>
      <c r="R62" s="13">
        <f>(R47/R64)-1</f>
        <v>0.7838419467</v>
      </c>
      <c r="S62" s="13">
        <f t="shared" si="53"/>
        <v>0</v>
      </c>
      <c r="T62" s="13">
        <f>(T47/T64)-1</f>
        <v>0.7838419467</v>
      </c>
      <c r="U62" s="13">
        <f t="shared" si="54"/>
        <v>0</v>
      </c>
      <c r="V62" s="13">
        <f>(V47/V64)-1</f>
        <v>0.7838419467</v>
      </c>
      <c r="W62" s="13">
        <f t="shared" si="55"/>
        <v>0.0001164936591</v>
      </c>
      <c r="X62" s="13">
        <f>(X47/X64)-1</f>
        <v>0.7839332593</v>
      </c>
    </row>
    <row r="63">
      <c r="A63" s="1" t="s">
        <v>86</v>
      </c>
      <c r="B63" s="69">
        <f>B31/B22</f>
        <v>10.33723715</v>
      </c>
      <c r="C63" s="13">
        <f t="shared" si="45"/>
        <v>-0.1311537017</v>
      </c>
      <c r="D63" s="69">
        <f>D31/D22</f>
        <v>8.981470229</v>
      </c>
      <c r="E63" s="13">
        <f t="shared" si="46"/>
        <v>0.07267350418</v>
      </c>
      <c r="F63" s="69">
        <f>F31/F22</f>
        <v>9.634185143</v>
      </c>
      <c r="G63" s="13">
        <f t="shared" si="47"/>
        <v>0.1524648124</v>
      </c>
      <c r="H63" s="69">
        <f>H31/H22</f>
        <v>11.10305937</v>
      </c>
      <c r="I63" s="13">
        <f t="shared" si="48"/>
        <v>-0.1543398308</v>
      </c>
      <c r="J63" s="69">
        <f>J31/J22</f>
        <v>9.389415069</v>
      </c>
      <c r="K63" s="13">
        <f t="shared" si="49"/>
        <v>0.1693455238</v>
      </c>
      <c r="L63" s="69">
        <f>L31/L22</f>
        <v>10.97947048</v>
      </c>
      <c r="M63" s="13">
        <f t="shared" si="50"/>
        <v>0.1185120979</v>
      </c>
      <c r="N63" s="69">
        <f>N31/N22</f>
        <v>12.28067056</v>
      </c>
      <c r="O63" s="13">
        <f t="shared" si="51"/>
        <v>0.3347150702</v>
      </c>
      <c r="P63" s="69">
        <f>P31/P22</f>
        <v>16.39119607</v>
      </c>
      <c r="Q63" s="13">
        <f t="shared" si="52"/>
        <v>0</v>
      </c>
      <c r="R63" s="69">
        <f>R31/R22</f>
        <v>16.39119607</v>
      </c>
      <c r="S63" s="13">
        <f t="shared" si="53"/>
        <v>0</v>
      </c>
      <c r="T63" s="69">
        <f>T31/T22</f>
        <v>16.39119607</v>
      </c>
      <c r="U63" s="13">
        <f t="shared" si="54"/>
        <v>0</v>
      </c>
      <c r="V63" s="69">
        <f>V31/V22</f>
        <v>16.39119607</v>
      </c>
      <c r="W63" s="13">
        <f t="shared" si="55"/>
        <v>-0.42716718</v>
      </c>
      <c r="X63" s="69">
        <f>X31/X22</f>
        <v>9.389415069</v>
      </c>
    </row>
    <row r="64">
      <c r="A64" s="28" t="s">
        <v>87</v>
      </c>
      <c r="B64" s="22">
        <f>SUM(B47-B61)</f>
        <v>2404251588</v>
      </c>
      <c r="C64" s="13">
        <f t="shared" si="45"/>
        <v>-0.0001093923578</v>
      </c>
      <c r="D64" s="22">
        <f>SUM(D47-D61)</f>
        <v>2403988581</v>
      </c>
      <c r="E64" s="13">
        <f t="shared" si="46"/>
        <v>0.00002935141645</v>
      </c>
      <c r="F64" s="22">
        <f>SUM(F47-F61)</f>
        <v>2404059142</v>
      </c>
      <c r="G64" s="13">
        <f t="shared" si="47"/>
        <v>-0.001189492912</v>
      </c>
      <c r="H64" s="22">
        <f>SUM(H47-H61)</f>
        <v>2401199530</v>
      </c>
      <c r="I64" s="13">
        <f t="shared" si="48"/>
        <v>-0.001768497993</v>
      </c>
      <c r="J64" s="22">
        <f>SUM(J47-J61)</f>
        <v>2396953014</v>
      </c>
      <c r="K64" s="13">
        <f t="shared" si="49"/>
        <v>-0.01466557573</v>
      </c>
      <c r="L64" s="22">
        <f>SUM(L47-L61)</f>
        <v>2361800318</v>
      </c>
      <c r="M64" s="13">
        <f t="shared" si="50"/>
        <v>0.000003567994269</v>
      </c>
      <c r="N64" s="22">
        <f>SUM(N47-N61)</f>
        <v>2361808745</v>
      </c>
      <c r="O64" s="13">
        <f t="shared" si="51"/>
        <v>0.01061785085</v>
      </c>
      <c r="P64" s="22">
        <f>SUM(P47-P61)</f>
        <v>2386886078</v>
      </c>
      <c r="Q64" s="13">
        <f t="shared" si="52"/>
        <v>0</v>
      </c>
      <c r="R64" s="22">
        <f>SUM(R47-R61)</f>
        <v>2386886078</v>
      </c>
      <c r="S64" s="13">
        <f t="shared" si="53"/>
        <v>0</v>
      </c>
      <c r="T64" s="22">
        <f>SUM(T47-T61)</f>
        <v>2386886078</v>
      </c>
      <c r="U64" s="13">
        <f t="shared" si="54"/>
        <v>0</v>
      </c>
      <c r="V64" s="22">
        <f>SUM(V47-V61)</f>
        <v>2386886078</v>
      </c>
      <c r="W64" s="13">
        <f t="shared" si="55"/>
        <v>-0.00005118611698</v>
      </c>
      <c r="X64" s="22">
        <f>SUM(X47-X61)</f>
        <v>2386763902</v>
      </c>
    </row>
    <row r="65">
      <c r="A65" s="52"/>
      <c r="B65" s="2" t="s">
        <v>1</v>
      </c>
      <c r="C65" s="3">
        <f>$C$1</f>
        <v>46035</v>
      </c>
      <c r="D65" s="2" t="s">
        <v>1</v>
      </c>
      <c r="E65" s="3">
        <f>$E$1</f>
        <v>46094</v>
      </c>
      <c r="F65" s="2" t="s">
        <v>1</v>
      </c>
      <c r="G65" s="3">
        <f>$G$1</f>
        <v>46094</v>
      </c>
      <c r="H65" s="2" t="s">
        <v>1</v>
      </c>
      <c r="I65" s="3">
        <f>$I$1</f>
        <v>46129</v>
      </c>
      <c r="J65" s="2" t="s">
        <v>1</v>
      </c>
      <c r="K65" s="3">
        <f>$K$1</f>
        <v>46154</v>
      </c>
      <c r="L65" s="2" t="s">
        <v>1</v>
      </c>
      <c r="M65" s="3">
        <f>$M$1</f>
        <v>46189</v>
      </c>
      <c r="N65" s="2" t="s">
        <v>1</v>
      </c>
      <c r="O65" s="3">
        <f>$O$1</f>
        <v>46220</v>
      </c>
      <c r="P65" s="2" t="s">
        <v>2</v>
      </c>
      <c r="Q65" s="3">
        <f>$Q$1</f>
        <v>46248</v>
      </c>
      <c r="R65" s="2" t="s">
        <v>3</v>
      </c>
      <c r="S65" s="3">
        <f>$S$1</f>
        <v>46195</v>
      </c>
      <c r="T65" s="2" t="s">
        <v>3</v>
      </c>
      <c r="U65" s="3">
        <f>$U$1</f>
        <v>46195</v>
      </c>
      <c r="V65" s="2" t="s">
        <v>3</v>
      </c>
      <c r="W65" s="3">
        <f>$W$1</f>
        <v>46195</v>
      </c>
      <c r="X65" s="2" t="s">
        <v>3</v>
      </c>
      <c r="Y65" s="3">
        <f>$Y$1</f>
        <v>46195</v>
      </c>
    </row>
    <row r="66">
      <c r="A66" s="1" t="s">
        <v>88</v>
      </c>
      <c r="B66" s="1" t="s">
        <v>5</v>
      </c>
      <c r="C66" s="53"/>
      <c r="D66" s="54" t="s">
        <v>6</v>
      </c>
      <c r="E66" s="55"/>
      <c r="F66" s="54" t="s">
        <v>7</v>
      </c>
      <c r="G66" s="55"/>
      <c r="H66" s="54" t="s">
        <v>8</v>
      </c>
      <c r="I66" s="55"/>
      <c r="J66" s="54" t="s">
        <v>9</v>
      </c>
      <c r="K66" s="55"/>
      <c r="L66" s="54" t="s">
        <v>10</v>
      </c>
      <c r="M66" s="55"/>
      <c r="N66" s="54" t="s">
        <v>11</v>
      </c>
      <c r="O66" s="55"/>
      <c r="P66" s="1" t="s">
        <v>12</v>
      </c>
      <c r="Q66" s="53"/>
      <c r="R66" s="1" t="s">
        <v>13</v>
      </c>
      <c r="S66" s="53"/>
      <c r="T66" s="1" t="s">
        <v>14</v>
      </c>
      <c r="U66" s="53"/>
      <c r="V66" s="1" t="s">
        <v>15</v>
      </c>
      <c r="W66" s="53"/>
      <c r="X66" s="1" t="s">
        <v>16</v>
      </c>
    </row>
    <row r="67">
      <c r="A67" s="4" t="s">
        <v>89</v>
      </c>
      <c r="B67" s="4">
        <v>36.0</v>
      </c>
      <c r="C67" s="13">
        <f t="shared" ref="C67:C73" si="56">IFERROR(SUM((D67/B67)-1),0)</f>
        <v>0</v>
      </c>
      <c r="D67" s="4">
        <v>36.0</v>
      </c>
      <c r="E67" s="13">
        <f t="shared" ref="E67:E73" si="57">IFERROR(SUM((F67/D67)-1),0)</f>
        <v>0</v>
      </c>
      <c r="F67" s="4">
        <v>36.0</v>
      </c>
      <c r="G67" s="13">
        <f t="shared" ref="G67:G73" si="58">IFERROR(SUM((H67/F67)-1),0)</f>
        <v>0</v>
      </c>
      <c r="H67" s="4">
        <v>36.0</v>
      </c>
      <c r="I67" s="13">
        <f t="shared" ref="I67:I73" si="59">IFERROR(SUM((J67/H67)-1),0)</f>
        <v>0</v>
      </c>
      <c r="J67" s="4">
        <v>36.0</v>
      </c>
      <c r="K67" s="13">
        <f t="shared" ref="K67:K73" si="60">IFERROR(SUM((L67/J67)-1),0)</f>
        <v>0.05555555556</v>
      </c>
      <c r="L67" s="4">
        <v>38.0</v>
      </c>
      <c r="M67" s="13">
        <f t="shared" ref="M67:M73" si="61">IFERROR(SUM((N67/L67)-1),0)</f>
        <v>0.1052631579</v>
      </c>
      <c r="N67" s="4">
        <v>42.0</v>
      </c>
      <c r="O67" s="13">
        <f t="shared" ref="O67:O73" si="62">IFERROR(SUM((P67/N67)-1),0)</f>
        <v>0</v>
      </c>
      <c r="P67" s="4">
        <v>42.0</v>
      </c>
      <c r="Q67" s="13">
        <f t="shared" ref="Q67:Q73" si="63">IFERROR(SUM((R67/P67)-1),0)</f>
        <v>0</v>
      </c>
      <c r="R67" s="4">
        <v>42.0</v>
      </c>
      <c r="S67" s="13">
        <f t="shared" ref="S67:S73" si="64">IFERROR(SUM((T67/R67)-1),0)</f>
        <v>0</v>
      </c>
      <c r="T67" s="4">
        <v>42.0</v>
      </c>
      <c r="U67" s="13">
        <f t="shared" ref="U67:U73" si="65">IFERROR(SUM((V67/T67)-1),0)</f>
        <v>0</v>
      </c>
      <c r="V67" s="4">
        <v>42.0</v>
      </c>
      <c r="W67" s="13">
        <f t="shared" ref="W67:W73" si="66">IFERROR(SUM((X67/V67)-1),0)</f>
        <v>0</v>
      </c>
      <c r="X67" s="4">
        <v>42.0</v>
      </c>
    </row>
    <row r="68">
      <c r="A68" s="4" t="s">
        <v>90</v>
      </c>
      <c r="B68" s="15">
        <v>41.0</v>
      </c>
      <c r="C68" s="13">
        <f t="shared" si="56"/>
        <v>0</v>
      </c>
      <c r="D68" s="15">
        <v>41.0</v>
      </c>
      <c r="E68" s="13">
        <f t="shared" si="57"/>
        <v>0</v>
      </c>
      <c r="F68" s="15">
        <v>41.0</v>
      </c>
      <c r="G68" s="13">
        <f t="shared" si="58"/>
        <v>0</v>
      </c>
      <c r="H68" s="15">
        <v>41.0</v>
      </c>
      <c r="I68" s="13">
        <f t="shared" si="59"/>
        <v>0</v>
      </c>
      <c r="J68" s="15">
        <v>41.0</v>
      </c>
      <c r="K68" s="13">
        <f t="shared" si="60"/>
        <v>0.07317073171</v>
      </c>
      <c r="L68" s="15">
        <v>44.0</v>
      </c>
      <c r="M68" s="13">
        <f t="shared" si="61"/>
        <v>0.1136363636</v>
      </c>
      <c r="N68" s="15">
        <v>49.0</v>
      </c>
      <c r="O68" s="13">
        <f t="shared" si="62"/>
        <v>0</v>
      </c>
      <c r="P68" s="15">
        <v>49.0</v>
      </c>
      <c r="Q68" s="13">
        <f t="shared" si="63"/>
        <v>0</v>
      </c>
      <c r="R68" s="15">
        <v>49.0</v>
      </c>
      <c r="S68" s="13">
        <f t="shared" si="64"/>
        <v>0</v>
      </c>
      <c r="T68" s="15">
        <v>49.0</v>
      </c>
      <c r="U68" s="13">
        <f t="shared" si="65"/>
        <v>0</v>
      </c>
      <c r="V68" s="15">
        <v>49.0</v>
      </c>
      <c r="W68" s="13">
        <f t="shared" si="66"/>
        <v>0</v>
      </c>
      <c r="X68" s="15">
        <v>49.0</v>
      </c>
    </row>
    <row r="69">
      <c r="A69" s="4" t="s">
        <v>91</v>
      </c>
      <c r="B69" s="58">
        <v>711.0</v>
      </c>
      <c r="C69" s="13">
        <f t="shared" si="56"/>
        <v>0</v>
      </c>
      <c r="D69" s="58">
        <v>711.0</v>
      </c>
      <c r="E69" s="13">
        <f t="shared" si="57"/>
        <v>0</v>
      </c>
      <c r="F69" s="58">
        <v>711.0</v>
      </c>
      <c r="G69" s="13">
        <f t="shared" si="58"/>
        <v>0.09423347398</v>
      </c>
      <c r="H69" s="58">
        <v>778.0</v>
      </c>
      <c r="I69" s="13">
        <f t="shared" si="59"/>
        <v>0.01028277635</v>
      </c>
      <c r="J69" s="58">
        <v>786.0</v>
      </c>
      <c r="K69" s="13">
        <f t="shared" si="60"/>
        <v>0</v>
      </c>
      <c r="L69" s="58">
        <v>786.0</v>
      </c>
      <c r="M69" s="13">
        <f t="shared" si="61"/>
        <v>0.272264631</v>
      </c>
      <c r="N69" s="58">
        <v>1000.0</v>
      </c>
      <c r="O69" s="13">
        <f t="shared" si="62"/>
        <v>0</v>
      </c>
      <c r="P69" s="58">
        <v>1000.0</v>
      </c>
      <c r="Q69" s="13">
        <f t="shared" si="63"/>
        <v>0</v>
      </c>
      <c r="R69" s="58">
        <v>1000.0</v>
      </c>
      <c r="S69" s="13">
        <f t="shared" si="64"/>
        <v>0</v>
      </c>
      <c r="T69" s="58">
        <v>1000.0</v>
      </c>
      <c r="U69" s="13">
        <f t="shared" si="65"/>
        <v>0</v>
      </c>
      <c r="V69" s="58">
        <v>1000.0</v>
      </c>
      <c r="W69" s="13">
        <f t="shared" si="66"/>
        <v>0</v>
      </c>
      <c r="X69" s="58">
        <v>1000.0</v>
      </c>
    </row>
    <row r="70">
      <c r="A70" s="4" t="s">
        <v>92</v>
      </c>
      <c r="B70" s="15">
        <v>4.94</v>
      </c>
      <c r="C70" s="13">
        <f t="shared" si="56"/>
        <v>0</v>
      </c>
      <c r="D70" s="15">
        <v>4.94</v>
      </c>
      <c r="E70" s="13">
        <f t="shared" si="57"/>
        <v>0</v>
      </c>
      <c r="F70" s="15">
        <v>4.94</v>
      </c>
      <c r="G70" s="13">
        <f t="shared" si="58"/>
        <v>-0.1781376518</v>
      </c>
      <c r="H70" s="15">
        <v>4.06</v>
      </c>
      <c r="I70" s="13">
        <f t="shared" si="59"/>
        <v>0</v>
      </c>
      <c r="J70" s="15">
        <v>4.06</v>
      </c>
      <c r="K70" s="13">
        <f t="shared" si="60"/>
        <v>0</v>
      </c>
      <c r="L70" s="15">
        <v>4.06</v>
      </c>
      <c r="M70" s="13">
        <f t="shared" si="61"/>
        <v>0.1009852217</v>
      </c>
      <c r="N70" s="15">
        <v>4.47</v>
      </c>
      <c r="O70" s="13">
        <f t="shared" si="62"/>
        <v>0.004474272931</v>
      </c>
      <c r="P70" s="15">
        <v>4.49</v>
      </c>
      <c r="Q70" s="13">
        <f t="shared" si="63"/>
        <v>-0.004454342984</v>
      </c>
      <c r="R70" s="15">
        <v>4.47</v>
      </c>
      <c r="S70" s="13">
        <f t="shared" si="64"/>
        <v>0</v>
      </c>
      <c r="T70" s="15">
        <v>4.47</v>
      </c>
      <c r="U70" s="13">
        <f t="shared" si="65"/>
        <v>0</v>
      </c>
      <c r="V70" s="15">
        <v>4.47</v>
      </c>
      <c r="W70" s="13">
        <f t="shared" si="66"/>
        <v>0</v>
      </c>
      <c r="X70" s="15">
        <v>4.47</v>
      </c>
    </row>
    <row r="71">
      <c r="A71" s="5" t="s">
        <v>93</v>
      </c>
      <c r="B71" s="40">
        <f>B4</f>
        <v>0.0021</v>
      </c>
      <c r="C71" s="13">
        <f t="shared" si="56"/>
        <v>0</v>
      </c>
      <c r="D71" s="40">
        <f>D4</f>
        <v>0.0021</v>
      </c>
      <c r="E71" s="13">
        <f t="shared" si="57"/>
        <v>-0.04761904762</v>
      </c>
      <c r="F71" s="40">
        <f>F4</f>
        <v>0.002</v>
      </c>
      <c r="G71" s="13">
        <f t="shared" si="58"/>
        <v>0</v>
      </c>
      <c r="H71" s="40">
        <f>H4</f>
        <v>0.002</v>
      </c>
      <c r="I71" s="13">
        <f t="shared" si="59"/>
        <v>-0.05</v>
      </c>
      <c r="J71" s="40">
        <f>J4</f>
        <v>0.0019</v>
      </c>
      <c r="K71" s="13">
        <f t="shared" si="60"/>
        <v>0</v>
      </c>
      <c r="L71" s="40">
        <f>L4</f>
        <v>0.0019</v>
      </c>
      <c r="M71" s="13">
        <f t="shared" si="61"/>
        <v>6.368421053</v>
      </c>
      <c r="N71" s="40">
        <f>N4</f>
        <v>0.014</v>
      </c>
      <c r="O71" s="13">
        <f t="shared" si="62"/>
        <v>-0.08571428571</v>
      </c>
      <c r="P71" s="40">
        <f>P4</f>
        <v>0.0128</v>
      </c>
      <c r="Q71" s="13">
        <f t="shared" si="63"/>
        <v>0</v>
      </c>
      <c r="R71" s="40">
        <f>R4</f>
        <v>0.0128</v>
      </c>
      <c r="S71" s="13">
        <f t="shared" si="64"/>
        <v>0</v>
      </c>
      <c r="T71" s="40">
        <f>T4</f>
        <v>0.0128</v>
      </c>
      <c r="U71" s="13">
        <f t="shared" si="65"/>
        <v>0</v>
      </c>
      <c r="V71" s="40">
        <f>V4</f>
        <v>0.0128</v>
      </c>
      <c r="W71" s="13">
        <f t="shared" si="66"/>
        <v>-0.8515625</v>
      </c>
      <c r="X71" s="40">
        <f>X4</f>
        <v>0.0019</v>
      </c>
    </row>
    <row r="72">
      <c r="A72" s="5" t="s">
        <v>96</v>
      </c>
      <c r="B72" s="75">
        <v>0.0</v>
      </c>
      <c r="C72" s="13">
        <f t="shared" si="56"/>
        <v>0</v>
      </c>
      <c r="D72" s="75">
        <v>0.0</v>
      </c>
      <c r="E72" s="13">
        <f t="shared" si="57"/>
        <v>0</v>
      </c>
      <c r="F72" s="4">
        <v>0.0</v>
      </c>
      <c r="G72" s="13">
        <f t="shared" si="58"/>
        <v>0</v>
      </c>
      <c r="H72" s="4">
        <v>0.0</v>
      </c>
      <c r="I72" s="13">
        <f t="shared" si="59"/>
        <v>0</v>
      </c>
      <c r="J72" s="4">
        <v>0.0</v>
      </c>
      <c r="K72" s="13">
        <f t="shared" si="60"/>
        <v>0</v>
      </c>
      <c r="L72" s="4">
        <v>0.0</v>
      </c>
      <c r="M72" s="13">
        <f t="shared" si="61"/>
        <v>0</v>
      </c>
      <c r="N72" s="4">
        <v>0.0</v>
      </c>
      <c r="O72" s="13">
        <f t="shared" si="62"/>
        <v>0</v>
      </c>
      <c r="P72" s="4">
        <v>0.0</v>
      </c>
      <c r="Q72" s="13">
        <f t="shared" si="63"/>
        <v>0</v>
      </c>
      <c r="R72" s="4">
        <v>0.0</v>
      </c>
      <c r="S72" s="13">
        <f t="shared" si="64"/>
        <v>0</v>
      </c>
      <c r="T72" s="4">
        <v>0.0</v>
      </c>
      <c r="U72" s="13">
        <f t="shared" si="65"/>
        <v>0</v>
      </c>
      <c r="V72" s="4">
        <v>0.0</v>
      </c>
      <c r="W72" s="13">
        <f t="shared" si="66"/>
        <v>0</v>
      </c>
      <c r="X72" s="4">
        <v>0.0</v>
      </c>
    </row>
    <row r="73">
      <c r="A73" s="5" t="s">
        <v>98</v>
      </c>
      <c r="B73" s="75">
        <v>28.59</v>
      </c>
      <c r="C73" s="13">
        <f t="shared" si="56"/>
        <v>-0.0549143057</v>
      </c>
      <c r="D73" s="75">
        <v>27.02</v>
      </c>
      <c r="E73" s="13">
        <f t="shared" si="57"/>
        <v>0.05810510733</v>
      </c>
      <c r="F73" s="75">
        <v>28.59</v>
      </c>
      <c r="G73" s="13">
        <f t="shared" si="58"/>
        <v>-0.117173837</v>
      </c>
      <c r="H73" s="75">
        <v>25.24</v>
      </c>
      <c r="I73" s="13">
        <f t="shared" si="59"/>
        <v>-0.03367670365</v>
      </c>
      <c r="J73" s="75">
        <v>24.39</v>
      </c>
      <c r="K73" s="13">
        <f t="shared" si="60"/>
        <v>0</v>
      </c>
      <c r="L73" s="75">
        <v>24.39</v>
      </c>
      <c r="M73" s="13">
        <f t="shared" si="61"/>
        <v>0.032800328</v>
      </c>
      <c r="N73" s="75">
        <v>25.19</v>
      </c>
      <c r="O73" s="13">
        <f t="shared" si="62"/>
        <v>0.1119491862</v>
      </c>
      <c r="P73" s="75">
        <v>28.01</v>
      </c>
      <c r="Q73" s="13">
        <f t="shared" si="63"/>
        <v>-0.1006783292</v>
      </c>
      <c r="R73" s="75">
        <v>25.19</v>
      </c>
      <c r="S73" s="13">
        <f t="shared" si="64"/>
        <v>0</v>
      </c>
      <c r="T73" s="75">
        <v>25.19</v>
      </c>
      <c r="U73" s="13">
        <f t="shared" si="65"/>
        <v>0</v>
      </c>
      <c r="V73" s="75">
        <v>25.19</v>
      </c>
      <c r="W73" s="13">
        <f t="shared" si="66"/>
        <v>0</v>
      </c>
      <c r="X73" s="75">
        <v>25.19</v>
      </c>
    </row>
    <row r="74">
      <c r="A74" s="1" t="s">
        <v>99</v>
      </c>
      <c r="B74" s="53"/>
      <c r="C74" s="31"/>
      <c r="D74" s="78"/>
      <c r="E74" s="53"/>
      <c r="F74" s="62"/>
      <c r="G74" s="79"/>
      <c r="H74" s="31"/>
      <c r="I74" s="79"/>
      <c r="J74" s="31"/>
      <c r="K74" s="79"/>
      <c r="L74" s="31"/>
      <c r="M74" s="79"/>
      <c r="N74" s="31"/>
      <c r="O74" s="79"/>
      <c r="P74" s="31"/>
      <c r="Q74" s="79"/>
      <c r="R74" s="31"/>
      <c r="S74" s="79"/>
      <c r="T74" s="31"/>
      <c r="U74" s="79"/>
      <c r="V74" s="31"/>
      <c r="W74" s="79"/>
      <c r="X74" s="31"/>
    </row>
    <row r="75">
      <c r="A75" s="65" t="s">
        <v>101</v>
      </c>
      <c r="B75" s="65">
        <v>87.08</v>
      </c>
      <c r="C75" s="68">
        <f t="shared" ref="C75:C85" si="67">IFERROR(SUM((D75/B75)-1),0)</f>
        <v>-0.004593477262</v>
      </c>
      <c r="D75" s="65">
        <v>86.68</v>
      </c>
      <c r="E75" s="68">
        <f t="shared" ref="E75:E85" si="68">IFERROR(SUM((F75/D75)-1),0)</f>
        <v>-0.009113982464</v>
      </c>
      <c r="F75" s="65">
        <v>85.89</v>
      </c>
      <c r="G75" s="68">
        <f t="shared" ref="G75:G85" si="69">IFERROR(SUM((H75/F75)-1),0)</f>
        <v>0.008033531261</v>
      </c>
      <c r="H75" s="65">
        <v>86.58</v>
      </c>
      <c r="I75" s="68">
        <f t="shared" ref="I75:I85" si="70">IFERROR(SUM((J75/H75)-1),0)</f>
        <v>-0.004966504967</v>
      </c>
      <c r="J75" s="65">
        <v>86.15</v>
      </c>
      <c r="K75" s="68">
        <f t="shared" ref="K75:K85" si="71">IFERROR(SUM((L75/J75)-1),0)</f>
        <v>0</v>
      </c>
      <c r="L75" s="65">
        <v>86.15</v>
      </c>
      <c r="M75" s="68">
        <f t="shared" ref="M75:M85" si="72">IFERROR(SUM((N75/L75)-1),0)</f>
        <v>0.0230992455</v>
      </c>
      <c r="N75" s="65">
        <v>88.14</v>
      </c>
      <c r="O75" s="68">
        <f t="shared" ref="O75:O85" si="73">IFERROR(SUM((P75/N75)-1),0)</f>
        <v>-0.003517131836</v>
      </c>
      <c r="P75" s="65">
        <v>87.83</v>
      </c>
      <c r="Q75" s="68">
        <f t="shared" ref="Q75:Q85" si="74">IFERROR(SUM((R75/P75)-1),0)</f>
        <v>0.003529545713</v>
      </c>
      <c r="R75" s="65">
        <v>88.14</v>
      </c>
      <c r="S75" s="68">
        <f t="shared" ref="S75:S85" si="75">IFERROR(SUM((T75/R75)-1),0)</f>
        <v>0</v>
      </c>
      <c r="T75" s="65">
        <v>88.14</v>
      </c>
      <c r="U75" s="68">
        <f t="shared" ref="U75:U85" si="76">IFERROR(SUM((V75/T75)-1),0)</f>
        <v>0</v>
      </c>
      <c r="V75" s="65">
        <v>88.14</v>
      </c>
      <c r="W75" s="68">
        <f t="shared" ref="W75:W85" si="77">IFERROR(SUM((X75/V75)-1),0)</f>
        <v>0</v>
      </c>
      <c r="X75" s="65">
        <v>88.14</v>
      </c>
    </row>
    <row r="76">
      <c r="A76" s="65" t="s">
        <v>102</v>
      </c>
      <c r="B76" s="67">
        <f>(100-B75)</f>
        <v>12.92</v>
      </c>
      <c r="C76" s="68">
        <f t="shared" si="67"/>
        <v>0.03095975232</v>
      </c>
      <c r="D76" s="67">
        <f>(100-D75)</f>
        <v>13.32</v>
      </c>
      <c r="E76" s="68">
        <f t="shared" si="68"/>
        <v>0.05930930931</v>
      </c>
      <c r="F76" s="67">
        <f>(100-F75)</f>
        <v>14.11</v>
      </c>
      <c r="G76" s="68">
        <f t="shared" si="69"/>
        <v>-0.04890148831</v>
      </c>
      <c r="H76" s="67">
        <f>(100-H75)</f>
        <v>13.42</v>
      </c>
      <c r="I76" s="68">
        <f t="shared" si="70"/>
        <v>0.03204172876</v>
      </c>
      <c r="J76" s="67">
        <f>(100-J75)</f>
        <v>13.85</v>
      </c>
      <c r="K76" s="68">
        <f t="shared" si="71"/>
        <v>0</v>
      </c>
      <c r="L76" s="67">
        <f>(100-L75)</f>
        <v>13.85</v>
      </c>
      <c r="M76" s="68">
        <f t="shared" si="72"/>
        <v>-0.1436823105</v>
      </c>
      <c r="N76" s="67">
        <f>(100-N75)</f>
        <v>11.86</v>
      </c>
      <c r="O76" s="68">
        <f t="shared" si="73"/>
        <v>0.02613827993</v>
      </c>
      <c r="P76" s="67">
        <f>(100-P75)</f>
        <v>12.17</v>
      </c>
      <c r="Q76" s="68">
        <f t="shared" si="74"/>
        <v>-0.02547247329</v>
      </c>
      <c r="R76" s="67">
        <f>(100-R75)</f>
        <v>11.86</v>
      </c>
      <c r="S76" s="68">
        <f t="shared" si="75"/>
        <v>0</v>
      </c>
      <c r="T76" s="67">
        <f>(100-T75)</f>
        <v>11.86</v>
      </c>
      <c r="U76" s="68">
        <f t="shared" si="76"/>
        <v>0</v>
      </c>
      <c r="V76" s="67">
        <f>(100-V75)</f>
        <v>11.86</v>
      </c>
      <c r="W76" s="68">
        <f t="shared" si="77"/>
        <v>0</v>
      </c>
      <c r="X76" s="67">
        <f>(100-X75)</f>
        <v>11.86</v>
      </c>
    </row>
    <row r="77">
      <c r="A77" s="4" t="s">
        <v>106</v>
      </c>
      <c r="B77" s="4">
        <v>90.28</v>
      </c>
      <c r="C77" s="13">
        <f t="shared" si="67"/>
        <v>0.001772264067</v>
      </c>
      <c r="D77" s="4">
        <v>90.44</v>
      </c>
      <c r="E77" s="13">
        <f t="shared" si="68"/>
        <v>0.000331711632</v>
      </c>
      <c r="F77" s="4">
        <v>90.47</v>
      </c>
      <c r="G77" s="13">
        <f t="shared" si="69"/>
        <v>-0.0009948049077</v>
      </c>
      <c r="H77" s="4">
        <v>90.38</v>
      </c>
      <c r="I77" s="13">
        <f t="shared" si="70"/>
        <v>-0.002655454747</v>
      </c>
      <c r="J77" s="4">
        <v>90.14</v>
      </c>
      <c r="K77" s="13">
        <f t="shared" si="71"/>
        <v>0</v>
      </c>
      <c r="L77" s="4">
        <v>90.14</v>
      </c>
      <c r="M77" s="13">
        <f t="shared" si="72"/>
        <v>0.01375637897</v>
      </c>
      <c r="N77" s="4">
        <v>91.38</v>
      </c>
      <c r="O77" s="13">
        <f t="shared" si="73"/>
        <v>-0.002407529</v>
      </c>
      <c r="P77" s="4">
        <v>91.16</v>
      </c>
      <c r="Q77" s="13">
        <f t="shared" si="74"/>
        <v>0.002413339184</v>
      </c>
      <c r="R77" s="4">
        <v>91.38</v>
      </c>
      <c r="S77" s="13">
        <f t="shared" si="75"/>
        <v>0</v>
      </c>
      <c r="T77" s="4">
        <v>91.38</v>
      </c>
      <c r="U77" s="13">
        <f t="shared" si="76"/>
        <v>0</v>
      </c>
      <c r="V77" s="4">
        <v>91.38</v>
      </c>
      <c r="W77" s="13">
        <f t="shared" si="77"/>
        <v>0</v>
      </c>
      <c r="X77" s="4">
        <v>91.38</v>
      </c>
    </row>
    <row r="78">
      <c r="A78" s="4" t="s">
        <v>108</v>
      </c>
      <c r="B78" s="4">
        <v>7.49</v>
      </c>
      <c r="C78" s="13">
        <f t="shared" si="67"/>
        <v>-0.02803738318</v>
      </c>
      <c r="D78" s="4">
        <v>7.28</v>
      </c>
      <c r="E78" s="13">
        <f t="shared" si="68"/>
        <v>-0.01373626374</v>
      </c>
      <c r="F78" s="4">
        <v>7.18</v>
      </c>
      <c r="G78" s="13">
        <f t="shared" si="69"/>
        <v>0.009749303621</v>
      </c>
      <c r="H78" s="4">
        <v>7.25</v>
      </c>
      <c r="I78" s="13">
        <f t="shared" si="70"/>
        <v>0.02482758621</v>
      </c>
      <c r="J78" s="4">
        <v>7.43</v>
      </c>
      <c r="K78" s="13">
        <f t="shared" si="71"/>
        <v>0</v>
      </c>
      <c r="L78" s="4">
        <v>7.43</v>
      </c>
      <c r="M78" s="13">
        <f t="shared" si="72"/>
        <v>-0.1049798116</v>
      </c>
      <c r="N78" s="4">
        <v>6.65</v>
      </c>
      <c r="O78" s="13">
        <f t="shared" si="73"/>
        <v>0.02556390977</v>
      </c>
      <c r="P78" s="4">
        <v>6.82</v>
      </c>
      <c r="Q78" s="13">
        <f t="shared" si="74"/>
        <v>-0.02492668622</v>
      </c>
      <c r="R78" s="4">
        <v>6.65</v>
      </c>
      <c r="S78" s="13">
        <f t="shared" si="75"/>
        <v>0</v>
      </c>
      <c r="T78" s="4">
        <v>6.65</v>
      </c>
      <c r="U78" s="13">
        <f t="shared" si="76"/>
        <v>0</v>
      </c>
      <c r="V78" s="4">
        <v>6.65</v>
      </c>
      <c r="W78" s="13">
        <f t="shared" si="77"/>
        <v>0</v>
      </c>
      <c r="X78" s="4">
        <v>6.65</v>
      </c>
    </row>
    <row r="79">
      <c r="A79" s="4" t="s">
        <v>181</v>
      </c>
      <c r="B79" s="4">
        <v>2.23</v>
      </c>
      <c r="C79" s="13">
        <f t="shared" si="67"/>
        <v>0.02242152466</v>
      </c>
      <c r="D79" s="4">
        <v>2.28</v>
      </c>
      <c r="E79" s="13">
        <f t="shared" si="68"/>
        <v>0.03070175439</v>
      </c>
      <c r="F79" s="4">
        <v>2.35</v>
      </c>
      <c r="G79" s="13">
        <f t="shared" si="69"/>
        <v>0.008510638298</v>
      </c>
      <c r="H79" s="4">
        <v>2.37</v>
      </c>
      <c r="I79" s="13">
        <f t="shared" si="70"/>
        <v>0.0253164557</v>
      </c>
      <c r="J79" s="4">
        <v>2.43</v>
      </c>
      <c r="K79" s="13">
        <f t="shared" si="71"/>
        <v>0</v>
      </c>
      <c r="L79" s="4">
        <v>2.43</v>
      </c>
      <c r="M79" s="13">
        <f t="shared" si="72"/>
        <v>-0.1893004115</v>
      </c>
      <c r="N79" s="4">
        <v>1.97</v>
      </c>
      <c r="O79" s="13">
        <f t="shared" si="73"/>
        <v>0.02538071066</v>
      </c>
      <c r="P79" s="4">
        <v>2.02</v>
      </c>
      <c r="Q79" s="13">
        <f t="shared" si="74"/>
        <v>-0.02475247525</v>
      </c>
      <c r="R79" s="4">
        <v>1.97</v>
      </c>
      <c r="S79" s="13">
        <f t="shared" si="75"/>
        <v>0</v>
      </c>
      <c r="T79" s="4">
        <v>1.97</v>
      </c>
      <c r="U79" s="13">
        <f t="shared" si="76"/>
        <v>0</v>
      </c>
      <c r="V79" s="4">
        <v>1.97</v>
      </c>
      <c r="W79" s="13">
        <f t="shared" si="77"/>
        <v>0</v>
      </c>
      <c r="X79" s="4">
        <v>1.97</v>
      </c>
    </row>
    <row r="80">
      <c r="A80" s="65" t="s">
        <v>109</v>
      </c>
      <c r="B80" s="65">
        <v>67.21</v>
      </c>
      <c r="C80" s="68">
        <f t="shared" si="67"/>
        <v>0.01577146258</v>
      </c>
      <c r="D80" s="65">
        <v>68.27</v>
      </c>
      <c r="E80" s="68">
        <f t="shared" si="68"/>
        <v>0.004540793907</v>
      </c>
      <c r="F80" s="65">
        <v>68.58</v>
      </c>
      <c r="G80" s="68">
        <f t="shared" si="69"/>
        <v>-0.004228638087</v>
      </c>
      <c r="H80" s="65">
        <v>68.29</v>
      </c>
      <c r="I80" s="68">
        <f t="shared" si="70"/>
        <v>0.02679748133</v>
      </c>
      <c r="J80" s="65">
        <v>70.12</v>
      </c>
      <c r="K80" s="68">
        <f t="shared" si="71"/>
        <v>0</v>
      </c>
      <c r="L80" s="65">
        <v>70.12</v>
      </c>
      <c r="M80" s="68">
        <f t="shared" si="72"/>
        <v>0.07472903594</v>
      </c>
      <c r="N80" s="65">
        <v>75.36</v>
      </c>
      <c r="O80" s="68">
        <f t="shared" si="73"/>
        <v>0.1003184713</v>
      </c>
      <c r="P80" s="65">
        <v>82.92</v>
      </c>
      <c r="Q80" s="68">
        <f t="shared" si="74"/>
        <v>-0.09117221418</v>
      </c>
      <c r="R80" s="65">
        <v>75.36</v>
      </c>
      <c r="S80" s="68">
        <f t="shared" si="75"/>
        <v>0</v>
      </c>
      <c r="T80" s="65">
        <v>75.36</v>
      </c>
      <c r="U80" s="68">
        <f t="shared" si="76"/>
        <v>0</v>
      </c>
      <c r="V80" s="65">
        <v>75.36</v>
      </c>
      <c r="W80" s="68">
        <f t="shared" si="77"/>
        <v>0</v>
      </c>
      <c r="X80" s="65">
        <v>75.36</v>
      </c>
    </row>
    <row r="81">
      <c r="A81" s="65" t="s">
        <v>141</v>
      </c>
      <c r="B81" s="65">
        <v>17.29</v>
      </c>
      <c r="C81" s="68">
        <f t="shared" si="67"/>
        <v>-0.08444187392</v>
      </c>
      <c r="D81" s="65">
        <v>15.83</v>
      </c>
      <c r="E81" s="68">
        <f t="shared" si="68"/>
        <v>-0.006317119394</v>
      </c>
      <c r="F81" s="65">
        <v>15.73</v>
      </c>
      <c r="G81" s="68">
        <f t="shared" si="69"/>
        <v>0.009535918627</v>
      </c>
      <c r="H81" s="65">
        <v>15.88</v>
      </c>
      <c r="I81" s="68">
        <f t="shared" si="70"/>
        <v>-0.1479848866</v>
      </c>
      <c r="J81" s="65">
        <v>13.53</v>
      </c>
      <c r="K81" s="68">
        <f t="shared" si="71"/>
        <v>0</v>
      </c>
      <c r="L81" s="65">
        <v>13.53</v>
      </c>
      <c r="M81" s="68">
        <f t="shared" si="72"/>
        <v>-0.1736881005</v>
      </c>
      <c r="N81" s="65">
        <v>11.18</v>
      </c>
      <c r="O81" s="68">
        <f t="shared" si="73"/>
        <v>-0.2683363148</v>
      </c>
      <c r="P81" s="65">
        <v>8.18</v>
      </c>
      <c r="Q81" s="68">
        <f t="shared" si="74"/>
        <v>0.3667481663</v>
      </c>
      <c r="R81" s="65">
        <v>11.18</v>
      </c>
      <c r="S81" s="68">
        <f t="shared" si="75"/>
        <v>0</v>
      </c>
      <c r="T81" s="65">
        <v>11.18</v>
      </c>
      <c r="U81" s="68">
        <f t="shared" si="76"/>
        <v>0</v>
      </c>
      <c r="V81" s="65">
        <v>11.18</v>
      </c>
      <c r="W81" s="68">
        <f t="shared" si="77"/>
        <v>0</v>
      </c>
      <c r="X81" s="65">
        <v>11.18</v>
      </c>
    </row>
    <row r="82">
      <c r="A82" s="65" t="s">
        <v>182</v>
      </c>
      <c r="B82" s="65">
        <v>15.5</v>
      </c>
      <c r="C82" s="68">
        <f t="shared" si="67"/>
        <v>0.0264516129</v>
      </c>
      <c r="D82" s="65">
        <v>15.91</v>
      </c>
      <c r="E82" s="68">
        <f t="shared" si="68"/>
        <v>-0.01382778127</v>
      </c>
      <c r="F82" s="65">
        <v>15.69</v>
      </c>
      <c r="G82" s="68">
        <f t="shared" si="69"/>
        <v>0.008922880816</v>
      </c>
      <c r="H82" s="65">
        <v>15.83</v>
      </c>
      <c r="I82" s="68">
        <f t="shared" si="70"/>
        <v>0.03284902085</v>
      </c>
      <c r="J82" s="65">
        <v>16.35</v>
      </c>
      <c r="K82" s="68">
        <f t="shared" si="71"/>
        <v>0</v>
      </c>
      <c r="L82" s="65">
        <v>16.35</v>
      </c>
      <c r="M82" s="68">
        <f t="shared" si="72"/>
        <v>-0.1767584098</v>
      </c>
      <c r="N82" s="65">
        <v>13.46</v>
      </c>
      <c r="O82" s="68">
        <f t="shared" si="73"/>
        <v>-0.3395245171</v>
      </c>
      <c r="P82" s="65">
        <v>8.89</v>
      </c>
      <c r="Q82" s="68">
        <f t="shared" si="74"/>
        <v>0.5140607424</v>
      </c>
      <c r="R82" s="65">
        <v>13.46</v>
      </c>
      <c r="S82" s="68">
        <f t="shared" si="75"/>
        <v>0</v>
      </c>
      <c r="T82" s="65">
        <v>13.46</v>
      </c>
      <c r="U82" s="68">
        <f t="shared" si="76"/>
        <v>0</v>
      </c>
      <c r="V82" s="65">
        <v>13.46</v>
      </c>
      <c r="W82" s="68">
        <f t="shared" si="77"/>
        <v>0</v>
      </c>
      <c r="X82" s="65">
        <v>13.46</v>
      </c>
    </row>
    <row r="83">
      <c r="A83" s="4" t="s">
        <v>113</v>
      </c>
      <c r="B83" s="75">
        <v>9.9</v>
      </c>
      <c r="C83" s="13">
        <f t="shared" si="67"/>
        <v>0.01515151515</v>
      </c>
      <c r="D83" s="75">
        <v>10.05</v>
      </c>
      <c r="E83" s="13">
        <f t="shared" si="68"/>
        <v>0.03084577114</v>
      </c>
      <c r="F83" s="75">
        <v>10.36</v>
      </c>
      <c r="G83" s="13">
        <f t="shared" si="69"/>
        <v>-0.005791505792</v>
      </c>
      <c r="H83" s="75">
        <v>10.3</v>
      </c>
      <c r="I83" s="13">
        <f t="shared" si="70"/>
        <v>-0.002912621359</v>
      </c>
      <c r="J83" s="75">
        <v>10.27</v>
      </c>
      <c r="K83" s="13">
        <f t="shared" si="71"/>
        <v>-0.01168451801</v>
      </c>
      <c r="L83" s="75">
        <v>10.15</v>
      </c>
      <c r="M83" s="13">
        <f t="shared" si="72"/>
        <v>-0.02561576355</v>
      </c>
      <c r="N83" s="75">
        <v>9.89</v>
      </c>
      <c r="O83" s="13">
        <f t="shared" si="73"/>
        <v>0.01415571284</v>
      </c>
      <c r="P83" s="75">
        <v>10.03</v>
      </c>
      <c r="Q83" s="13">
        <f t="shared" si="74"/>
        <v>-0.01395812562</v>
      </c>
      <c r="R83" s="75">
        <v>9.89</v>
      </c>
      <c r="S83" s="13">
        <f t="shared" si="75"/>
        <v>0</v>
      </c>
      <c r="T83" s="75">
        <v>9.89</v>
      </c>
      <c r="U83" s="13">
        <f t="shared" si="76"/>
        <v>0</v>
      </c>
      <c r="V83" s="75">
        <v>9.89</v>
      </c>
      <c r="W83" s="13">
        <f t="shared" si="77"/>
        <v>0</v>
      </c>
      <c r="X83" s="75">
        <v>9.89</v>
      </c>
    </row>
    <row r="84">
      <c r="A84" s="4" t="s">
        <v>116</v>
      </c>
      <c r="B84" s="75">
        <v>11.22</v>
      </c>
      <c r="C84" s="13">
        <f t="shared" si="67"/>
        <v>0</v>
      </c>
      <c r="D84" s="75">
        <v>11.22</v>
      </c>
      <c r="E84" s="13">
        <f t="shared" si="68"/>
        <v>0</v>
      </c>
      <c r="F84" s="75">
        <v>11.22</v>
      </c>
      <c r="G84" s="13">
        <f t="shared" si="69"/>
        <v>-0.005347593583</v>
      </c>
      <c r="H84" s="75">
        <v>11.16</v>
      </c>
      <c r="I84" s="13">
        <f t="shared" si="70"/>
        <v>-0.007168458781</v>
      </c>
      <c r="J84" s="75">
        <v>11.08</v>
      </c>
      <c r="K84" s="13">
        <f t="shared" si="71"/>
        <v>-0.005415162455</v>
      </c>
      <c r="L84" s="75">
        <v>11.02</v>
      </c>
      <c r="M84" s="13">
        <f t="shared" si="72"/>
        <v>0.0009074410163</v>
      </c>
      <c r="N84" s="75">
        <v>11.03</v>
      </c>
      <c r="O84" s="13">
        <f t="shared" si="73"/>
        <v>0.005439709882</v>
      </c>
      <c r="P84" s="75">
        <v>11.09</v>
      </c>
      <c r="Q84" s="13">
        <f t="shared" si="74"/>
        <v>-0.005410279531</v>
      </c>
      <c r="R84" s="75">
        <v>11.03</v>
      </c>
      <c r="S84" s="13">
        <f t="shared" si="75"/>
        <v>0</v>
      </c>
      <c r="T84" s="75">
        <v>11.03</v>
      </c>
      <c r="U84" s="13">
        <f t="shared" si="76"/>
        <v>0</v>
      </c>
      <c r="V84" s="75">
        <v>11.03</v>
      </c>
      <c r="W84" s="13">
        <f t="shared" si="77"/>
        <v>0</v>
      </c>
      <c r="X84" s="75">
        <v>11.03</v>
      </c>
    </row>
    <row r="85">
      <c r="A85" s="4" t="s">
        <v>119</v>
      </c>
      <c r="B85" s="24">
        <f>B83/B84</f>
        <v>0.8823529412</v>
      </c>
      <c r="C85" s="13">
        <f t="shared" si="67"/>
        <v>0.01515151515</v>
      </c>
      <c r="D85" s="24">
        <f>D83/D84</f>
        <v>0.8957219251</v>
      </c>
      <c r="E85" s="13">
        <f t="shared" si="68"/>
        <v>0.03084577114</v>
      </c>
      <c r="F85" s="22">
        <f>F83/F84</f>
        <v>0.9233511586</v>
      </c>
      <c r="G85" s="13">
        <f t="shared" si="69"/>
        <v>-0.0004462988334</v>
      </c>
      <c r="H85" s="22">
        <f>H83/H84</f>
        <v>0.9229390681</v>
      </c>
      <c r="I85" s="13">
        <f t="shared" si="70"/>
        <v>0.00428656549</v>
      </c>
      <c r="J85" s="22">
        <f>J83/J84</f>
        <v>0.9268953069</v>
      </c>
      <c r="K85" s="13">
        <f t="shared" si="71"/>
        <v>-0.006303489981</v>
      </c>
      <c r="L85" s="22">
        <f>L83/L84</f>
        <v>0.9210526316</v>
      </c>
      <c r="M85" s="13">
        <f t="shared" si="72"/>
        <v>-0.02649915814</v>
      </c>
      <c r="N85" s="22">
        <f>N83/N84</f>
        <v>0.8966455122</v>
      </c>
      <c r="O85" s="13">
        <f t="shared" si="73"/>
        <v>0.008668846947</v>
      </c>
      <c r="P85" s="22">
        <f>P83/P84</f>
        <v>0.904418395</v>
      </c>
      <c r="Q85" s="13">
        <f t="shared" si="74"/>
        <v>-0.008594343895</v>
      </c>
      <c r="R85" s="22">
        <f>R83/R84</f>
        <v>0.8966455122</v>
      </c>
      <c r="S85" s="13">
        <f t="shared" si="75"/>
        <v>0</v>
      </c>
      <c r="T85" s="22">
        <f>T83/T84</f>
        <v>0.8966455122</v>
      </c>
      <c r="U85" s="13">
        <f t="shared" si="76"/>
        <v>0</v>
      </c>
      <c r="V85" s="22">
        <f>V83/V84</f>
        <v>0.8966455122</v>
      </c>
      <c r="W85" s="13">
        <f t="shared" si="77"/>
        <v>0</v>
      </c>
      <c r="X85" s="22">
        <f>X83/X84</f>
        <v>0.8966455122</v>
      </c>
    </row>
    <row r="86">
      <c r="A86" s="4" t="s">
        <v>121</v>
      </c>
      <c r="B86" s="4" t="s">
        <v>137</v>
      </c>
    </row>
    <row r="87">
      <c r="A87" s="5" t="s">
        <v>123</v>
      </c>
      <c r="B87" s="89" t="s">
        <v>185</v>
      </c>
    </row>
    <row r="88">
      <c r="A88" s="4" t="s">
        <v>125</v>
      </c>
      <c r="B88" s="64">
        <v>0.0</v>
      </c>
    </row>
    <row r="89" ht="22.5" customHeight="1">
      <c r="A89" s="4" t="s">
        <v>126</v>
      </c>
      <c r="B89" s="83">
        <f>SUM(B30,D30,F30,H30,J30,L30,N30,P30,R30,T30,V30,X30)</f>
        <v>302541605.2</v>
      </c>
      <c r="D89" s="85" t="s">
        <v>128</v>
      </c>
      <c r="E89" s="85" t="s">
        <v>113</v>
      </c>
      <c r="F89" s="85" t="s">
        <v>116</v>
      </c>
      <c r="G89" s="85" t="s">
        <v>119</v>
      </c>
      <c r="H89" s="86" t="s">
        <v>129</v>
      </c>
      <c r="I89" s="86" t="s">
        <v>131</v>
      </c>
      <c r="J89" s="87" t="s">
        <v>132</v>
      </c>
      <c r="K89" s="87" t="s">
        <v>133</v>
      </c>
      <c r="L89" s="87" t="s">
        <v>134</v>
      </c>
    </row>
    <row r="90" ht="22.5" customHeight="1">
      <c r="A90" s="4" t="s">
        <v>135</v>
      </c>
      <c r="B90" s="83">
        <f>SUM(B56,D56,F56,H56,J56,L56,N56,P56,R56,T56,V56,X56)</f>
        <v>23532211.93</v>
      </c>
      <c r="D90" s="88" t="s">
        <v>138</v>
      </c>
      <c r="E90" s="91">
        <f t="array" ref="E90">IFERROR(INDEX(FCD[], MATCH(D90, FCD[FIIs], 0), MATCH(FCD[[#HEADERS],[V/Mercado]], FCD[#HEADERS], 0)),"")</f>
        <v>91.6</v>
      </c>
      <c r="F90" s="91">
        <f t="array" ref="F90">IFERROR(INDEX(Indicador_Fii[], MATCH(D90, Indicador_Fii[Fii], 0), MATCH(Indicador_Fii[[#HEADERS],[VP/Cota]], Indicador_Fii[#HEADERS], 0)),"")</f>
        <v>105.25</v>
      </c>
      <c r="G90" s="93">
        <f t="shared" ref="G90:G95" si="78">E90/F90</f>
        <v>0.8703087886</v>
      </c>
      <c r="H90" s="94">
        <f t="shared" ref="H90:H95" si="79">I90/F90</f>
        <v>0.9323973024</v>
      </c>
      <c r="I90" s="101">
        <f t="array" ref="I90">IFERROR(INDEX(FCD[], MATCH(D90, FCD[FIIs], 0), MATCH(FCD[[#HEADERS],[Preço_Justo]], FCD[#HEADERS], 0)),"")</f>
        <v>98.13481608</v>
      </c>
      <c r="J90" s="98">
        <f t="array" ref="J90">IFERROR(INDEX(Indicador_Fii[], MATCH(D90, Indicador_Fii[Fii], 0), MATCH(Indicador_Fii[[#HEADERS],[FFO_Yield]], Indicador_Fii[#HEADERS], 0)),"")</f>
        <v>6.94</v>
      </c>
      <c r="K90" s="98">
        <f t="array" ref="K90">IFERROR(INDEX(Indicador_Fii[], MATCH(D90, Indicador_Fii[Fii], 0), MATCH(Indicador_Fii[[#HEADERS],[DIV_Yield]], Indicador_Fii[#HEADERS], 0)),"")</f>
        <v>8.8</v>
      </c>
      <c r="L90" s="100">
        <f>IFERROR(__xludf.DUMMYFUNCTION("GOOGLEFINANCE(D90, ""volumeavg"")"),83200.0)</f>
        <v>83200</v>
      </c>
    </row>
    <row r="91" ht="22.5" customHeight="1">
      <c r="A91" s="4" t="s">
        <v>144</v>
      </c>
      <c r="B91" s="13">
        <f>B90/B89</f>
        <v>0.07778173821</v>
      </c>
      <c r="D91" s="88" t="s">
        <v>140</v>
      </c>
      <c r="E91" s="91">
        <f t="array" ref="E91">IFERROR(INDEX(FCD[], MATCH(D91, FCD[FIIs], 0), MATCH(FCD[[#HEADERS],[V/Mercado]], FCD[#HEADERS], 0)),"")</f>
        <v>146.52</v>
      </c>
      <c r="F91" s="91">
        <f t="array" ref="F91">IFERROR(INDEX(Indicador_Fii[], MATCH(D91, Indicador_Fii[Fii], 0), MATCH(Indicador_Fii[[#HEADERS],[VP/Cota]], Indicador_Fii[#HEADERS], 0)),"")</f>
        <v>166</v>
      </c>
      <c r="G91" s="93">
        <f t="shared" si="78"/>
        <v>0.8826506024</v>
      </c>
      <c r="H91" s="94">
        <f t="shared" si="79"/>
        <v>0.9284179884</v>
      </c>
      <c r="I91" s="101">
        <f t="array" ref="I91">IFERROR(INDEX(FCD[], MATCH(D91, FCD[FIIs], 0), MATCH(FCD[[#HEADERS],[Preço_Justo]], FCD[#HEADERS], 0)),"")</f>
        <v>154.1173861</v>
      </c>
      <c r="J91" s="98">
        <f t="array" ref="J91">IFERROR(INDEX(Indicador_Fii[], MATCH(D91, Indicador_Fii[Fii], 0), MATCH(Indicador_Fii[[#HEADERS],[FFO_Yield]], Indicador_Fii[#HEADERS], 0)),"")</f>
        <v>6.55</v>
      </c>
      <c r="K91" s="98">
        <f t="array" ref="K91">IFERROR(INDEX(Indicador_Fii[], MATCH(D91, Indicador_Fii[Fii], 0), MATCH(Indicador_Fii[[#HEADERS],[DIV_Yield]], Indicador_Fii[#HEADERS], 0)),"")</f>
        <v>7.2</v>
      </c>
      <c r="L91" s="100">
        <f>IFERROR(__xludf.DUMMYFUNCTION("GOOGLEFINANCE(D91, ""volumeavg"")"),129710.0)</f>
        <v>129710</v>
      </c>
    </row>
    <row r="92" ht="22.5" customHeight="1">
      <c r="A92" s="4" t="s">
        <v>146</v>
      </c>
      <c r="B92" s="83">
        <f>IFERROR(__xludf.DUMMYFUNCTION("GOOGLEFINANCE(B86)*B94"),1.928246976E9)</f>
        <v>1928246976</v>
      </c>
      <c r="D92" s="88" t="s">
        <v>137</v>
      </c>
      <c r="E92" s="91">
        <f t="array" ref="E92">IFERROR(INDEX(FCD[], MATCH(D92, FCD[FIIs], 0), MATCH(FCD[[#HEADERS],[V/Mercado]], FCD[#HEADERS], 0)),"")</f>
        <v>9</v>
      </c>
      <c r="F92" s="91">
        <f t="array" ref="F92">IFERROR(INDEX(Indicador_Fii[], MATCH(D92, Indicador_Fii[Fii], 0), MATCH(Indicador_Fii[[#HEADERS],[VP/Cota]], Indicador_Fii[#HEADERS], 0)),"")</f>
        <v>11.03</v>
      </c>
      <c r="G92" s="93">
        <f t="shared" si="78"/>
        <v>0.8159564823</v>
      </c>
      <c r="H92" s="94">
        <f t="shared" si="79"/>
        <v>0.943436746</v>
      </c>
      <c r="I92" s="101">
        <f t="array" ref="I92">IFERROR(INDEX(FCD[], MATCH(D92, FCD[FIIs], 0), MATCH(FCD[[#HEADERS],[Preço_Justo]], FCD[#HEADERS], 0)),"")</f>
        <v>10.40610731</v>
      </c>
      <c r="J92" s="98">
        <f t="array" ref="J92">IFERROR(INDEX(Indicador_Fii[], MATCH(D92, Indicador_Fii[Fii], 0), MATCH(Indicador_Fii[[#HEADERS],[FFO_Yield]], Indicador_Fii[#HEADERS], 0)),"")</f>
        <v>6.11</v>
      </c>
      <c r="K92" s="98">
        <f t="array" ref="K92">IFERROR(INDEX(Indicador_Fii[], MATCH(D92, Indicador_Fii[Fii], 0), MATCH(Indicador_Fii[[#HEADERS],[DIV_Yield]], Indicador_Fii[#HEADERS], 0)),"")</f>
        <v>11.8</v>
      </c>
      <c r="L92" s="100">
        <f>IFERROR(__xludf.DUMMYFUNCTION("GOOGLEFINANCE(D92, ""volumeavg"")"),2033352.0)</f>
        <v>2033352</v>
      </c>
    </row>
    <row r="93" ht="22.5" customHeight="1">
      <c r="A93" s="4" t="s">
        <v>147</v>
      </c>
      <c r="B93" s="13">
        <f>B90/B92</f>
        <v>0.01220394079</v>
      </c>
      <c r="D93" s="88" t="s">
        <v>122</v>
      </c>
      <c r="E93" s="91">
        <f t="array" ref="E93">IFERROR(INDEX(FCD[], MATCH(D93, FCD[FIIs], 0), MATCH(FCD[[#HEADERS],[V/Mercado]], FCD[#HEADERS], 0)),"")</f>
        <v>156.75</v>
      </c>
      <c r="F93" s="91">
        <f t="array" ref="F93">IFERROR(INDEX(Indicador_Fii[], MATCH(D93, Indicador_Fii[Fii], 0), MATCH(Indicador_Fii[[#HEADERS],[VP/Cota]], Indicador_Fii[#HEADERS], 0)),"")</f>
        <v>163.15</v>
      </c>
      <c r="G93" s="93">
        <f t="shared" si="78"/>
        <v>0.9607722954</v>
      </c>
      <c r="H93" s="94">
        <f t="shared" si="79"/>
        <v>0.9320399007</v>
      </c>
      <c r="I93" s="101">
        <f t="array" ref="I93">IFERROR(INDEX(FCD[], MATCH(D93, FCD[FIIs], 0), MATCH(FCD[[#HEADERS],[Preço_Justo]], FCD[#HEADERS], 0)),"")</f>
        <v>152.0623098</v>
      </c>
      <c r="J93" s="98">
        <f t="array" ref="J93">IFERROR(INDEX(Indicador_Fii[], MATCH(D93, Indicador_Fii[Fii], 0), MATCH(Indicador_Fii[[#HEADERS],[FFO_Yield]], Indicador_Fii[#HEADERS], 0)),"")</f>
        <v>7.34</v>
      </c>
      <c r="K93" s="98">
        <f t="array" ref="K93">IFERROR(INDEX(Indicador_Fii[], MATCH(D93, Indicador_Fii[Fii], 0), MATCH(Indicador_Fii[[#HEADERS],[DIV_Yield]], Indicador_Fii[#HEADERS], 0)),"")</f>
        <v>6.8</v>
      </c>
      <c r="L93" s="100">
        <f>IFERROR(__xludf.DUMMYFUNCTION("GOOGLEFINANCE(D93, ""volumeavg"")"),51677.0)</f>
        <v>51677</v>
      </c>
    </row>
    <row r="94" ht="22.5" customHeight="1">
      <c r="A94" s="4" t="s">
        <v>149</v>
      </c>
      <c r="B94" s="22">
        <f t="array" ref="B94">IFERROR(INDEX(Indicador_Fii[], MATCH(B86, Indicador_Fii[Fii], 0), MATCH(Indicador_Fii[[#HEADERS],[Qtd_Cotas]], Indicador_Fii[#HEADERS], 0)),"")</f>
        <v>214249664</v>
      </c>
      <c r="D94" s="88" t="s">
        <v>148</v>
      </c>
      <c r="E94" s="91">
        <f t="array" ref="E94">IFERROR(INDEX(FCD[], MATCH(D94, FCD[FIIs], 0), MATCH(FCD[[#HEADERS],[V/Mercado]], FCD[#HEADERS], 0)),"")</f>
        <v>110.21</v>
      </c>
      <c r="F94" s="91">
        <f t="array" ref="F94">IFERROR(INDEX(Indicador_Fii[], MATCH(D94, Indicador_Fii[Fii], 0), MATCH(Indicador_Fii[[#HEADERS],[VP/Cota]], Indicador_Fii[#HEADERS], 0)),"")</f>
        <v>115.72</v>
      </c>
      <c r="G94" s="93">
        <f t="shared" si="78"/>
        <v>0.9523850674</v>
      </c>
      <c r="H94" s="94">
        <f t="shared" si="79"/>
        <v>0.9696288982</v>
      </c>
      <c r="I94" s="101">
        <f t="array" ref="I94">IFERROR(INDEX(FCD[], MATCH(D94, FCD[FIIs], 0), MATCH(FCD[[#HEADERS],[Preço_Justo]], FCD[#HEADERS], 0)),"")</f>
        <v>112.2054561</v>
      </c>
      <c r="J94" s="98">
        <f t="array" ref="J94">IFERROR(INDEX(Indicador_Fii[], MATCH(D94, Indicador_Fii[Fii], 0), MATCH(Indicador_Fii[[#HEADERS],[FFO_Yield]], Indicador_Fii[#HEADERS], 0)),"")</f>
        <v>7.31</v>
      </c>
      <c r="K94" s="98">
        <f t="array" ref="K94">IFERROR(INDEX(Indicador_Fii[], MATCH(D94, Indicador_Fii[Fii], 0), MATCH(Indicador_Fii[[#HEADERS],[DIV_Yield]], Indicador_Fii[#HEADERS], 0)),"")</f>
        <v>8</v>
      </c>
      <c r="L94" s="100">
        <f>IFERROR(__xludf.DUMMYFUNCTION("GOOGLEFINANCE(D94, ""volumeavg"")"),42729.0)</f>
        <v>42729</v>
      </c>
    </row>
    <row r="95" ht="22.5" customHeight="1">
      <c r="A95" s="4" t="s">
        <v>150</v>
      </c>
      <c r="B95" s="24">
        <f t="array" ref="B95">IFERROR(INDEX(Indicador_Fii[], MATCH(B86, Indicador_Fii[Fii], 0), MATCH(Indicador_Fii[[#HEADERS],[Patrimonio_Liq]], Indicador_Fii[#HEADERS], 0)),"")</f>
        <v>2363600000</v>
      </c>
      <c r="D95" s="88" t="s">
        <v>145</v>
      </c>
      <c r="E95" s="91">
        <f t="array" ref="E95">IFERROR(INDEX(FCD[], MATCH(D95, FCD[FIIs], 0), MATCH(FCD[[#HEADERS],[V/Mercado]], FCD[#HEADERS], 0)),"")</f>
        <v>100.09</v>
      </c>
      <c r="F95" s="91">
        <f t="array" ref="F95">IFERROR(INDEX(Indicador_Fii[], MATCH(D95, Indicador_Fii[Fii], 0), MATCH(Indicador_Fii[[#HEADERS],[VP/Cota]], Indicador_Fii[#HEADERS], 0)),"")</f>
        <v>102.4</v>
      </c>
      <c r="G95" s="93">
        <f t="shared" si="78"/>
        <v>0.9774414063</v>
      </c>
      <c r="H95" s="94">
        <f t="shared" si="79"/>
        <v>0.9927610269</v>
      </c>
      <c r="I95" s="101">
        <f t="array" ref="I95">IFERROR(INDEX(FCD[], MATCH(D95, FCD[FIIs], 0), MATCH(FCD[[#HEADERS],[Preço_Justo]], FCD[#HEADERS], 0)),"")</f>
        <v>101.6587292</v>
      </c>
      <c r="J95" s="98">
        <f t="array" ref="J95">IFERROR(INDEX(Indicador_Fii[], MATCH(D95, Indicador_Fii[Fii], 0), MATCH(Indicador_Fii[[#HEADERS],[FFO_Yield]], Indicador_Fii[#HEADERS], 0)),"")</f>
        <v>6.08</v>
      </c>
      <c r="K95" s="98">
        <f t="array" ref="K95">IFERROR(INDEX(Indicador_Fii[], MATCH(D95, Indicador_Fii[Fii], 0), MATCH(Indicador_Fii[[#HEADERS],[DIV_Yield]], Indicador_Fii[#HEADERS], 0)),"")</f>
        <v>7.9</v>
      </c>
      <c r="L95" s="100">
        <f>IFERROR(__xludf.DUMMYFUNCTION("GOOGLEFINANCE(D95, ""volumeavg"")"),176536.0)</f>
        <v>176536</v>
      </c>
    </row>
    <row r="96">
      <c r="A96" s="4" t="s">
        <v>151</v>
      </c>
      <c r="B96" s="40">
        <f>B89/B95</f>
        <v>0.1280003407</v>
      </c>
      <c r="J96" s="123" t="str">
        <f t="array" ref="J96">IFERROR(INDEX(Indicador_Fii[], MATCH(D96, Indicador_Fii[Fii], 0), MATCH(Indicador_Fii[[#HEADERS],[FFO_Yield]], Indicador_Fii[#HEADERS], 0)),"")</f>
        <v/>
      </c>
      <c r="K96" s="123" t="str">
        <f t="array" ref="K96">IFERROR(INDEX(Indicador_Fii[], MATCH(D96, Indicador_Fii[Fii], 0), MATCH(Indicador_Fii[[#HEADERS],[DIV_Yield]], Indicador_Fii[#HEADERS], 0)),"")</f>
        <v/>
      </c>
    </row>
    <row r="97">
      <c r="A97" s="4" t="s">
        <v>63</v>
      </c>
      <c r="B97" s="24">
        <f>SUM(B36,D36,F36,H36,J36,L36,N36,P36,R36,T36,V36,X36)</f>
        <v>257098701.9</v>
      </c>
    </row>
    <row r="98">
      <c r="A98" s="4" t="s">
        <v>152</v>
      </c>
      <c r="B98" s="40">
        <f>B97/B89</f>
        <v>0.8497961849</v>
      </c>
    </row>
    <row r="99">
      <c r="A99" s="4" t="s">
        <v>153</v>
      </c>
      <c r="B99" s="4" t="s">
        <v>154</v>
      </c>
    </row>
    <row r="100">
      <c r="A100" s="4" t="s">
        <v>155</v>
      </c>
      <c r="B100" s="4" t="s">
        <v>3</v>
      </c>
    </row>
    <row r="101">
      <c r="A101" s="4" t="s">
        <v>156</v>
      </c>
      <c r="B101" s="4" t="s">
        <v>3</v>
      </c>
    </row>
    <row r="102">
      <c r="B102" s="164" t="s">
        <v>196</v>
      </c>
    </row>
    <row r="111">
      <c r="F111" s="165"/>
    </row>
  </sheetData>
  <mergeCells count="1">
    <mergeCell ref="B102:G107"/>
  </mergeCells>
  <dataValidations>
    <dataValidation type="list" allowBlank="1" showErrorMessage="1" sqref="B1 D1 F1 H1 J1 L1 N1 P1 R1 T1 V1 X1 B42 D42 F42 H42 J42 L42 N42 P42 R42 T42 V42 X42 B65 D65 F65 H65 J65 L65 N65 P65 R65 T65 V65 X65">
      <formula1>"Feito,Não,Atual"</formula1>
    </dataValidation>
    <dataValidation type="list" allowBlank="1" showErrorMessage="1" sqref="B99">
      <formula1>"Bom,Normal,Cuidado_Ver_DRE"</formula1>
    </dataValidation>
    <dataValidation type="list" allowBlank="1" showErrorMessage="1" sqref="B100:B101">
      <formula1>"Feito,Não"</formula1>
    </dataValidation>
    <dataValidation type="custom" allowBlank="1" showDropDown="1" sqref="E90:G95 L90:L95">
      <formula1>AND(ISNUMBER(E90),(NOT(OR(NOT(ISERROR(DATEVALUE(E90))), AND(ISNUMBER(E90), LEFT(CELL("format", E90))="D")))))</formula1>
    </dataValidation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3" width="15.25"/>
    <col customWidth="1" min="4" max="4" width="15.75"/>
    <col customWidth="1" min="5" max="5" width="16.25"/>
    <col customWidth="1" min="6" max="6" width="16.13"/>
    <col customWidth="1" min="7" max="7" width="17.75"/>
    <col customWidth="1" min="8" max="8" width="16.5"/>
    <col customWidth="1" min="9" max="9" width="16.13"/>
    <col customWidth="1" min="10" max="11" width="16.0"/>
    <col customWidth="1" min="12" max="12" width="15.63"/>
    <col customWidth="1" min="13" max="13" width="16.5"/>
    <col customWidth="1" min="14" max="14" width="16.25"/>
    <col customWidth="1" min="15" max="15" width="15.38"/>
    <col customWidth="1" min="16" max="16" width="17.38"/>
    <col customWidth="1" min="17" max="17" width="15.63"/>
    <col customWidth="1" min="18" max="18" width="17.25"/>
    <col customWidth="1" min="19" max="19" width="15.5"/>
    <col customWidth="1" min="20" max="20" width="17.0"/>
    <col customWidth="1" min="21" max="21" width="15.13"/>
    <col customWidth="1" min="22" max="22" width="15.5"/>
    <col customWidth="1" min="23" max="23" width="15.38"/>
    <col customWidth="1" min="24" max="24" width="15.5"/>
    <col customWidth="1" min="25" max="25" width="15.63"/>
  </cols>
  <sheetData>
    <row r="1">
      <c r="A1" s="1" t="s">
        <v>0</v>
      </c>
      <c r="B1" s="2" t="s">
        <v>1</v>
      </c>
      <c r="C1" s="3">
        <v>46052.0</v>
      </c>
      <c r="D1" s="2" t="s">
        <v>1</v>
      </c>
      <c r="E1" s="3">
        <v>46078.0</v>
      </c>
      <c r="F1" s="2" t="s">
        <v>1</v>
      </c>
      <c r="G1" s="3">
        <v>46104.0</v>
      </c>
      <c r="H1" s="2" t="s">
        <v>1</v>
      </c>
      <c r="I1" s="3">
        <v>46135.0</v>
      </c>
      <c r="J1" s="2" t="s">
        <v>1</v>
      </c>
      <c r="K1" s="3">
        <v>46164.0</v>
      </c>
      <c r="L1" s="2" t="s">
        <v>1</v>
      </c>
      <c r="M1" s="3">
        <v>46191.0</v>
      </c>
      <c r="N1" s="2" t="s">
        <v>1</v>
      </c>
      <c r="O1" s="3">
        <v>46223.0</v>
      </c>
      <c r="P1" s="2" t="s">
        <v>2</v>
      </c>
      <c r="Q1" s="3">
        <v>46255.0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4" t="s">
        <v>4</v>
      </c>
      <c r="B2" s="4" t="s">
        <v>5</v>
      </c>
      <c r="D2" s="5" t="s">
        <v>6</v>
      </c>
      <c r="E2" s="6"/>
      <c r="F2" s="5" t="s">
        <v>7</v>
      </c>
      <c r="G2" s="6"/>
      <c r="H2" s="5" t="s">
        <v>8</v>
      </c>
      <c r="I2" s="6"/>
      <c r="J2" s="5" t="s">
        <v>9</v>
      </c>
      <c r="K2" s="6"/>
      <c r="L2" s="5" t="s">
        <v>10</v>
      </c>
      <c r="M2" s="6"/>
      <c r="N2" s="5" t="s">
        <v>11</v>
      </c>
      <c r="O2" s="6"/>
      <c r="P2" s="4" t="s">
        <v>12</v>
      </c>
      <c r="R2" s="4" t="s">
        <v>13</v>
      </c>
      <c r="T2" s="4" t="s">
        <v>14</v>
      </c>
      <c r="V2" s="4" t="s">
        <v>15</v>
      </c>
      <c r="X2" s="4" t="s">
        <v>16</v>
      </c>
    </row>
    <row r="3">
      <c r="A3" s="7" t="s">
        <v>17</v>
      </c>
      <c r="B3" s="8">
        <f>SUM(B6,B9,B11,B13,B15)</f>
        <v>17048</v>
      </c>
      <c r="C3" s="9">
        <f t="shared" ref="C3:C18" si="1">IFERROR(SUM((D3/B3)-1),0)</f>
        <v>0.7780971375</v>
      </c>
      <c r="D3" s="8">
        <f>SUM(D6,D9,D11,D13,D15)</f>
        <v>30313</v>
      </c>
      <c r="E3" s="9">
        <f t="shared" ref="E3:E18" si="2">IFERROR(SUM((F3/D3)-1),0)</f>
        <v>-0.3017517237</v>
      </c>
      <c r="F3" s="8">
        <f>SUM(F6,F9,F11,F13,F15)</f>
        <v>21166</v>
      </c>
      <c r="G3" s="9">
        <f t="shared" ref="G3:G18" si="3">IFERROR(SUM((H3/F3)-1),0)</f>
        <v>0.006236416895</v>
      </c>
      <c r="H3" s="8">
        <f>SUM(H6,H9,H11,H13,H15)</f>
        <v>21298</v>
      </c>
      <c r="I3" s="9">
        <f t="shared" ref="I3:I18" si="4">IFERROR(SUM((J3/H3)-1),0)</f>
        <v>0.01864024791</v>
      </c>
      <c r="J3" s="8">
        <f>SUM(J6,J9,J11,J13,J15)</f>
        <v>21695</v>
      </c>
      <c r="K3" s="9">
        <f t="shared" ref="K3:K18" si="5">IFERROR(SUM((L3/J3)-1),0)</f>
        <v>0.02876238765</v>
      </c>
      <c r="L3" s="8">
        <f>SUM(L6,L9,L11,L13,L15)</f>
        <v>22319</v>
      </c>
      <c r="M3" s="9">
        <f t="shared" ref="M3:M18" si="6">IFERROR(SUM((N3/L3)-1),0)</f>
        <v>-0.01330704781</v>
      </c>
      <c r="N3" s="8">
        <f>SUM(N6,N9,N11,N13,N15)</f>
        <v>22022</v>
      </c>
      <c r="O3" s="9">
        <f t="shared" ref="O3:O18" si="7">IFERROR(SUM((P3/N3)-1),0)</f>
        <v>0.006448097357</v>
      </c>
      <c r="P3" s="8">
        <f>SUM(P6,P9,P11,P13,P15)</f>
        <v>22164</v>
      </c>
      <c r="Q3" s="9">
        <f t="shared" ref="Q3:Q18" si="8">IFERROR(SUM((R3/P3)-1),0)</f>
        <v>0</v>
      </c>
      <c r="R3" s="8">
        <f>SUM(R6,R9,R11,R13,R15)</f>
        <v>22164</v>
      </c>
      <c r="S3" s="9">
        <f t="shared" ref="S3:S18" si="9">IFERROR(SUM((T3/R3)-1),0)</f>
        <v>0</v>
      </c>
      <c r="T3" s="8">
        <f>SUM(T6,T9,T11,T13,T15)</f>
        <v>22164</v>
      </c>
      <c r="U3" s="9">
        <f t="shared" ref="U3:U18" si="10">IFERROR(SUM((V3/T3)-1),0)</f>
        <v>0</v>
      </c>
      <c r="V3" s="8">
        <f>SUM(V6,V9,V11,V13,V15)</f>
        <v>22164</v>
      </c>
      <c r="W3" s="9">
        <f t="shared" ref="W3:W18" si="11">IFERROR(SUM((X3/V3)-1),0)</f>
        <v>0.3676682909</v>
      </c>
      <c r="X3" s="8">
        <f>SUM(X6,X9,X11,X13,X15)</f>
        <v>30313</v>
      </c>
      <c r="Y3" s="10"/>
      <c r="Z3" s="10"/>
    </row>
    <row r="4">
      <c r="A4" s="1" t="s">
        <v>18</v>
      </c>
      <c r="B4" s="11">
        <v>0.07</v>
      </c>
      <c r="C4" s="12">
        <f t="shared" si="1"/>
        <v>0</v>
      </c>
      <c r="D4" s="11">
        <v>0.07</v>
      </c>
      <c r="E4" s="12">
        <f t="shared" si="2"/>
        <v>-0.04285714286</v>
      </c>
      <c r="F4" s="11">
        <v>0.067</v>
      </c>
      <c r="G4" s="12">
        <f t="shared" si="3"/>
        <v>0.6417910448</v>
      </c>
      <c r="H4" s="134">
        <v>0.11</v>
      </c>
      <c r="I4" s="12">
        <f t="shared" si="4"/>
        <v>0</v>
      </c>
      <c r="J4" s="134">
        <v>0.11</v>
      </c>
      <c r="K4" s="12">
        <f t="shared" si="5"/>
        <v>-0.3272727273</v>
      </c>
      <c r="L4" s="134">
        <v>0.074</v>
      </c>
      <c r="M4" s="12">
        <f t="shared" si="6"/>
        <v>0</v>
      </c>
      <c r="N4" s="134">
        <v>0.074</v>
      </c>
      <c r="O4" s="12">
        <f t="shared" si="7"/>
        <v>-0.2027027027</v>
      </c>
      <c r="P4" s="134">
        <v>0.059</v>
      </c>
      <c r="Q4" s="12">
        <f t="shared" si="8"/>
        <v>0</v>
      </c>
      <c r="R4" s="134">
        <v>0.059</v>
      </c>
      <c r="S4" s="12">
        <f t="shared" si="9"/>
        <v>0</v>
      </c>
      <c r="T4" s="134">
        <v>0.059</v>
      </c>
      <c r="U4" s="12">
        <f t="shared" si="10"/>
        <v>0</v>
      </c>
      <c r="V4" s="134">
        <v>0.059</v>
      </c>
      <c r="W4" s="12">
        <f t="shared" si="11"/>
        <v>0.8644067797</v>
      </c>
      <c r="X4" s="134">
        <v>0.11</v>
      </c>
      <c r="Y4" s="13"/>
    </row>
    <row r="5">
      <c r="A5" s="1" t="s">
        <v>19</v>
      </c>
      <c r="B5" s="14">
        <f>B6/(1-B4)</f>
        <v>17715.05376</v>
      </c>
      <c r="C5" s="12">
        <f t="shared" si="1"/>
        <v>0.8043095599</v>
      </c>
      <c r="D5" s="14">
        <f>D6/(1-D4)</f>
        <v>31963.44086</v>
      </c>
      <c r="E5" s="12">
        <f t="shared" si="2"/>
        <v>-0.3102046927</v>
      </c>
      <c r="F5" s="14">
        <f>F6/(1-F4)</f>
        <v>22048.23151</v>
      </c>
      <c r="G5" s="12">
        <f t="shared" si="3"/>
        <v>0.04928286193</v>
      </c>
      <c r="H5" s="39">
        <f>H6/(1-H4)</f>
        <v>23134.83146</v>
      </c>
      <c r="I5" s="12">
        <f t="shared" si="4"/>
        <v>0.02287518213</v>
      </c>
      <c r="J5" s="39">
        <f>J6/(1-J4)</f>
        <v>23664.04494</v>
      </c>
      <c r="K5" s="12">
        <f t="shared" si="5"/>
        <v>-0.01163267083</v>
      </c>
      <c r="L5" s="39">
        <f>L6/(1-L4)</f>
        <v>23388.7689</v>
      </c>
      <c r="M5" s="12">
        <f t="shared" si="6"/>
        <v>-0.009834703112</v>
      </c>
      <c r="N5" s="39">
        <f>N6/(1-N4)</f>
        <v>23158.7473</v>
      </c>
      <c r="O5" s="12">
        <f t="shared" si="7"/>
        <v>-0.01552750047</v>
      </c>
      <c r="P5" s="39">
        <f>P6/(1-P4)</f>
        <v>22799.14984</v>
      </c>
      <c r="Q5" s="12">
        <f t="shared" si="8"/>
        <v>0</v>
      </c>
      <c r="R5" s="39">
        <f>R6/(1-R4)</f>
        <v>22799.14984</v>
      </c>
      <c r="S5" s="12">
        <f t="shared" si="9"/>
        <v>0</v>
      </c>
      <c r="T5" s="39">
        <f>T6/(1-T4)</f>
        <v>22799.14984</v>
      </c>
      <c r="U5" s="12">
        <f t="shared" si="10"/>
        <v>0</v>
      </c>
      <c r="V5" s="39">
        <f>V6/(1-V4)</f>
        <v>22799.14984</v>
      </c>
      <c r="W5" s="12">
        <f t="shared" si="11"/>
        <v>0.4649669059</v>
      </c>
      <c r="X5" s="39">
        <f>X6/(1-X4)</f>
        <v>33400</v>
      </c>
      <c r="Y5" s="13"/>
    </row>
    <row r="6">
      <c r="A6" s="4" t="s">
        <v>20</v>
      </c>
      <c r="B6" s="15">
        <v>16475.0</v>
      </c>
      <c r="C6" s="13">
        <f t="shared" si="1"/>
        <v>0.8043095599</v>
      </c>
      <c r="D6" s="15">
        <v>29726.0</v>
      </c>
      <c r="E6" s="13">
        <f t="shared" si="2"/>
        <v>-0.3079795465</v>
      </c>
      <c r="F6" s="15">
        <v>20571.0</v>
      </c>
      <c r="G6" s="13">
        <f t="shared" si="3"/>
        <v>0.0009236303534</v>
      </c>
      <c r="H6" s="15">
        <v>20590.0</v>
      </c>
      <c r="I6" s="13">
        <f t="shared" si="4"/>
        <v>0.02287518213</v>
      </c>
      <c r="J6" s="15">
        <v>21061.0</v>
      </c>
      <c r="K6" s="13">
        <f t="shared" si="5"/>
        <v>0.02834623237</v>
      </c>
      <c r="L6" s="15">
        <v>21658.0</v>
      </c>
      <c r="M6" s="13">
        <f t="shared" si="6"/>
        <v>-0.009834703112</v>
      </c>
      <c r="N6" s="15">
        <v>21445.0</v>
      </c>
      <c r="O6" s="13">
        <f t="shared" si="7"/>
        <v>0.0004196782467</v>
      </c>
      <c r="P6" s="15">
        <v>21454.0</v>
      </c>
      <c r="Q6" s="13">
        <f t="shared" si="8"/>
        <v>0</v>
      </c>
      <c r="R6" s="15">
        <v>21454.0</v>
      </c>
      <c r="S6" s="13">
        <f t="shared" si="9"/>
        <v>0</v>
      </c>
      <c r="T6" s="15">
        <v>21454.0</v>
      </c>
      <c r="U6" s="13">
        <f t="shared" si="10"/>
        <v>0</v>
      </c>
      <c r="V6" s="15">
        <v>21454.0</v>
      </c>
      <c r="W6" s="13">
        <f t="shared" si="11"/>
        <v>0.3855691246</v>
      </c>
      <c r="X6" s="22">
        <v>29726.0</v>
      </c>
      <c r="Y6" s="13"/>
    </row>
    <row r="7">
      <c r="A7" s="16" t="s">
        <v>21</v>
      </c>
      <c r="B7" s="17">
        <f>B6/B3</f>
        <v>0.9663890192</v>
      </c>
      <c r="C7" s="18">
        <f t="shared" si="1"/>
        <v>0.0147418394</v>
      </c>
      <c r="D7" s="17">
        <f>D6/D3</f>
        <v>0.980635371</v>
      </c>
      <c r="E7" s="18">
        <f t="shared" si="2"/>
        <v>-0.008919209761</v>
      </c>
      <c r="F7" s="17">
        <f>F6/F3</f>
        <v>0.9718888784</v>
      </c>
      <c r="G7" s="18">
        <f t="shared" si="3"/>
        <v>-0.005279859139</v>
      </c>
      <c r="H7" s="18">
        <f>H6/H3</f>
        <v>0.966757442</v>
      </c>
      <c r="I7" s="18">
        <f t="shared" si="4"/>
        <v>0.004157438532</v>
      </c>
      <c r="J7" s="18">
        <f>J6/J3</f>
        <v>0.9707766767</v>
      </c>
      <c r="K7" s="18">
        <f t="shared" si="5"/>
        <v>-0.0004045203045</v>
      </c>
      <c r="L7" s="18">
        <f>L6/L3</f>
        <v>0.9703839778</v>
      </c>
      <c r="M7" s="18">
        <f t="shared" si="6"/>
        <v>0.003519174518</v>
      </c>
      <c r="N7" s="18">
        <f>N6/N3</f>
        <v>0.9737989283</v>
      </c>
      <c r="O7" s="18">
        <f t="shared" si="7"/>
        <v>-0.005989796321</v>
      </c>
      <c r="P7" s="18">
        <f>P6/P3</f>
        <v>0.9679660711</v>
      </c>
      <c r="Q7" s="18">
        <f t="shared" si="8"/>
        <v>0</v>
      </c>
      <c r="R7" s="18">
        <f>R6/R3</f>
        <v>0.9679660711</v>
      </c>
      <c r="S7" s="18">
        <f t="shared" si="9"/>
        <v>0</v>
      </c>
      <c r="T7" s="18">
        <f>T6/T3</f>
        <v>0.9679660711</v>
      </c>
      <c r="U7" s="18">
        <f t="shared" si="10"/>
        <v>0</v>
      </c>
      <c r="V7" s="18">
        <f>V6/V3</f>
        <v>0.9679660711</v>
      </c>
      <c r="W7" s="18">
        <f t="shared" si="11"/>
        <v>0.01308857845</v>
      </c>
      <c r="X7" s="18">
        <f>X6/X3</f>
        <v>0.980635371</v>
      </c>
      <c r="Y7" s="13"/>
    </row>
    <row r="8">
      <c r="A8" s="1" t="s">
        <v>22</v>
      </c>
      <c r="B8" s="14">
        <f>B5-B6</f>
        <v>1240.053763</v>
      </c>
      <c r="C8" s="12">
        <f t="shared" si="1"/>
        <v>0.8043095599</v>
      </c>
      <c r="D8" s="14">
        <f>D5-D6</f>
        <v>2237.44086</v>
      </c>
      <c r="E8" s="12">
        <f t="shared" si="2"/>
        <v>-0.3397673487</v>
      </c>
      <c r="F8" s="14">
        <f>F5-F6</f>
        <v>1477.231511</v>
      </c>
      <c r="G8" s="12">
        <f t="shared" si="3"/>
        <v>0.7227032062</v>
      </c>
      <c r="H8" s="39">
        <f>H5-H6</f>
        <v>2544.831461</v>
      </c>
      <c r="I8" s="12">
        <f t="shared" si="4"/>
        <v>0.02287518213</v>
      </c>
      <c r="J8" s="39">
        <f>J5-J6</f>
        <v>2603.044944</v>
      </c>
      <c r="K8" s="12">
        <f t="shared" si="5"/>
        <v>-0.3350983422</v>
      </c>
      <c r="L8" s="39">
        <f>L5-L6</f>
        <v>1730.768898</v>
      </c>
      <c r="M8" s="12">
        <f t="shared" si="6"/>
        <v>-0.009834703112</v>
      </c>
      <c r="N8" s="39">
        <f>N5-N6</f>
        <v>1713.7473</v>
      </c>
      <c r="O8" s="12">
        <f t="shared" si="7"/>
        <v>-0.2150827369</v>
      </c>
      <c r="P8" s="39">
        <f>P5-P6</f>
        <v>1345.149841</v>
      </c>
      <c r="Q8" s="12">
        <f t="shared" si="8"/>
        <v>0</v>
      </c>
      <c r="R8" s="39">
        <f>R5-R6</f>
        <v>1345.149841</v>
      </c>
      <c r="S8" s="12">
        <f t="shared" si="9"/>
        <v>0</v>
      </c>
      <c r="T8" s="39">
        <f>T5-T6</f>
        <v>1345.149841</v>
      </c>
      <c r="U8" s="12">
        <f t="shared" si="10"/>
        <v>0</v>
      </c>
      <c r="V8" s="39">
        <f>V5-V6</f>
        <v>1345.149841</v>
      </c>
      <c r="W8" s="12">
        <f t="shared" si="11"/>
        <v>1.731294231</v>
      </c>
      <c r="X8" s="39">
        <f>X5-X6</f>
        <v>3674</v>
      </c>
      <c r="Y8" s="13"/>
    </row>
    <row r="9">
      <c r="A9" s="4" t="s">
        <v>23</v>
      </c>
      <c r="B9" s="15">
        <v>0.0</v>
      </c>
      <c r="C9" s="13">
        <f t="shared" si="1"/>
        <v>0</v>
      </c>
      <c r="D9" s="15">
        <v>0.0</v>
      </c>
      <c r="E9" s="13">
        <f t="shared" si="2"/>
        <v>0</v>
      </c>
      <c r="F9" s="15">
        <v>0.0</v>
      </c>
      <c r="G9" s="13">
        <f t="shared" si="3"/>
        <v>0</v>
      </c>
      <c r="H9" s="22">
        <v>0.0</v>
      </c>
      <c r="I9" s="13">
        <f t="shared" si="4"/>
        <v>0</v>
      </c>
      <c r="J9" s="22">
        <v>0.0</v>
      </c>
      <c r="K9" s="13">
        <f t="shared" si="5"/>
        <v>0</v>
      </c>
      <c r="L9" s="22">
        <v>0.0</v>
      </c>
      <c r="M9" s="13">
        <f t="shared" si="6"/>
        <v>0</v>
      </c>
      <c r="N9" s="22">
        <v>0.0</v>
      </c>
      <c r="O9" s="13">
        <f t="shared" si="7"/>
        <v>0</v>
      </c>
      <c r="P9" s="22">
        <v>0.0</v>
      </c>
      <c r="Q9" s="13">
        <f t="shared" si="8"/>
        <v>0</v>
      </c>
      <c r="R9" s="22">
        <v>0.0</v>
      </c>
      <c r="S9" s="13">
        <f t="shared" si="9"/>
        <v>0</v>
      </c>
      <c r="T9" s="22">
        <v>0.0</v>
      </c>
      <c r="U9" s="13">
        <f t="shared" si="10"/>
        <v>0</v>
      </c>
      <c r="V9" s="22">
        <v>0.0</v>
      </c>
      <c r="W9" s="13">
        <f t="shared" si="11"/>
        <v>0</v>
      </c>
      <c r="X9" s="22">
        <v>0.0</v>
      </c>
    </row>
    <row r="10">
      <c r="A10" s="16" t="s">
        <v>24</v>
      </c>
      <c r="B10" s="17">
        <f>B9/B3</f>
        <v>0</v>
      </c>
      <c r="C10" s="18">
        <f t="shared" si="1"/>
        <v>0</v>
      </c>
      <c r="D10" s="17">
        <f>D9/D3</f>
        <v>0</v>
      </c>
      <c r="E10" s="18">
        <f t="shared" si="2"/>
        <v>0</v>
      </c>
      <c r="F10" s="17">
        <f>F9/F3</f>
        <v>0</v>
      </c>
      <c r="G10" s="18">
        <f t="shared" si="3"/>
        <v>0</v>
      </c>
      <c r="H10" s="18">
        <f>H9/H3</f>
        <v>0</v>
      </c>
      <c r="I10" s="18">
        <f t="shared" si="4"/>
        <v>0</v>
      </c>
      <c r="J10" s="18">
        <f>J9/J3</f>
        <v>0</v>
      </c>
      <c r="K10" s="18">
        <f t="shared" si="5"/>
        <v>0</v>
      </c>
      <c r="L10" s="18">
        <f>L9/L3</f>
        <v>0</v>
      </c>
      <c r="M10" s="18">
        <f t="shared" si="6"/>
        <v>0</v>
      </c>
      <c r="N10" s="18">
        <f>N9/N3</f>
        <v>0</v>
      </c>
      <c r="O10" s="18">
        <f t="shared" si="7"/>
        <v>0</v>
      </c>
      <c r="P10" s="18">
        <f>P9/P3</f>
        <v>0</v>
      </c>
      <c r="Q10" s="18">
        <f t="shared" si="8"/>
        <v>0</v>
      </c>
      <c r="R10" s="18">
        <f>R9/R3</f>
        <v>0</v>
      </c>
      <c r="S10" s="18">
        <f t="shared" si="9"/>
        <v>0</v>
      </c>
      <c r="T10" s="18">
        <f>T9/T3</f>
        <v>0</v>
      </c>
      <c r="U10" s="18">
        <f t="shared" si="10"/>
        <v>0</v>
      </c>
      <c r="V10" s="18">
        <f>V9/V3</f>
        <v>0</v>
      </c>
      <c r="W10" s="18">
        <f t="shared" si="11"/>
        <v>0</v>
      </c>
      <c r="X10" s="18">
        <f>X9/X3</f>
        <v>0</v>
      </c>
    </row>
    <row r="11">
      <c r="A11" s="4" t="s">
        <v>166</v>
      </c>
      <c r="B11" s="15">
        <v>0.0</v>
      </c>
      <c r="C11" s="13">
        <f t="shared" si="1"/>
        <v>0</v>
      </c>
      <c r="D11" s="15">
        <v>0.0</v>
      </c>
      <c r="E11" s="13">
        <f t="shared" si="2"/>
        <v>0</v>
      </c>
      <c r="F11" s="15">
        <v>0.0</v>
      </c>
      <c r="G11" s="13">
        <f t="shared" si="3"/>
        <v>0</v>
      </c>
      <c r="H11" s="22">
        <v>0.0</v>
      </c>
      <c r="I11" s="13">
        <f t="shared" si="4"/>
        <v>0</v>
      </c>
      <c r="J11" s="22">
        <v>0.0</v>
      </c>
      <c r="K11" s="13">
        <f t="shared" si="5"/>
        <v>0</v>
      </c>
      <c r="L11" s="22">
        <v>0.0</v>
      </c>
      <c r="M11" s="13">
        <f t="shared" si="6"/>
        <v>0</v>
      </c>
      <c r="N11" s="22">
        <v>0.0</v>
      </c>
      <c r="O11" s="13">
        <f t="shared" si="7"/>
        <v>0</v>
      </c>
      <c r="P11" s="22">
        <v>0.0</v>
      </c>
      <c r="Q11" s="13">
        <f t="shared" si="8"/>
        <v>0</v>
      </c>
      <c r="R11" s="22">
        <v>0.0</v>
      </c>
      <c r="S11" s="13">
        <f t="shared" si="9"/>
        <v>0</v>
      </c>
      <c r="T11" s="22">
        <v>0.0</v>
      </c>
      <c r="U11" s="13">
        <f t="shared" si="10"/>
        <v>0</v>
      </c>
      <c r="V11" s="22">
        <v>0.0</v>
      </c>
      <c r="W11" s="13">
        <f t="shared" si="11"/>
        <v>0</v>
      </c>
      <c r="X11" s="22">
        <v>0.0</v>
      </c>
    </row>
    <row r="12">
      <c r="A12" s="16" t="s">
        <v>167</v>
      </c>
      <c r="B12" s="17">
        <f>B11/B3</f>
        <v>0</v>
      </c>
      <c r="C12" s="18">
        <f t="shared" si="1"/>
        <v>0</v>
      </c>
      <c r="D12" s="17">
        <f>D11/D3</f>
        <v>0</v>
      </c>
      <c r="E12" s="18">
        <f t="shared" si="2"/>
        <v>0</v>
      </c>
      <c r="F12" s="17">
        <f>F11/F3</f>
        <v>0</v>
      </c>
      <c r="G12" s="18">
        <f t="shared" si="3"/>
        <v>0</v>
      </c>
      <c r="H12" s="18">
        <f>H11/H3</f>
        <v>0</v>
      </c>
      <c r="I12" s="18">
        <f t="shared" si="4"/>
        <v>0</v>
      </c>
      <c r="J12" s="18">
        <f>J11/J3</f>
        <v>0</v>
      </c>
      <c r="K12" s="18">
        <f t="shared" si="5"/>
        <v>0</v>
      </c>
      <c r="L12" s="18">
        <f>L11/L3</f>
        <v>0</v>
      </c>
      <c r="M12" s="18">
        <f t="shared" si="6"/>
        <v>0</v>
      </c>
      <c r="N12" s="18">
        <f>N11/N3</f>
        <v>0</v>
      </c>
      <c r="O12" s="18">
        <f t="shared" si="7"/>
        <v>0</v>
      </c>
      <c r="P12" s="18">
        <f>P11/P3</f>
        <v>0</v>
      </c>
      <c r="Q12" s="18">
        <f t="shared" si="8"/>
        <v>0</v>
      </c>
      <c r="R12" s="18">
        <f>R11/R3</f>
        <v>0</v>
      </c>
      <c r="S12" s="18">
        <f t="shared" si="9"/>
        <v>0</v>
      </c>
      <c r="T12" s="18">
        <f>T11/T3</f>
        <v>0</v>
      </c>
      <c r="U12" s="18">
        <f t="shared" si="10"/>
        <v>0</v>
      </c>
      <c r="V12" s="18">
        <f>V11/V3</f>
        <v>0</v>
      </c>
      <c r="W12" s="18">
        <f t="shared" si="11"/>
        <v>0</v>
      </c>
      <c r="X12" s="18">
        <f>X11/X3</f>
        <v>0</v>
      </c>
    </row>
    <row r="13">
      <c r="A13" s="4" t="s">
        <v>37</v>
      </c>
      <c r="B13" s="15">
        <v>573.0</v>
      </c>
      <c r="C13" s="13">
        <f t="shared" si="1"/>
        <v>0.02443280977</v>
      </c>
      <c r="D13" s="15">
        <v>587.0</v>
      </c>
      <c r="E13" s="13">
        <f t="shared" si="2"/>
        <v>0.0136286201</v>
      </c>
      <c r="F13" s="15">
        <v>595.0</v>
      </c>
      <c r="G13" s="13">
        <f t="shared" si="3"/>
        <v>0.1899159664</v>
      </c>
      <c r="H13" s="15">
        <v>708.0</v>
      </c>
      <c r="I13" s="13">
        <f t="shared" si="4"/>
        <v>-0.104519774</v>
      </c>
      <c r="J13" s="15">
        <v>634.0</v>
      </c>
      <c r="K13" s="13">
        <f t="shared" si="5"/>
        <v>0.04258675079</v>
      </c>
      <c r="L13" s="15">
        <v>661.0</v>
      </c>
      <c r="M13" s="13">
        <f t="shared" si="6"/>
        <v>-0.1270801815</v>
      </c>
      <c r="N13" s="15">
        <v>577.0</v>
      </c>
      <c r="O13" s="13">
        <f t="shared" si="7"/>
        <v>0.2305025997</v>
      </c>
      <c r="P13" s="135">
        <v>710.0</v>
      </c>
      <c r="Q13" s="13">
        <f t="shared" si="8"/>
        <v>0</v>
      </c>
      <c r="R13" s="135">
        <v>710.0</v>
      </c>
      <c r="S13" s="13">
        <f t="shared" si="9"/>
        <v>0</v>
      </c>
      <c r="T13" s="135">
        <v>710.0</v>
      </c>
      <c r="U13" s="13">
        <f t="shared" si="10"/>
        <v>0</v>
      </c>
      <c r="V13" s="135">
        <v>710.0</v>
      </c>
      <c r="W13" s="13">
        <f t="shared" si="11"/>
        <v>-0.1732394366</v>
      </c>
      <c r="X13" s="22">
        <v>587.0</v>
      </c>
    </row>
    <row r="14">
      <c r="A14" s="16" t="s">
        <v>34</v>
      </c>
      <c r="B14" s="17">
        <f>B13/B3</f>
        <v>0.03361098076</v>
      </c>
      <c r="C14" s="18">
        <f t="shared" si="1"/>
        <v>-0.4238600422</v>
      </c>
      <c r="D14" s="17">
        <f>D13/D3</f>
        <v>0.01936462904</v>
      </c>
      <c r="E14" s="18">
        <f t="shared" si="2"/>
        <v>0.4516736446</v>
      </c>
      <c r="F14" s="17">
        <f>F13/F3</f>
        <v>0.02811112161</v>
      </c>
      <c r="G14" s="18">
        <f t="shared" si="3"/>
        <v>0.1825411468</v>
      </c>
      <c r="H14" s="18">
        <f>H13/H3</f>
        <v>0.03324255799</v>
      </c>
      <c r="I14" s="18">
        <f t="shared" si="4"/>
        <v>-0.1209062985</v>
      </c>
      <c r="J14" s="18">
        <f>J13/J3</f>
        <v>0.02922332335</v>
      </c>
      <c r="K14" s="18">
        <f t="shared" si="5"/>
        <v>0.01343785825</v>
      </c>
      <c r="L14" s="18">
        <f>L13/L3</f>
        <v>0.02961602222</v>
      </c>
      <c r="M14" s="18">
        <f t="shared" si="6"/>
        <v>-0.1153075366</v>
      </c>
      <c r="N14" s="18">
        <f>N13/N3</f>
        <v>0.02620107166</v>
      </c>
      <c r="O14" s="18">
        <f t="shared" si="7"/>
        <v>0.2226190331</v>
      </c>
      <c r="P14" s="18">
        <f>P13/P3</f>
        <v>0.03203392889</v>
      </c>
      <c r="Q14" s="18">
        <f t="shared" si="8"/>
        <v>0</v>
      </c>
      <c r="R14" s="18">
        <f>R13/R3</f>
        <v>0.03203392889</v>
      </c>
      <c r="S14" s="18">
        <f t="shared" si="9"/>
        <v>0</v>
      </c>
      <c r="T14" s="18">
        <f>T13/T3</f>
        <v>0.03203392889</v>
      </c>
      <c r="U14" s="18">
        <f t="shared" si="10"/>
        <v>0</v>
      </c>
      <c r="V14" s="18">
        <f>V13/V3</f>
        <v>0.03203392889</v>
      </c>
      <c r="W14" s="18">
        <f t="shared" si="11"/>
        <v>-0.3954962845</v>
      </c>
      <c r="X14" s="18">
        <f>X13/X3</f>
        <v>0.01936462904</v>
      </c>
    </row>
    <row r="15">
      <c r="A15" s="4" t="s">
        <v>45</v>
      </c>
      <c r="B15" s="15">
        <v>0.0</v>
      </c>
      <c r="C15" s="13">
        <f t="shared" si="1"/>
        <v>0</v>
      </c>
      <c r="D15" s="15">
        <v>0.0</v>
      </c>
      <c r="E15" s="13">
        <f t="shared" si="2"/>
        <v>0</v>
      </c>
      <c r="F15" s="15">
        <v>0.0</v>
      </c>
      <c r="G15" s="13">
        <f t="shared" si="3"/>
        <v>0</v>
      </c>
      <c r="H15" s="22">
        <v>0.0</v>
      </c>
      <c r="I15" s="13">
        <f t="shared" si="4"/>
        <v>0</v>
      </c>
      <c r="J15" s="22">
        <v>0.0</v>
      </c>
      <c r="K15" s="13">
        <f t="shared" si="5"/>
        <v>0</v>
      </c>
      <c r="L15" s="22">
        <v>0.0</v>
      </c>
      <c r="M15" s="13">
        <f t="shared" si="6"/>
        <v>0</v>
      </c>
      <c r="N15" s="22">
        <v>0.0</v>
      </c>
      <c r="O15" s="13">
        <f t="shared" si="7"/>
        <v>0</v>
      </c>
      <c r="P15" s="22">
        <v>0.0</v>
      </c>
      <c r="Q15" s="13">
        <f t="shared" si="8"/>
        <v>0</v>
      </c>
      <c r="R15" s="22">
        <v>0.0</v>
      </c>
      <c r="S15" s="13">
        <f t="shared" si="9"/>
        <v>0</v>
      </c>
      <c r="T15" s="22">
        <v>0.0</v>
      </c>
      <c r="U15" s="13">
        <f t="shared" si="10"/>
        <v>0</v>
      </c>
      <c r="V15" s="22">
        <v>0.0</v>
      </c>
      <c r="W15" s="13">
        <f t="shared" si="11"/>
        <v>0</v>
      </c>
      <c r="X15" s="22">
        <v>0.0</v>
      </c>
    </row>
    <row r="16">
      <c r="A16" s="16" t="s">
        <v>47</v>
      </c>
      <c r="B16" s="17">
        <f>B15/B3</f>
        <v>0</v>
      </c>
      <c r="C16" s="18">
        <f t="shared" si="1"/>
        <v>0</v>
      </c>
      <c r="D16" s="17">
        <f>D15/D3</f>
        <v>0</v>
      </c>
      <c r="E16" s="18">
        <f t="shared" si="2"/>
        <v>0</v>
      </c>
      <c r="F16" s="17">
        <f>F15/F3</f>
        <v>0</v>
      </c>
      <c r="G16" s="18">
        <f t="shared" si="3"/>
        <v>0</v>
      </c>
      <c r="H16" s="18">
        <f>H15/H3</f>
        <v>0</v>
      </c>
      <c r="I16" s="18">
        <f t="shared" si="4"/>
        <v>0</v>
      </c>
      <c r="J16" s="18">
        <f>J15/J3</f>
        <v>0</v>
      </c>
      <c r="K16" s="18">
        <f t="shared" si="5"/>
        <v>0</v>
      </c>
      <c r="L16" s="18">
        <f>L15/L3</f>
        <v>0</v>
      </c>
      <c r="M16" s="18">
        <f t="shared" si="6"/>
        <v>0</v>
      </c>
      <c r="N16" s="18">
        <f>N15/N3</f>
        <v>0</v>
      </c>
      <c r="O16" s="18">
        <f t="shared" si="7"/>
        <v>0</v>
      </c>
      <c r="P16" s="18">
        <f>P15/P3</f>
        <v>0</v>
      </c>
      <c r="Q16" s="18">
        <f t="shared" si="8"/>
        <v>0</v>
      </c>
      <c r="R16" s="18">
        <f>R15/R3</f>
        <v>0</v>
      </c>
      <c r="S16" s="18">
        <f t="shared" si="9"/>
        <v>0</v>
      </c>
      <c r="T16" s="18">
        <f>T15/T3</f>
        <v>0</v>
      </c>
      <c r="U16" s="18">
        <f t="shared" si="10"/>
        <v>0</v>
      </c>
      <c r="V16" s="18">
        <f>V15/V3</f>
        <v>0</v>
      </c>
      <c r="W16" s="18">
        <f t="shared" si="11"/>
        <v>0</v>
      </c>
      <c r="X16" s="18">
        <f>X15/X3</f>
        <v>0</v>
      </c>
    </row>
    <row r="17">
      <c r="A17" s="1" t="s">
        <v>36</v>
      </c>
      <c r="B17" s="24">
        <f>B9</f>
        <v>0</v>
      </c>
      <c r="C17" s="13">
        <f t="shared" si="1"/>
        <v>0</v>
      </c>
      <c r="D17" s="24">
        <f>D9</f>
        <v>0</v>
      </c>
      <c r="E17" s="13">
        <f t="shared" si="2"/>
        <v>0</v>
      </c>
      <c r="F17" s="24">
        <f>F9</f>
        <v>0</v>
      </c>
      <c r="G17" s="13">
        <f t="shared" si="3"/>
        <v>0</v>
      </c>
      <c r="H17" s="22">
        <f>H9</f>
        <v>0</v>
      </c>
      <c r="I17" s="13">
        <f t="shared" si="4"/>
        <v>0</v>
      </c>
      <c r="J17" s="22">
        <f>J9</f>
        <v>0</v>
      </c>
      <c r="K17" s="13">
        <f t="shared" si="5"/>
        <v>0</v>
      </c>
      <c r="L17" s="22">
        <f>L9</f>
        <v>0</v>
      </c>
      <c r="M17" s="13">
        <f t="shared" si="6"/>
        <v>0</v>
      </c>
      <c r="N17" s="22">
        <f>N9</f>
        <v>0</v>
      </c>
      <c r="O17" s="13">
        <f t="shared" si="7"/>
        <v>0</v>
      </c>
      <c r="P17" s="22">
        <f>P9</f>
        <v>0</v>
      </c>
      <c r="Q17" s="13">
        <f t="shared" si="8"/>
        <v>0</v>
      </c>
      <c r="R17" s="22">
        <f>R9</f>
        <v>0</v>
      </c>
      <c r="S17" s="13">
        <f t="shared" si="9"/>
        <v>0</v>
      </c>
      <c r="T17" s="22">
        <f>T9</f>
        <v>0</v>
      </c>
      <c r="U17" s="13">
        <f t="shared" si="10"/>
        <v>0</v>
      </c>
      <c r="V17" s="22">
        <f>V9</f>
        <v>0</v>
      </c>
      <c r="W17" s="13">
        <f t="shared" si="11"/>
        <v>0</v>
      </c>
      <c r="X17" s="22">
        <f>X9</f>
        <v>0</v>
      </c>
    </row>
    <row r="18">
      <c r="A18" s="28" t="s">
        <v>39</v>
      </c>
      <c r="B18" s="24">
        <f>B3-ABS(B17)</f>
        <v>17048</v>
      </c>
      <c r="C18" s="13">
        <f t="shared" si="1"/>
        <v>0.7780971375</v>
      </c>
      <c r="D18" s="24">
        <f>D3-ABS(D17)</f>
        <v>30313</v>
      </c>
      <c r="E18" s="13">
        <f t="shared" si="2"/>
        <v>-0.3017517237</v>
      </c>
      <c r="F18" s="24">
        <f>F3-ABS(F17)</f>
        <v>21166</v>
      </c>
      <c r="G18" s="13">
        <f t="shared" si="3"/>
        <v>0.006236416895</v>
      </c>
      <c r="H18" s="24">
        <f>H3-ABS(H17)</f>
        <v>21298</v>
      </c>
      <c r="I18" s="13">
        <f t="shared" si="4"/>
        <v>0.01864024791</v>
      </c>
      <c r="J18" s="24">
        <f>J3-ABS(J17)</f>
        <v>21695</v>
      </c>
      <c r="K18" s="13">
        <f t="shared" si="5"/>
        <v>0.02876238765</v>
      </c>
      <c r="L18" s="24">
        <f>L3-ABS(L17)</f>
        <v>22319</v>
      </c>
      <c r="M18" s="13">
        <f t="shared" si="6"/>
        <v>-0.01330704781</v>
      </c>
      <c r="N18" s="24">
        <f>N3-ABS(N17)</f>
        <v>22022</v>
      </c>
      <c r="O18" s="13">
        <f t="shared" si="7"/>
        <v>0.006448097357</v>
      </c>
      <c r="P18" s="24">
        <f>P3-ABS(P17)</f>
        <v>22164</v>
      </c>
      <c r="Q18" s="13">
        <f t="shared" si="8"/>
        <v>0</v>
      </c>
      <c r="R18" s="24">
        <f>R3-ABS(R17)</f>
        <v>22164</v>
      </c>
      <c r="S18" s="13">
        <f t="shared" si="9"/>
        <v>0</v>
      </c>
      <c r="T18" s="24">
        <f>T3-ABS(T17)</f>
        <v>22164</v>
      </c>
      <c r="U18" s="13">
        <f t="shared" si="10"/>
        <v>0</v>
      </c>
      <c r="V18" s="24">
        <f>V3-ABS(V17)</f>
        <v>22164</v>
      </c>
      <c r="W18" s="13">
        <f t="shared" si="11"/>
        <v>0.3676682909</v>
      </c>
      <c r="X18" s="24">
        <f>X3-ABS(X17)</f>
        <v>30313</v>
      </c>
    </row>
    <row r="19"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25" t="s">
        <v>44</v>
      </c>
      <c r="B20" s="26">
        <f>SUM(B21,B22,B24,B29,B30)</f>
        <v>5440</v>
      </c>
      <c r="C20" s="27">
        <f t="shared" ref="C20:C44" si="12">IFERROR(SUM((D20/B20)-1),0)</f>
        <v>-0.3022058824</v>
      </c>
      <c r="D20" s="26">
        <f>SUM(D21,D22,D24,D29,D30)</f>
        <v>3796</v>
      </c>
      <c r="E20" s="27">
        <f t="shared" ref="E20:E44" si="13">IFERROR(SUM((F20/D20)-1),0)</f>
        <v>0.1327713383</v>
      </c>
      <c r="F20" s="26">
        <f>SUM(F21,F22,F24,F29,F30)</f>
        <v>4300</v>
      </c>
      <c r="G20" s="27">
        <f t="shared" ref="G20:G44" si="14">IFERROR(SUM((H20/F20)-1),0)</f>
        <v>0.0388372093</v>
      </c>
      <c r="H20" s="61">
        <f>SUM(H21,H22,H24,H29,H30)</f>
        <v>4467</v>
      </c>
      <c r="I20" s="27">
        <f t="shared" ref="I20:I44" si="15">IFERROR(SUM((J20/H20)-1),0)</f>
        <v>0.06492052832</v>
      </c>
      <c r="J20" s="61">
        <f>SUM(J21,J22,J24,J29,J30)</f>
        <v>4757</v>
      </c>
      <c r="K20" s="27">
        <f t="shared" ref="K20:K44" si="16">IFERROR(SUM((L20/J20)-1),0)</f>
        <v>-0.01345385747</v>
      </c>
      <c r="L20" s="61">
        <f>SUM(L21,L22,L24,L29,L30)</f>
        <v>4693</v>
      </c>
      <c r="M20" s="27">
        <f t="shared" ref="M20:M44" si="17">IFERROR(SUM((N20/L20)-1),0)</f>
        <v>1.057958662</v>
      </c>
      <c r="N20" s="61">
        <f>SUM(N21,N22,N24,N29,N30)</f>
        <v>9658</v>
      </c>
      <c r="O20" s="27">
        <f t="shared" ref="O20:O44" si="18">IFERROR(SUM((P20/N20)-1),0)</f>
        <v>-0.5171878236</v>
      </c>
      <c r="P20" s="61">
        <f>SUM(P21,P22,P24,P29,P30)</f>
        <v>4663</v>
      </c>
      <c r="Q20" s="27">
        <f t="shared" ref="Q20:Q44" si="19">IFERROR(SUM((R20/P20)-1),0)</f>
        <v>0</v>
      </c>
      <c r="R20" s="61">
        <f>SUM(R21,R22,R24,R29,R30)</f>
        <v>4663</v>
      </c>
      <c r="S20" s="27">
        <f t="shared" ref="S20:S44" si="20">IFERROR(SUM((T20/R20)-1),0)</f>
        <v>0</v>
      </c>
      <c r="T20" s="61">
        <f>SUM(T21,T22,T24,T29,T30)</f>
        <v>4663</v>
      </c>
      <c r="U20" s="27">
        <f t="shared" ref="U20:U44" si="21">IFERROR(SUM((V20/T20)-1),0)</f>
        <v>0</v>
      </c>
      <c r="V20" s="61">
        <f>SUM(V21,V22,V24,V29,V30)</f>
        <v>4663</v>
      </c>
      <c r="W20" s="27">
        <f t="shared" ref="W20:W44" si="22">IFERROR(SUM((X20/V20)-1),0)</f>
        <v>-0.1859318036</v>
      </c>
      <c r="X20" s="61">
        <f>SUM(X21,X22,X24,X29,X30)</f>
        <v>3796</v>
      </c>
    </row>
    <row r="21">
      <c r="A21" s="4" t="s">
        <v>48</v>
      </c>
      <c r="B21" s="15">
        <v>-17.0</v>
      </c>
      <c r="C21" s="13">
        <f t="shared" si="12"/>
        <v>-24.41176471</v>
      </c>
      <c r="D21" s="15">
        <v>398.0</v>
      </c>
      <c r="E21" s="13">
        <f t="shared" si="13"/>
        <v>-0.432160804</v>
      </c>
      <c r="F21" s="15">
        <v>226.0</v>
      </c>
      <c r="G21" s="13">
        <f t="shared" si="14"/>
        <v>2.712389381</v>
      </c>
      <c r="H21" s="15">
        <v>839.0</v>
      </c>
      <c r="I21" s="13">
        <f t="shared" si="15"/>
        <v>-0.1406436234</v>
      </c>
      <c r="J21" s="15">
        <v>721.0</v>
      </c>
      <c r="K21" s="13">
        <f t="shared" si="16"/>
        <v>-0.1123439667</v>
      </c>
      <c r="L21" s="15">
        <v>640.0</v>
      </c>
      <c r="M21" s="13">
        <f t="shared" si="17"/>
        <v>0.025</v>
      </c>
      <c r="N21" s="15">
        <v>656.0</v>
      </c>
      <c r="O21" s="13">
        <f t="shared" si="18"/>
        <v>0.04115853659</v>
      </c>
      <c r="P21" s="135">
        <v>683.0</v>
      </c>
      <c r="Q21" s="13">
        <f t="shared" si="19"/>
        <v>0</v>
      </c>
      <c r="R21" s="135">
        <v>683.0</v>
      </c>
      <c r="S21" s="13">
        <f t="shared" si="20"/>
        <v>0</v>
      </c>
      <c r="T21" s="135">
        <v>683.0</v>
      </c>
      <c r="U21" s="13">
        <f t="shared" si="21"/>
        <v>0</v>
      </c>
      <c r="V21" s="135">
        <v>683.0</v>
      </c>
      <c r="W21" s="13">
        <f t="shared" si="22"/>
        <v>-0.4172767204</v>
      </c>
      <c r="X21" s="22">
        <v>398.0</v>
      </c>
    </row>
    <row r="22">
      <c r="A22" s="25" t="s">
        <v>49</v>
      </c>
      <c r="B22" s="15">
        <v>117.0</v>
      </c>
      <c r="C22" s="13">
        <f t="shared" si="12"/>
        <v>9.837606838</v>
      </c>
      <c r="D22" s="15">
        <v>1268.0</v>
      </c>
      <c r="E22" s="13">
        <f t="shared" si="13"/>
        <v>0.429022082</v>
      </c>
      <c r="F22" s="15">
        <v>1812.0</v>
      </c>
      <c r="G22" s="13">
        <f t="shared" si="14"/>
        <v>-0.1688741722</v>
      </c>
      <c r="H22" s="15">
        <v>1506.0</v>
      </c>
      <c r="I22" s="13">
        <f t="shared" si="15"/>
        <v>0.1613545817</v>
      </c>
      <c r="J22" s="15">
        <v>1749.0</v>
      </c>
      <c r="K22" s="13">
        <f t="shared" si="16"/>
        <v>-0.03773584906</v>
      </c>
      <c r="L22" s="15">
        <v>1683.0</v>
      </c>
      <c r="M22" s="13">
        <f t="shared" si="17"/>
        <v>0.005347593583</v>
      </c>
      <c r="N22" s="15">
        <v>1692.0</v>
      </c>
      <c r="O22" s="13">
        <f t="shared" si="18"/>
        <v>0.1004728132</v>
      </c>
      <c r="P22" s="135">
        <v>1862.0</v>
      </c>
      <c r="Q22" s="13">
        <f t="shared" si="19"/>
        <v>0</v>
      </c>
      <c r="R22" s="135">
        <v>1862.0</v>
      </c>
      <c r="S22" s="13">
        <f t="shared" si="20"/>
        <v>0</v>
      </c>
      <c r="T22" s="135">
        <v>1862.0</v>
      </c>
      <c r="U22" s="13">
        <f t="shared" si="21"/>
        <v>0</v>
      </c>
      <c r="V22" s="135">
        <v>1862.0</v>
      </c>
      <c r="W22" s="13">
        <f t="shared" si="22"/>
        <v>-0.3190118153</v>
      </c>
      <c r="X22" s="22">
        <v>1268.0</v>
      </c>
    </row>
    <row r="23">
      <c r="A23" s="1" t="s">
        <v>50</v>
      </c>
      <c r="B23" s="30">
        <f>B22/B3</f>
        <v>0.006862975129</v>
      </c>
      <c r="C23" s="31">
        <f t="shared" si="12"/>
        <v>5.095058931</v>
      </c>
      <c r="D23" s="30">
        <f>D22/D3</f>
        <v>0.04183023785</v>
      </c>
      <c r="E23" s="31">
        <f t="shared" si="13"/>
        <v>1.046581611</v>
      </c>
      <c r="F23" s="30">
        <f>F22/F3</f>
        <v>0.08560899556</v>
      </c>
      <c r="G23" s="31">
        <f t="shared" si="14"/>
        <v>-0.1740252948</v>
      </c>
      <c r="H23" s="31">
        <f>H22/H3</f>
        <v>0.07071086487</v>
      </c>
      <c r="I23" s="31">
        <f t="shared" si="15"/>
        <v>0.1401027832</v>
      </c>
      <c r="J23" s="31">
        <f>J22/J3</f>
        <v>0.08061765384</v>
      </c>
      <c r="K23" s="31">
        <f t="shared" si="16"/>
        <v>-0.06463906292</v>
      </c>
      <c r="L23" s="31">
        <f>L22/L3</f>
        <v>0.07540660424</v>
      </c>
      <c r="M23" s="31">
        <f t="shared" si="17"/>
        <v>0.01890622746</v>
      </c>
      <c r="N23" s="31">
        <f>N22/N3</f>
        <v>0.07683225865</v>
      </c>
      <c r="O23" s="31">
        <f t="shared" si="18"/>
        <v>0.09342231967</v>
      </c>
      <c r="P23" s="31">
        <f>P22/P3</f>
        <v>0.08401010648</v>
      </c>
      <c r="Q23" s="31">
        <f t="shared" si="19"/>
        <v>0</v>
      </c>
      <c r="R23" s="31">
        <f>R22/R3</f>
        <v>0.08401010648</v>
      </c>
      <c r="S23" s="31">
        <f t="shared" si="20"/>
        <v>0</v>
      </c>
      <c r="T23" s="31">
        <f>T22/T3</f>
        <v>0.08401010648</v>
      </c>
      <c r="U23" s="31">
        <f t="shared" si="21"/>
        <v>0</v>
      </c>
      <c r="V23" s="31">
        <f>V22/V3</f>
        <v>0.08401010648</v>
      </c>
      <c r="W23" s="31">
        <f t="shared" si="22"/>
        <v>-0.5020808852</v>
      </c>
      <c r="X23" s="31">
        <f>X22/X3</f>
        <v>0.04183023785</v>
      </c>
    </row>
    <row r="24">
      <c r="A24" s="65" t="s">
        <v>168</v>
      </c>
      <c r="B24" s="67">
        <f>SUM(B25:B27)</f>
        <v>1834</v>
      </c>
      <c r="C24" s="68">
        <f t="shared" si="12"/>
        <v>0.01090512541</v>
      </c>
      <c r="D24" s="67">
        <f>SUM(D25:D27)</f>
        <v>1854</v>
      </c>
      <c r="E24" s="68">
        <f t="shared" si="13"/>
        <v>0.02319309601</v>
      </c>
      <c r="F24" s="67">
        <f>SUM(F25:F27)</f>
        <v>1897</v>
      </c>
      <c r="G24" s="68">
        <f t="shared" si="14"/>
        <v>-0.05587770163</v>
      </c>
      <c r="H24" s="67">
        <f>SUM(H25:H27)</f>
        <v>1791</v>
      </c>
      <c r="I24" s="68">
        <f t="shared" si="15"/>
        <v>0.02847571189</v>
      </c>
      <c r="J24" s="67">
        <f>SUM(J25:J27)</f>
        <v>1842</v>
      </c>
      <c r="K24" s="68">
        <f t="shared" si="16"/>
        <v>-0.0124864278</v>
      </c>
      <c r="L24" s="67">
        <f>SUM(L25:L27)</f>
        <v>1819</v>
      </c>
      <c r="M24" s="68">
        <f t="shared" si="17"/>
        <v>2.821330401</v>
      </c>
      <c r="N24" s="67">
        <f>SUM(N25:N27)</f>
        <v>6951</v>
      </c>
      <c r="O24" s="68">
        <f t="shared" si="18"/>
        <v>-0.7421953676</v>
      </c>
      <c r="P24" s="67">
        <f>SUM(P25:P27)</f>
        <v>1792</v>
      </c>
      <c r="Q24" s="68">
        <f t="shared" si="19"/>
        <v>0</v>
      </c>
      <c r="R24" s="67">
        <f>SUM(R25:R27)</f>
        <v>1792</v>
      </c>
      <c r="S24" s="68">
        <f t="shared" si="20"/>
        <v>0</v>
      </c>
      <c r="T24" s="67">
        <f>SUM(T25:T27)</f>
        <v>1792</v>
      </c>
      <c r="U24" s="68">
        <f t="shared" si="21"/>
        <v>0</v>
      </c>
      <c r="V24" s="67">
        <f>SUM(V25:V27)</f>
        <v>1792</v>
      </c>
      <c r="W24" s="68">
        <f t="shared" si="22"/>
        <v>0.03459821429</v>
      </c>
      <c r="X24" s="67">
        <f>SUM(X25:X27)</f>
        <v>1854</v>
      </c>
    </row>
    <row r="25">
      <c r="A25" s="4" t="s">
        <v>169</v>
      </c>
      <c r="B25" s="48">
        <v>1770.0</v>
      </c>
      <c r="C25" s="13">
        <f t="shared" si="12"/>
        <v>0.004519774011</v>
      </c>
      <c r="D25" s="48">
        <v>1778.0</v>
      </c>
      <c r="E25" s="13">
        <f t="shared" si="13"/>
        <v>0.02699662542</v>
      </c>
      <c r="F25" s="48">
        <v>1826.0</v>
      </c>
      <c r="G25" s="13">
        <f t="shared" si="14"/>
        <v>-0.05640744797</v>
      </c>
      <c r="H25" s="48">
        <v>1723.0</v>
      </c>
      <c r="I25" s="13">
        <f t="shared" si="15"/>
        <v>0.02843876959</v>
      </c>
      <c r="J25" s="48">
        <v>1772.0</v>
      </c>
      <c r="K25" s="13">
        <f t="shared" si="16"/>
        <v>-0.01241534989</v>
      </c>
      <c r="L25" s="48">
        <v>1750.0</v>
      </c>
      <c r="M25" s="13">
        <f t="shared" si="17"/>
        <v>-0.01828571429</v>
      </c>
      <c r="N25" s="48">
        <v>1718.0</v>
      </c>
      <c r="O25" s="13">
        <f t="shared" si="18"/>
        <v>0.003492433062</v>
      </c>
      <c r="P25" s="140">
        <v>1724.0</v>
      </c>
      <c r="Q25" s="13">
        <f t="shared" si="19"/>
        <v>0</v>
      </c>
      <c r="R25" s="140">
        <v>1724.0</v>
      </c>
      <c r="S25" s="13">
        <f t="shared" si="20"/>
        <v>0</v>
      </c>
      <c r="T25" s="140">
        <v>1724.0</v>
      </c>
      <c r="U25" s="13">
        <f t="shared" si="21"/>
        <v>0</v>
      </c>
      <c r="V25" s="140">
        <v>1724.0</v>
      </c>
      <c r="W25" s="13">
        <f t="shared" si="22"/>
        <v>0.0313225058</v>
      </c>
      <c r="X25" s="141">
        <v>1778.0</v>
      </c>
    </row>
    <row r="26">
      <c r="A26" s="4" t="s">
        <v>170</v>
      </c>
      <c r="B26" s="4">
        <v>64.0</v>
      </c>
      <c r="C26" s="13">
        <f t="shared" si="12"/>
        <v>0.1875</v>
      </c>
      <c r="D26" s="4">
        <v>76.0</v>
      </c>
      <c r="E26" s="13">
        <f t="shared" si="13"/>
        <v>-0.06578947368</v>
      </c>
      <c r="F26" s="4">
        <v>71.0</v>
      </c>
      <c r="G26" s="13">
        <f t="shared" si="14"/>
        <v>-0.04225352113</v>
      </c>
      <c r="H26" s="4">
        <v>68.0</v>
      </c>
      <c r="I26" s="13">
        <f t="shared" si="15"/>
        <v>0.02941176471</v>
      </c>
      <c r="J26" s="4">
        <v>70.0</v>
      </c>
      <c r="K26" s="13">
        <f t="shared" si="16"/>
        <v>-0.01428571429</v>
      </c>
      <c r="L26" s="4">
        <v>69.0</v>
      </c>
      <c r="M26" s="13">
        <f t="shared" si="17"/>
        <v>-0.02898550725</v>
      </c>
      <c r="N26" s="4">
        <v>67.0</v>
      </c>
      <c r="O26" s="13">
        <f t="shared" si="18"/>
        <v>0.01492537313</v>
      </c>
      <c r="P26" s="144">
        <v>68.0</v>
      </c>
      <c r="Q26" s="13">
        <f t="shared" si="19"/>
        <v>0</v>
      </c>
      <c r="R26" s="144">
        <v>68.0</v>
      </c>
      <c r="S26" s="13">
        <f t="shared" si="20"/>
        <v>0</v>
      </c>
      <c r="T26" s="144">
        <v>68.0</v>
      </c>
      <c r="U26" s="13">
        <f t="shared" si="21"/>
        <v>0</v>
      </c>
      <c r="V26" s="144">
        <v>68.0</v>
      </c>
      <c r="W26" s="13">
        <f t="shared" si="22"/>
        <v>0.1176470588</v>
      </c>
      <c r="X26" s="127">
        <v>76.0</v>
      </c>
    </row>
    <row r="27">
      <c r="A27" s="4" t="s">
        <v>172</v>
      </c>
      <c r="B27" s="4">
        <v>0.0</v>
      </c>
      <c r="C27" s="13">
        <f t="shared" si="12"/>
        <v>0</v>
      </c>
      <c r="D27" s="4">
        <v>0.0</v>
      </c>
      <c r="E27" s="13">
        <f t="shared" si="13"/>
        <v>0</v>
      </c>
      <c r="F27" s="4">
        <v>0.0</v>
      </c>
      <c r="G27" s="13">
        <f t="shared" si="14"/>
        <v>0</v>
      </c>
      <c r="H27" s="4">
        <v>0.0</v>
      </c>
      <c r="I27" s="13">
        <f t="shared" si="15"/>
        <v>0</v>
      </c>
      <c r="J27" s="4">
        <v>0.0</v>
      </c>
      <c r="K27" s="13">
        <f t="shared" si="16"/>
        <v>0</v>
      </c>
      <c r="L27" s="4">
        <v>0.0</v>
      </c>
      <c r="M27" s="13">
        <f t="shared" si="17"/>
        <v>0</v>
      </c>
      <c r="N27" s="48">
        <v>5166.0</v>
      </c>
      <c r="O27" s="13">
        <f t="shared" si="18"/>
        <v>-1</v>
      </c>
      <c r="P27" s="4">
        <v>0.0</v>
      </c>
      <c r="Q27" s="13">
        <f t="shared" si="19"/>
        <v>0</v>
      </c>
      <c r="R27" s="4">
        <v>0.0</v>
      </c>
      <c r="S27" s="13">
        <f t="shared" si="20"/>
        <v>0</v>
      </c>
      <c r="T27" s="4">
        <v>0.0</v>
      </c>
      <c r="U27" s="13">
        <f t="shared" si="21"/>
        <v>0</v>
      </c>
      <c r="V27" s="4">
        <v>0.0</v>
      </c>
      <c r="W27" s="13">
        <f t="shared" si="22"/>
        <v>0</v>
      </c>
      <c r="X27" s="48">
        <v>0.0</v>
      </c>
    </row>
    <row r="28">
      <c r="A28" s="1" t="s">
        <v>52</v>
      </c>
      <c r="B28" s="30">
        <f>B24/B3</f>
        <v>0.1075786016</v>
      </c>
      <c r="C28" s="31">
        <f t="shared" si="12"/>
        <v>-0.431467998</v>
      </c>
      <c r="D28" s="30">
        <f>D24/D3</f>
        <v>0.06116187774</v>
      </c>
      <c r="E28" s="31">
        <f t="shared" si="13"/>
        <v>0.4653714599</v>
      </c>
      <c r="F28" s="30">
        <f>F24/F3</f>
        <v>0.08962487007</v>
      </c>
      <c r="G28" s="31">
        <f t="shared" si="14"/>
        <v>-0.06172914982</v>
      </c>
      <c r="H28" s="31">
        <f>H24/H3</f>
        <v>0.08409240304</v>
      </c>
      <c r="I28" s="31">
        <f t="shared" si="15"/>
        <v>0.009655483378</v>
      </c>
      <c r="J28" s="31">
        <f>J24/J3</f>
        <v>0.08490435584</v>
      </c>
      <c r="K28" s="31">
        <f t="shared" si="16"/>
        <v>-0.04009557108</v>
      </c>
      <c r="L28" s="31">
        <f>L24/L3</f>
        <v>0.08150006721</v>
      </c>
      <c r="M28" s="31">
        <f t="shared" si="17"/>
        <v>2.872866825</v>
      </c>
      <c r="N28" s="31">
        <f>N24/N3</f>
        <v>0.3156389065</v>
      </c>
      <c r="O28" s="31">
        <f t="shared" si="18"/>
        <v>-0.7438470666</v>
      </c>
      <c r="P28" s="31">
        <f>P24/P3</f>
        <v>0.0808518318</v>
      </c>
      <c r="Q28" s="31">
        <f t="shared" si="19"/>
        <v>0</v>
      </c>
      <c r="R28" s="31">
        <f>R24/R3</f>
        <v>0.0808518318</v>
      </c>
      <c r="S28" s="31">
        <f t="shared" si="20"/>
        <v>0</v>
      </c>
      <c r="T28" s="31">
        <f>T24/T3</f>
        <v>0.0808518318</v>
      </c>
      <c r="U28" s="31">
        <f t="shared" si="21"/>
        <v>0</v>
      </c>
      <c r="V28" s="31">
        <f>V24/V3</f>
        <v>0.0808518318</v>
      </c>
      <c r="W28" s="31">
        <f t="shared" si="22"/>
        <v>-0.2435313291</v>
      </c>
      <c r="X28" s="31">
        <f>X24/X3</f>
        <v>0.06116187774</v>
      </c>
    </row>
    <row r="29">
      <c r="A29" s="4" t="s">
        <v>175</v>
      </c>
      <c r="B29" s="15">
        <v>3320.0</v>
      </c>
      <c r="C29" s="13">
        <f t="shared" si="12"/>
        <v>-1</v>
      </c>
      <c r="D29" s="15">
        <v>0.0</v>
      </c>
      <c r="E29" s="13">
        <f t="shared" si="13"/>
        <v>0</v>
      </c>
      <c r="F29" s="15">
        <v>283.0</v>
      </c>
      <c r="G29" s="13">
        <f t="shared" si="14"/>
        <v>-0.2438162544</v>
      </c>
      <c r="H29" s="15">
        <v>214.0</v>
      </c>
      <c r="I29" s="13">
        <f t="shared" si="15"/>
        <v>0.6588785047</v>
      </c>
      <c r="J29" s="15">
        <v>355.0</v>
      </c>
      <c r="K29" s="13">
        <f t="shared" si="16"/>
        <v>-0.1915492958</v>
      </c>
      <c r="L29" s="15">
        <v>287.0</v>
      </c>
      <c r="M29" s="13">
        <f t="shared" si="17"/>
        <v>-1</v>
      </c>
      <c r="N29" s="22">
        <v>0.0</v>
      </c>
      <c r="O29" s="13">
        <f t="shared" si="18"/>
        <v>0</v>
      </c>
      <c r="P29" s="135">
        <v>156.0</v>
      </c>
      <c r="Q29" s="13">
        <f t="shared" si="19"/>
        <v>0</v>
      </c>
      <c r="R29" s="135">
        <v>156.0</v>
      </c>
      <c r="S29" s="13">
        <f t="shared" si="20"/>
        <v>0</v>
      </c>
      <c r="T29" s="135">
        <v>156.0</v>
      </c>
      <c r="U29" s="13">
        <f t="shared" si="21"/>
        <v>0</v>
      </c>
      <c r="V29" s="135">
        <v>156.0</v>
      </c>
      <c r="W29" s="13">
        <f t="shared" si="22"/>
        <v>-1</v>
      </c>
      <c r="X29" s="22">
        <v>0.0</v>
      </c>
    </row>
    <row r="30">
      <c r="A30" s="4" t="s">
        <v>176</v>
      </c>
      <c r="B30" s="15">
        <v>186.0</v>
      </c>
      <c r="C30" s="13">
        <f t="shared" si="12"/>
        <v>0.4838709677</v>
      </c>
      <c r="D30" s="15">
        <v>276.0</v>
      </c>
      <c r="E30" s="13">
        <f t="shared" si="13"/>
        <v>-0.7028985507</v>
      </c>
      <c r="F30" s="15">
        <v>82.0</v>
      </c>
      <c r="G30" s="13">
        <f t="shared" si="14"/>
        <v>0.4268292683</v>
      </c>
      <c r="H30" s="15">
        <v>117.0</v>
      </c>
      <c r="I30" s="13">
        <f t="shared" si="15"/>
        <v>-0.2307692308</v>
      </c>
      <c r="J30" s="15">
        <v>90.0</v>
      </c>
      <c r="K30" s="13">
        <f t="shared" si="16"/>
        <v>1.933333333</v>
      </c>
      <c r="L30" s="15">
        <v>264.0</v>
      </c>
      <c r="M30" s="13">
        <f t="shared" si="17"/>
        <v>0.3598484848</v>
      </c>
      <c r="N30" s="15">
        <v>359.0</v>
      </c>
      <c r="O30" s="13">
        <f t="shared" si="18"/>
        <v>-0.5264623955</v>
      </c>
      <c r="P30" s="135">
        <v>170.0</v>
      </c>
      <c r="Q30" s="13">
        <f t="shared" si="19"/>
        <v>0</v>
      </c>
      <c r="R30" s="135">
        <v>170.0</v>
      </c>
      <c r="S30" s="13">
        <f t="shared" si="20"/>
        <v>0</v>
      </c>
      <c r="T30" s="135">
        <v>170.0</v>
      </c>
      <c r="U30" s="13">
        <f t="shared" si="21"/>
        <v>0</v>
      </c>
      <c r="V30" s="135">
        <v>170.0</v>
      </c>
      <c r="W30" s="13">
        <f t="shared" si="22"/>
        <v>0.6235294118</v>
      </c>
      <c r="X30" s="22">
        <v>276.0</v>
      </c>
    </row>
    <row r="31">
      <c r="A31" s="1" t="s">
        <v>54</v>
      </c>
      <c r="B31" s="30">
        <f>B20/B3</f>
        <v>0.3190990145</v>
      </c>
      <c r="C31" s="31">
        <f t="shared" si="12"/>
        <v>-0.6075613064</v>
      </c>
      <c r="D31" s="30">
        <f>D20/D3</f>
        <v>0.1252268004</v>
      </c>
      <c r="E31" s="31">
        <f t="shared" si="13"/>
        <v>0.622304525</v>
      </c>
      <c r="F31" s="30">
        <f>F20/F3</f>
        <v>0.2031560049</v>
      </c>
      <c r="G31" s="31">
        <f t="shared" si="14"/>
        <v>0.03239874036</v>
      </c>
      <c r="H31" s="31">
        <f>H20/H3</f>
        <v>0.2097380036</v>
      </c>
      <c r="I31" s="31">
        <f t="shared" si="15"/>
        <v>0.04543339074</v>
      </c>
      <c r="J31" s="31">
        <f>J20/J3</f>
        <v>0.2192671122</v>
      </c>
      <c r="K31" s="31">
        <f t="shared" si="16"/>
        <v>-0.04103595313</v>
      </c>
      <c r="L31" s="31">
        <f>L20/L3</f>
        <v>0.2102692773</v>
      </c>
      <c r="M31" s="31">
        <f t="shared" si="17"/>
        <v>1.085713349</v>
      </c>
      <c r="N31" s="31">
        <f>N20/N3</f>
        <v>0.4385614386</v>
      </c>
      <c r="O31" s="31">
        <f t="shared" si="18"/>
        <v>-0.5202810978</v>
      </c>
      <c r="P31" s="31">
        <f>P20/P3</f>
        <v>0.2103862119</v>
      </c>
      <c r="Q31" s="31">
        <f t="shared" si="19"/>
        <v>0</v>
      </c>
      <c r="R31" s="31">
        <f>R20/R3</f>
        <v>0.2103862119</v>
      </c>
      <c r="S31" s="31">
        <f t="shared" si="20"/>
        <v>0</v>
      </c>
      <c r="T31" s="31">
        <f>T20/T3</f>
        <v>0.2103862119</v>
      </c>
      <c r="U31" s="31">
        <f t="shared" si="21"/>
        <v>0</v>
      </c>
      <c r="V31" s="31">
        <f>V20/V3</f>
        <v>0.2103862119</v>
      </c>
      <c r="W31" s="31">
        <f t="shared" si="22"/>
        <v>-0.4047765808</v>
      </c>
      <c r="X31" s="31">
        <f>X20/X3</f>
        <v>0.1252268004</v>
      </c>
    </row>
    <row r="32">
      <c r="A32" s="36" t="s">
        <v>56</v>
      </c>
      <c r="B32" s="37">
        <f>B33/$B$3</f>
        <v>0.6809009855</v>
      </c>
      <c r="C32" s="38">
        <f t="shared" si="12"/>
        <v>0.2847289375</v>
      </c>
      <c r="D32" s="37">
        <f>D33/$D$3</f>
        <v>0.8747731996</v>
      </c>
      <c r="E32" s="38">
        <f t="shared" si="13"/>
        <v>-0.08908503892</v>
      </c>
      <c r="F32" s="37">
        <f>F33/$F$3</f>
        <v>0.7968439951</v>
      </c>
      <c r="G32" s="38">
        <f t="shared" si="14"/>
        <v>-0.008260084402</v>
      </c>
      <c r="H32" s="37">
        <f>H33/$H$3</f>
        <v>0.7902619964</v>
      </c>
      <c r="I32" s="38">
        <f t="shared" si="15"/>
        <v>-0.01205816389</v>
      </c>
      <c r="J32" s="37">
        <f>J33/$J$3</f>
        <v>0.7807328878</v>
      </c>
      <c r="K32" s="38">
        <f t="shared" si="16"/>
        <v>0.01152485707</v>
      </c>
      <c r="L32" s="37">
        <f>L33/$L$3</f>
        <v>0.7897307227</v>
      </c>
      <c r="M32" s="38">
        <f t="shared" si="17"/>
        <v>-0.289075953</v>
      </c>
      <c r="N32" s="37">
        <f>N33/$N$3</f>
        <v>0.5614385614</v>
      </c>
      <c r="O32" s="38">
        <f t="shared" si="18"/>
        <v>0.4064117472</v>
      </c>
      <c r="P32" s="37">
        <f>P33/$P$3</f>
        <v>0.7896137881</v>
      </c>
      <c r="Q32" s="38">
        <f t="shared" si="19"/>
        <v>0</v>
      </c>
      <c r="R32" s="37">
        <f>R33/$P$3</f>
        <v>0.7896137881</v>
      </c>
      <c r="S32" s="38">
        <f t="shared" si="20"/>
        <v>0</v>
      </c>
      <c r="T32" s="37">
        <f>T33/$P$3</f>
        <v>0.7896137881</v>
      </c>
      <c r="U32" s="38">
        <f t="shared" si="21"/>
        <v>0</v>
      </c>
      <c r="V32" s="37">
        <f>V33/$P$3</f>
        <v>0.7896137881</v>
      </c>
      <c r="W32" s="38">
        <f t="shared" si="22"/>
        <v>0.1078494484</v>
      </c>
      <c r="X32" s="37">
        <f>X33/$X$3</f>
        <v>0.8747731996</v>
      </c>
      <c r="Y32" s="13"/>
    </row>
    <row r="33">
      <c r="A33" s="28" t="s">
        <v>57</v>
      </c>
      <c r="B33" s="24">
        <f>B3-B20</f>
        <v>11608</v>
      </c>
      <c r="C33" s="13">
        <f t="shared" si="12"/>
        <v>1.284372846</v>
      </c>
      <c r="D33" s="24">
        <f>D3-D20</f>
        <v>26517</v>
      </c>
      <c r="E33" s="13">
        <f t="shared" si="13"/>
        <v>-0.3639551986</v>
      </c>
      <c r="F33" s="24">
        <f>F3-F20</f>
        <v>16866</v>
      </c>
      <c r="G33" s="13">
        <f t="shared" si="14"/>
        <v>-0.002075180837</v>
      </c>
      <c r="H33" s="22">
        <f>H3-H20</f>
        <v>16831</v>
      </c>
      <c r="I33" s="13">
        <f t="shared" si="15"/>
        <v>0.006357316856</v>
      </c>
      <c r="J33" s="22">
        <f>J3-J20</f>
        <v>16938</v>
      </c>
      <c r="K33" s="13">
        <f t="shared" si="16"/>
        <v>0.04061872712</v>
      </c>
      <c r="L33" s="22">
        <f>L3-L20</f>
        <v>17626</v>
      </c>
      <c r="M33" s="13">
        <f t="shared" si="17"/>
        <v>-0.2985362533</v>
      </c>
      <c r="N33" s="22">
        <f>N3-N20</f>
        <v>12364</v>
      </c>
      <c r="O33" s="13">
        <f t="shared" si="18"/>
        <v>0.415480427</v>
      </c>
      <c r="P33" s="22">
        <f>P3-P20</f>
        <v>17501</v>
      </c>
      <c r="Q33" s="13">
        <f t="shared" si="19"/>
        <v>0</v>
      </c>
      <c r="R33" s="22">
        <f>R3-R20</f>
        <v>17501</v>
      </c>
      <c r="S33" s="13">
        <f t="shared" si="20"/>
        <v>0</v>
      </c>
      <c r="T33" s="22">
        <f>T3-T20</f>
        <v>17501</v>
      </c>
      <c r="U33" s="13">
        <f t="shared" si="21"/>
        <v>0</v>
      </c>
      <c r="V33" s="22">
        <f>V3-V20</f>
        <v>17501</v>
      </c>
      <c r="W33" s="13">
        <f t="shared" si="22"/>
        <v>0.5151705617</v>
      </c>
      <c r="X33" s="22">
        <f>X3-X20</f>
        <v>26517</v>
      </c>
    </row>
    <row r="34">
      <c r="A34" s="28" t="s">
        <v>58</v>
      </c>
      <c r="B34" s="39">
        <f>B33-ABS(B17)</f>
        <v>11608</v>
      </c>
      <c r="C34" s="12">
        <f t="shared" si="12"/>
        <v>1.284372846</v>
      </c>
      <c r="D34" s="39">
        <f>D33-ABS(D17)</f>
        <v>26517</v>
      </c>
      <c r="E34" s="12">
        <f t="shared" si="13"/>
        <v>-0.3639551986</v>
      </c>
      <c r="F34" s="39">
        <f>F33-ABS(F17)</f>
        <v>16866</v>
      </c>
      <c r="G34" s="12">
        <f t="shared" si="14"/>
        <v>-0.002075180837</v>
      </c>
      <c r="H34" s="39">
        <f>H33-ABS(H17)</f>
        <v>16831</v>
      </c>
      <c r="I34" s="12">
        <f t="shared" si="15"/>
        <v>0.006357316856</v>
      </c>
      <c r="J34" s="39">
        <f>J33-ABS(J17)</f>
        <v>16938</v>
      </c>
      <c r="K34" s="12">
        <f t="shared" si="16"/>
        <v>0.04061872712</v>
      </c>
      <c r="L34" s="39">
        <f>L33-ABS(L17)</f>
        <v>17626</v>
      </c>
      <c r="M34" s="12">
        <f t="shared" si="17"/>
        <v>-0.2985362533</v>
      </c>
      <c r="N34" s="39">
        <f>N33-ABS(N17)</f>
        <v>12364</v>
      </c>
      <c r="O34" s="12">
        <f t="shared" si="18"/>
        <v>0.415480427</v>
      </c>
      <c r="P34" s="39">
        <f>P33-ABS(P17)</f>
        <v>17501</v>
      </c>
      <c r="Q34" s="12">
        <f t="shared" si="19"/>
        <v>0</v>
      </c>
      <c r="R34" s="39">
        <f>R33-ABS(R17)</f>
        <v>17501</v>
      </c>
      <c r="S34" s="12">
        <f t="shared" si="20"/>
        <v>0</v>
      </c>
      <c r="T34" s="39">
        <f>T33-ABS(T17)</f>
        <v>17501</v>
      </c>
      <c r="U34" s="12">
        <f t="shared" si="21"/>
        <v>0</v>
      </c>
      <c r="V34" s="39">
        <f>V33-ABS(V17)</f>
        <v>17501</v>
      </c>
      <c r="W34" s="12">
        <f t="shared" si="22"/>
        <v>0.5151705617</v>
      </c>
      <c r="X34" s="39">
        <f>X33-ABS(X17)</f>
        <v>26517</v>
      </c>
    </row>
    <row r="35">
      <c r="A35" s="1" t="s">
        <v>177</v>
      </c>
      <c r="B35" s="15">
        <v>4071.0</v>
      </c>
      <c r="C35" s="13">
        <f t="shared" si="12"/>
        <v>-3.662245149</v>
      </c>
      <c r="D35" s="15">
        <v>-10838.0</v>
      </c>
      <c r="E35" s="13">
        <f t="shared" si="13"/>
        <v>-0.9736113674</v>
      </c>
      <c r="F35" s="15">
        <v>-286.0</v>
      </c>
      <c r="G35" s="13">
        <f t="shared" si="14"/>
        <v>-0.1153846154</v>
      </c>
      <c r="H35" s="135">
        <v>-253.0</v>
      </c>
      <c r="I35" s="13">
        <f t="shared" si="15"/>
        <v>-1.71541502</v>
      </c>
      <c r="J35" s="15">
        <v>181.0</v>
      </c>
      <c r="K35" s="13">
        <f t="shared" si="16"/>
        <v>-3.751381215</v>
      </c>
      <c r="L35" s="15">
        <v>-498.0</v>
      </c>
      <c r="M35" s="13">
        <f t="shared" si="17"/>
        <v>-14.1686747</v>
      </c>
      <c r="N35" s="135">
        <v>6558.0</v>
      </c>
      <c r="O35" s="13">
        <f t="shared" si="18"/>
        <v>-1.168039036</v>
      </c>
      <c r="P35" s="135">
        <v>-1102.0</v>
      </c>
      <c r="Q35" s="13">
        <f t="shared" si="19"/>
        <v>0</v>
      </c>
      <c r="R35" s="135">
        <v>-1102.0</v>
      </c>
      <c r="S35" s="13">
        <f t="shared" si="20"/>
        <v>0</v>
      </c>
      <c r="T35" s="135">
        <v>-1102.0</v>
      </c>
      <c r="U35" s="13">
        <f t="shared" si="21"/>
        <v>0</v>
      </c>
      <c r="V35" s="135">
        <v>-1102.0</v>
      </c>
      <c r="W35" s="13">
        <f t="shared" si="22"/>
        <v>8.834845735</v>
      </c>
      <c r="X35" s="22">
        <v>-10838.0</v>
      </c>
      <c r="Y35" s="13"/>
      <c r="Z35" s="22"/>
    </row>
    <row r="36">
      <c r="A36" s="4" t="s">
        <v>60</v>
      </c>
      <c r="B36" s="40">
        <f>B35/B33</f>
        <v>0.3507064094</v>
      </c>
      <c r="C36" s="13">
        <f t="shared" si="12"/>
        <v>-2.165416212</v>
      </c>
      <c r="D36" s="40">
        <f>D35/D33</f>
        <v>-0.408718935</v>
      </c>
      <c r="E36" s="13">
        <f t="shared" si="13"/>
        <v>-0.9585113619</v>
      </c>
      <c r="F36" s="40">
        <f>F35/F33</f>
        <v>-0.01695719198</v>
      </c>
      <c r="G36" s="13">
        <f t="shared" si="14"/>
        <v>-0.1135450611</v>
      </c>
      <c r="H36" s="13">
        <f>H35/H33</f>
        <v>-0.01503178658</v>
      </c>
      <c r="I36" s="13">
        <f t="shared" si="15"/>
        <v>-1.710895631</v>
      </c>
      <c r="J36" s="13">
        <f>J35/J33</f>
        <v>0.01068603141</v>
      </c>
      <c r="K36" s="13">
        <f t="shared" si="16"/>
        <v>-3.643985875</v>
      </c>
      <c r="L36" s="13">
        <f>L35/L33</f>
        <v>-0.0282537161</v>
      </c>
      <c r="M36" s="13">
        <f t="shared" si="17"/>
        <v>-19.77313654</v>
      </c>
      <c r="N36" s="13">
        <f>N35/N33</f>
        <v>0.5304108703</v>
      </c>
      <c r="O36" s="13">
        <f t="shared" si="18"/>
        <v>-1.118715196</v>
      </c>
      <c r="P36" s="13">
        <f>P35/P33</f>
        <v>-0.06296783041</v>
      </c>
      <c r="Q36" s="13">
        <f t="shared" si="19"/>
        <v>0</v>
      </c>
      <c r="R36" s="13">
        <f>R35/R33</f>
        <v>-0.06296783041</v>
      </c>
      <c r="S36" s="13">
        <f t="shared" si="20"/>
        <v>0</v>
      </c>
      <c r="T36" s="13">
        <f>T35/T33</f>
        <v>-0.06296783041</v>
      </c>
      <c r="U36" s="13">
        <f t="shared" si="21"/>
        <v>0</v>
      </c>
      <c r="V36" s="13">
        <f>V35/V33</f>
        <v>-0.06296783041</v>
      </c>
      <c r="W36" s="13">
        <f t="shared" si="22"/>
        <v>5.49091659</v>
      </c>
      <c r="X36" s="13">
        <f>X35/X33</f>
        <v>-0.408718935</v>
      </c>
      <c r="Y36" s="13"/>
      <c r="Z36" s="13"/>
    </row>
    <row r="37">
      <c r="A37" s="4" t="s">
        <v>61</v>
      </c>
      <c r="B37" s="41">
        <f>B47+(B35*1000)</f>
        <v>42436793.98</v>
      </c>
      <c r="C37" s="13">
        <f t="shared" si="12"/>
        <v>0.4622208621</v>
      </c>
      <c r="D37" s="41">
        <f>D47+(D35*1000)</f>
        <v>62051965.48</v>
      </c>
      <c r="E37" s="13">
        <f t="shared" si="13"/>
        <v>0.06274072755</v>
      </c>
      <c r="F37" s="41">
        <f>F47+(F35*1000)</f>
        <v>65945150.94</v>
      </c>
      <c r="G37" s="13">
        <f t="shared" si="14"/>
        <v>-0.0219237868</v>
      </c>
      <c r="H37" s="41">
        <f>H47+(H35*1000)</f>
        <v>64499383.51</v>
      </c>
      <c r="I37" s="13">
        <f t="shared" si="15"/>
        <v>0.08703043556</v>
      </c>
      <c r="J37" s="41">
        <f>J47+(J35*1000)</f>
        <v>70112792.95</v>
      </c>
      <c r="K37" s="13">
        <f t="shared" si="16"/>
        <v>-0.03531960454</v>
      </c>
      <c r="L37" s="41">
        <f>L47+(L35*1000)</f>
        <v>67636436.83</v>
      </c>
      <c r="M37" s="13">
        <f t="shared" si="17"/>
        <v>0.1013449076</v>
      </c>
      <c r="N37" s="41">
        <f>N47+(N35*1000)</f>
        <v>74491045.27</v>
      </c>
      <c r="O37" s="13">
        <f t="shared" si="18"/>
        <v>-0.04686887219</v>
      </c>
      <c r="P37" s="41">
        <f>P47+(P35*1000)</f>
        <v>70999733.99</v>
      </c>
      <c r="Q37" s="13">
        <f t="shared" si="19"/>
        <v>0</v>
      </c>
      <c r="R37" s="41">
        <f>R47+(R35*1000)</f>
        <v>70999733.99</v>
      </c>
      <c r="S37" s="13">
        <f t="shared" si="20"/>
        <v>0</v>
      </c>
      <c r="T37" s="41">
        <f>T47+(T35*1000)</f>
        <v>70999733.99</v>
      </c>
      <c r="U37" s="13">
        <f t="shared" si="21"/>
        <v>0.01110189357</v>
      </c>
      <c r="V37" s="41">
        <f>V47+(V35*1000)</f>
        <v>71787965.48</v>
      </c>
      <c r="W37" s="13">
        <f t="shared" si="22"/>
        <v>-0.1356216176</v>
      </c>
      <c r="X37" s="41">
        <f>X47+(X35*1000)</f>
        <v>62051965.48</v>
      </c>
      <c r="Y37" s="13"/>
      <c r="Z37" s="22"/>
    </row>
    <row r="38">
      <c r="A38" s="4" t="s">
        <v>62</v>
      </c>
      <c r="B38" s="42">
        <f>B37/B41</f>
        <v>2.354812745</v>
      </c>
      <c r="C38" s="13">
        <f t="shared" si="12"/>
        <v>0.4622208621</v>
      </c>
      <c r="D38" s="42">
        <f>D37/D41</f>
        <v>3.443256322</v>
      </c>
      <c r="E38" s="13">
        <f t="shared" si="13"/>
        <v>0.06274072755</v>
      </c>
      <c r="F38" s="42">
        <f>F37/F41</f>
        <v>3.659288728</v>
      </c>
      <c r="G38" s="13">
        <f t="shared" si="14"/>
        <v>-0.0219237868</v>
      </c>
      <c r="H38" s="42">
        <f>H37/H41</f>
        <v>3.579063262</v>
      </c>
      <c r="I38" s="13">
        <f t="shared" si="15"/>
        <v>0.08703043556</v>
      </c>
      <c r="J38" s="42">
        <f>J37/J41</f>
        <v>3.890550697</v>
      </c>
      <c r="K38" s="13">
        <f t="shared" si="16"/>
        <v>-0.03531960454</v>
      </c>
      <c r="L38" s="42">
        <f>L37/L41</f>
        <v>3.753137985</v>
      </c>
      <c r="M38" s="13">
        <f t="shared" si="17"/>
        <v>0.1013449076</v>
      </c>
      <c r="N38" s="42">
        <f>N37/N41</f>
        <v>4.133499407</v>
      </c>
      <c r="O38" s="13">
        <f t="shared" si="18"/>
        <v>-0.04686887219</v>
      </c>
      <c r="P38" s="42">
        <f>P37/P41</f>
        <v>3.939766952</v>
      </c>
      <c r="Q38" s="13">
        <f t="shared" si="19"/>
        <v>0</v>
      </c>
      <c r="R38" s="42">
        <f>R37/R41</f>
        <v>3.939766952</v>
      </c>
      <c r="S38" s="13">
        <f t="shared" si="20"/>
        <v>0</v>
      </c>
      <c r="T38" s="42">
        <f>T37/T41</f>
        <v>3.939766952</v>
      </c>
      <c r="U38" s="13">
        <f t="shared" si="21"/>
        <v>0.01110189357</v>
      </c>
      <c r="V38" s="42">
        <f>V37/V41</f>
        <v>3.983505825</v>
      </c>
      <c r="W38" s="13">
        <f t="shared" si="22"/>
        <v>-0.1356216176</v>
      </c>
      <c r="X38" s="42">
        <f>X37/X41</f>
        <v>3.443256322</v>
      </c>
      <c r="Y38" s="13"/>
      <c r="Z38" s="13"/>
    </row>
    <row r="39">
      <c r="A39" s="28" t="s">
        <v>63</v>
      </c>
      <c r="B39" s="15">
        <v>15679.0</v>
      </c>
      <c r="C39" s="13">
        <f t="shared" si="12"/>
        <v>0</v>
      </c>
      <c r="D39" s="15">
        <v>15679.0</v>
      </c>
      <c r="E39" s="13">
        <f t="shared" si="13"/>
        <v>0.05746539958</v>
      </c>
      <c r="F39" s="15">
        <v>16580.0</v>
      </c>
      <c r="G39" s="13">
        <f t="shared" si="14"/>
        <v>0</v>
      </c>
      <c r="H39" s="15">
        <v>16580.0</v>
      </c>
      <c r="I39" s="13">
        <f t="shared" si="15"/>
        <v>0.03256936068</v>
      </c>
      <c r="J39" s="15">
        <v>17120.0</v>
      </c>
      <c r="K39" s="13">
        <f t="shared" si="16"/>
        <v>0</v>
      </c>
      <c r="L39" s="15">
        <v>17120.0</v>
      </c>
      <c r="M39" s="13">
        <f t="shared" si="17"/>
        <v>0.1052570093</v>
      </c>
      <c r="N39" s="15">
        <v>18922.0</v>
      </c>
      <c r="O39" s="13">
        <f t="shared" si="18"/>
        <v>-0.1333368566</v>
      </c>
      <c r="P39" s="135">
        <v>16399.0</v>
      </c>
      <c r="Q39" s="13">
        <f t="shared" si="19"/>
        <v>0</v>
      </c>
      <c r="R39" s="135">
        <v>16399.0</v>
      </c>
      <c r="S39" s="13">
        <f t="shared" si="20"/>
        <v>0</v>
      </c>
      <c r="T39" s="135">
        <v>16399.0</v>
      </c>
      <c r="U39" s="13">
        <f t="shared" si="21"/>
        <v>0</v>
      </c>
      <c r="V39" s="135">
        <v>16399.0</v>
      </c>
      <c r="W39" s="13">
        <f t="shared" si="22"/>
        <v>-0.04390511617</v>
      </c>
      <c r="X39" s="22">
        <v>15679.0</v>
      </c>
    </row>
    <row r="40">
      <c r="A40" s="1" t="s">
        <v>64</v>
      </c>
      <c r="B40" s="40">
        <f>B39/B33</f>
        <v>1.350706409</v>
      </c>
      <c r="C40" s="13">
        <f t="shared" si="12"/>
        <v>-0.5622430893</v>
      </c>
      <c r="D40" s="40">
        <f>D39/D33</f>
        <v>0.591281065</v>
      </c>
      <c r="E40" s="13">
        <f t="shared" si="13"/>
        <v>0.6625643306</v>
      </c>
      <c r="F40" s="40">
        <f>F39/F33</f>
        <v>0.983042808</v>
      </c>
      <c r="G40" s="13">
        <f t="shared" si="14"/>
        <v>0.002079496168</v>
      </c>
      <c r="H40" s="13">
        <f>H39/H33</f>
        <v>0.9850870418</v>
      </c>
      <c r="I40" s="13">
        <f t="shared" si="15"/>
        <v>0.02604645823</v>
      </c>
      <c r="J40" s="13">
        <f>J39/J33</f>
        <v>1.01074507</v>
      </c>
      <c r="K40" s="13">
        <f t="shared" si="16"/>
        <v>-0.03903324634</v>
      </c>
      <c r="L40" s="13">
        <f>L39/L33</f>
        <v>0.9712924089</v>
      </c>
      <c r="M40" s="13">
        <f t="shared" si="17"/>
        <v>0.5756438084</v>
      </c>
      <c r="N40" s="13">
        <f>N39/N33</f>
        <v>1.53041087</v>
      </c>
      <c r="O40" s="13">
        <f t="shared" si="18"/>
        <v>-0.3877250954</v>
      </c>
      <c r="P40" s="13">
        <f>P39/P33</f>
        <v>0.9370321696</v>
      </c>
      <c r="Q40" s="13">
        <f t="shared" si="19"/>
        <v>0</v>
      </c>
      <c r="R40" s="13">
        <f>R39/R33</f>
        <v>0.9370321696</v>
      </c>
      <c r="S40" s="13">
        <f t="shared" si="20"/>
        <v>0</v>
      </c>
      <c r="T40" s="13">
        <f>T39/T33</f>
        <v>0.9370321696</v>
      </c>
      <c r="U40" s="13">
        <f t="shared" si="21"/>
        <v>0</v>
      </c>
      <c r="V40" s="13">
        <f>V39/V33</f>
        <v>0.9370321696</v>
      </c>
      <c r="W40" s="13">
        <f t="shared" si="22"/>
        <v>-0.368985309</v>
      </c>
      <c r="X40" s="13">
        <f>X39/X33</f>
        <v>0.591281065</v>
      </c>
    </row>
    <row r="41">
      <c r="A41" s="4" t="s">
        <v>65</v>
      </c>
      <c r="B41" s="48">
        <v>1.80213030001E7</v>
      </c>
      <c r="C41" s="13">
        <f t="shared" si="12"/>
        <v>0</v>
      </c>
      <c r="D41" s="48">
        <v>1.80213030001E7</v>
      </c>
      <c r="E41" s="13">
        <f t="shared" si="13"/>
        <v>0</v>
      </c>
      <c r="F41" s="48">
        <v>1.80213030001E7</v>
      </c>
      <c r="G41" s="13">
        <f t="shared" si="14"/>
        <v>0</v>
      </c>
      <c r="H41" s="141">
        <v>1.80213030001E7</v>
      </c>
      <c r="I41" s="13">
        <f t="shared" si="15"/>
        <v>0</v>
      </c>
      <c r="J41" s="141">
        <v>1.80213030001E7</v>
      </c>
      <c r="K41" s="13">
        <f t="shared" si="16"/>
        <v>0</v>
      </c>
      <c r="L41" s="140">
        <v>1.80213030001E7</v>
      </c>
      <c r="M41" s="13">
        <f t="shared" si="17"/>
        <v>0</v>
      </c>
      <c r="N41" s="141">
        <v>1.80213030001E7</v>
      </c>
      <c r="O41" s="13">
        <f t="shared" si="18"/>
        <v>0</v>
      </c>
      <c r="P41" s="141">
        <v>1.80213030001E7</v>
      </c>
      <c r="Q41" s="13">
        <f t="shared" si="19"/>
        <v>0</v>
      </c>
      <c r="R41" s="141">
        <v>1.80213030001E7</v>
      </c>
      <c r="S41" s="13">
        <f t="shared" si="20"/>
        <v>0</v>
      </c>
      <c r="T41" s="141">
        <v>1.80213030001E7</v>
      </c>
      <c r="U41" s="13">
        <f t="shared" si="21"/>
        <v>0</v>
      </c>
      <c r="V41" s="141">
        <v>1.80213030001E7</v>
      </c>
      <c r="W41" s="13">
        <f t="shared" si="22"/>
        <v>0</v>
      </c>
      <c r="X41" s="141">
        <v>1.80213030001E7</v>
      </c>
    </row>
    <row r="42">
      <c r="A42" s="28" t="s">
        <v>66</v>
      </c>
      <c r="B42" s="49">
        <f>(B39*1000)/B41</f>
        <v>0.8700258799</v>
      </c>
      <c r="C42" s="13">
        <f t="shared" si="12"/>
        <v>0</v>
      </c>
      <c r="D42" s="49">
        <f>(D39*1000)/D41</f>
        <v>0.8700258799</v>
      </c>
      <c r="E42" s="13">
        <f t="shared" si="13"/>
        <v>0.05746539958</v>
      </c>
      <c r="F42" s="49">
        <f>(F39*1000)/F41</f>
        <v>0.9200222648</v>
      </c>
      <c r="G42" s="13">
        <f t="shared" si="14"/>
        <v>0</v>
      </c>
      <c r="H42" s="69">
        <f>(H39*1000)/H41</f>
        <v>0.9200222648</v>
      </c>
      <c r="I42" s="13">
        <f t="shared" si="15"/>
        <v>0.03256936068</v>
      </c>
      <c r="J42" s="69">
        <f>(J39*1000)/J41</f>
        <v>0.9499868017</v>
      </c>
      <c r="K42" s="13">
        <f t="shared" si="16"/>
        <v>0</v>
      </c>
      <c r="L42" s="69">
        <f>(L39*1000)/L41</f>
        <v>0.9499868017</v>
      </c>
      <c r="M42" s="13">
        <f t="shared" si="17"/>
        <v>0.1052570093</v>
      </c>
      <c r="N42" s="69">
        <f>(N39*1000)/N41</f>
        <v>1.049979571</v>
      </c>
      <c r="O42" s="13">
        <f t="shared" si="18"/>
        <v>-0.1333368566</v>
      </c>
      <c r="P42" s="69">
        <f>(P39*1000)/P41</f>
        <v>0.9099785959</v>
      </c>
      <c r="Q42" s="13">
        <f t="shared" si="19"/>
        <v>0</v>
      </c>
      <c r="R42" s="69">
        <f>(R39*1000)/R41</f>
        <v>0.9099785959</v>
      </c>
      <c r="S42" s="13">
        <f t="shared" si="20"/>
        <v>0</v>
      </c>
      <c r="T42" s="69">
        <f>(T39*1000)/T41</f>
        <v>0.9099785959</v>
      </c>
      <c r="U42" s="13">
        <f t="shared" si="21"/>
        <v>0</v>
      </c>
      <c r="V42" s="69">
        <f>(V39*1000)/V41</f>
        <v>0.9099785959</v>
      </c>
      <c r="W42" s="13">
        <f t="shared" si="22"/>
        <v>-0.04390511617</v>
      </c>
      <c r="X42" s="69">
        <f>(X39*1000)/X41</f>
        <v>0.8700258799</v>
      </c>
    </row>
    <row r="43">
      <c r="A43" s="28" t="s">
        <v>67</v>
      </c>
      <c r="B43" s="24">
        <f>(B33*1000)/B41</f>
        <v>0.6441265651</v>
      </c>
      <c r="C43" s="13">
        <f t="shared" si="12"/>
        <v>1.284372846</v>
      </c>
      <c r="D43" s="24">
        <f>(D33*1000)/D41</f>
        <v>1.471425235</v>
      </c>
      <c r="E43" s="13">
        <f t="shared" si="13"/>
        <v>-0.3639551986</v>
      </c>
      <c r="F43" s="24">
        <f>(F33*1000)/F41</f>
        <v>0.9358923714</v>
      </c>
      <c r="G43" s="13">
        <f t="shared" si="14"/>
        <v>-0.002075180837</v>
      </c>
      <c r="H43" s="22">
        <f>(H33*1000)/H41</f>
        <v>0.9339502255</v>
      </c>
      <c r="I43" s="13">
        <f t="shared" si="15"/>
        <v>0.006357316856</v>
      </c>
      <c r="J43" s="22">
        <f>(J33*1000)/J41</f>
        <v>0.939887643</v>
      </c>
      <c r="K43" s="13">
        <f t="shared" si="16"/>
        <v>0.04061872712</v>
      </c>
      <c r="L43" s="22">
        <f>(L33*1000)/L41</f>
        <v>0.9780646827</v>
      </c>
      <c r="M43" s="13">
        <f t="shared" si="17"/>
        <v>-0.2985362533</v>
      </c>
      <c r="N43" s="22">
        <f>(N33*1000)/N41</f>
        <v>0.6860769169</v>
      </c>
      <c r="O43" s="13">
        <f t="shared" si="18"/>
        <v>0.415480427</v>
      </c>
      <c r="P43" s="22">
        <f>(P33*1000)/P41</f>
        <v>0.9711284473</v>
      </c>
      <c r="Q43" s="13">
        <f t="shared" si="19"/>
        <v>0</v>
      </c>
      <c r="R43" s="22">
        <f>(R33*1000)/R41</f>
        <v>0.9711284473</v>
      </c>
      <c r="S43" s="13">
        <f t="shared" si="20"/>
        <v>0</v>
      </c>
      <c r="T43" s="22">
        <f>(T33*1000)/T41</f>
        <v>0.9711284473</v>
      </c>
      <c r="U43" s="13">
        <f t="shared" si="21"/>
        <v>0</v>
      </c>
      <c r="V43" s="22">
        <f>(V33*1000)/V41</f>
        <v>0.9711284473</v>
      </c>
      <c r="W43" s="13">
        <f t="shared" si="22"/>
        <v>0.5151705617</v>
      </c>
      <c r="X43" s="22">
        <f>(X33*1000)/X41</f>
        <v>1.471425235</v>
      </c>
    </row>
    <row r="44">
      <c r="A44" s="4" t="s">
        <v>68</v>
      </c>
      <c r="B44" s="51">
        <f>(B34*1000)/B41</f>
        <v>0.6441265651</v>
      </c>
      <c r="C44" s="13">
        <f t="shared" si="12"/>
        <v>1.284372846</v>
      </c>
      <c r="D44" s="51">
        <f>(D34*1000)/D41</f>
        <v>1.471425235</v>
      </c>
      <c r="E44" s="13">
        <f t="shared" si="13"/>
        <v>-0.3639551986</v>
      </c>
      <c r="F44" s="51">
        <f>(F34*1000)/F41</f>
        <v>0.9358923714</v>
      </c>
      <c r="G44" s="13">
        <f t="shared" si="14"/>
        <v>-0.002075180837</v>
      </c>
      <c r="H44" s="153">
        <f>(H34*1000)/H41</f>
        <v>0.9339502255</v>
      </c>
      <c r="I44" s="13">
        <f t="shared" si="15"/>
        <v>0.006357316856</v>
      </c>
      <c r="J44" s="153">
        <f>(J34*1000)/J41</f>
        <v>0.939887643</v>
      </c>
      <c r="K44" s="13">
        <f t="shared" si="16"/>
        <v>0.04061872712</v>
      </c>
      <c r="L44" s="153">
        <f>(L34*1000)/L41</f>
        <v>0.9780646827</v>
      </c>
      <c r="M44" s="13">
        <f t="shared" si="17"/>
        <v>-0.2985362533</v>
      </c>
      <c r="N44" s="153">
        <f>(N34*1000)/N41</f>
        <v>0.6860769169</v>
      </c>
      <c r="O44" s="13">
        <f t="shared" si="18"/>
        <v>0.415480427</v>
      </c>
      <c r="P44" s="153">
        <f>(P34*1000)/P41</f>
        <v>0.9711284473</v>
      </c>
      <c r="Q44" s="13">
        <f t="shared" si="19"/>
        <v>0</v>
      </c>
      <c r="R44" s="153">
        <f>(R34*1000)/R41</f>
        <v>0.9711284473</v>
      </c>
      <c r="S44" s="13">
        <f t="shared" si="20"/>
        <v>0</v>
      </c>
      <c r="T44" s="153">
        <f>(T34*1000)/T41</f>
        <v>0.9711284473</v>
      </c>
      <c r="U44" s="13">
        <f t="shared" si="21"/>
        <v>0</v>
      </c>
      <c r="V44" s="153">
        <f>(V34*1000)/V41</f>
        <v>0.9711284473</v>
      </c>
      <c r="W44" s="13">
        <f t="shared" si="22"/>
        <v>0.5151705617</v>
      </c>
      <c r="X44" s="153">
        <f>(X34*1000)/X41</f>
        <v>1.471425235</v>
      </c>
    </row>
    <row r="45">
      <c r="A45" s="52"/>
      <c r="B45" s="2" t="s">
        <v>1</v>
      </c>
      <c r="C45" s="3">
        <v>46050.0</v>
      </c>
      <c r="D45" s="2" t="s">
        <v>1</v>
      </c>
      <c r="E45" s="3">
        <v>46079.0</v>
      </c>
      <c r="F45" s="2" t="s">
        <v>1</v>
      </c>
      <c r="G45" s="3">
        <v>46101.0</v>
      </c>
      <c r="H45" s="2" t="s">
        <v>1</v>
      </c>
      <c r="I45" s="3">
        <v>46128.0</v>
      </c>
      <c r="J45" s="2" t="s">
        <v>1</v>
      </c>
      <c r="K45" s="3">
        <v>46161.0</v>
      </c>
      <c r="L45" s="2" t="s">
        <v>1</v>
      </c>
      <c r="M45" s="3">
        <v>46188.0</v>
      </c>
      <c r="N45" s="2" t="s">
        <v>1</v>
      </c>
      <c r="O45" s="3">
        <v>46218.0</v>
      </c>
      <c r="P45" s="2" t="s">
        <v>2</v>
      </c>
      <c r="Q45" s="3">
        <v>46195.0</v>
      </c>
      <c r="R45" s="2" t="s">
        <v>3</v>
      </c>
      <c r="S45" s="3">
        <v>46195.0</v>
      </c>
      <c r="T45" s="2" t="s">
        <v>3</v>
      </c>
      <c r="U45" s="3">
        <v>46195.0</v>
      </c>
      <c r="V45" s="2" t="s">
        <v>3</v>
      </c>
      <c r="W45" s="3">
        <v>46195.0</v>
      </c>
      <c r="X45" s="2" t="s">
        <v>3</v>
      </c>
      <c r="Y45" s="3">
        <v>46195.0</v>
      </c>
    </row>
    <row r="46">
      <c r="A46" s="1" t="s">
        <v>69</v>
      </c>
      <c r="B46" s="1" t="s">
        <v>5</v>
      </c>
      <c r="C46" s="53"/>
      <c r="D46" s="54" t="s">
        <v>6</v>
      </c>
      <c r="E46" s="55"/>
      <c r="F46" s="54" t="s">
        <v>7</v>
      </c>
      <c r="G46" s="55"/>
      <c r="H46" s="54" t="s">
        <v>8</v>
      </c>
      <c r="I46" s="55"/>
      <c r="J46" s="54" t="s">
        <v>9</v>
      </c>
      <c r="K46" s="55"/>
      <c r="L46" s="54" t="s">
        <v>10</v>
      </c>
      <c r="M46" s="55"/>
      <c r="N46" s="54" t="s">
        <v>11</v>
      </c>
      <c r="O46" s="55"/>
      <c r="P46" s="1" t="s">
        <v>12</v>
      </c>
      <c r="Q46" s="53"/>
      <c r="R46" s="1" t="s">
        <v>13</v>
      </c>
      <c r="S46" s="53"/>
      <c r="T46" s="1" t="s">
        <v>14</v>
      </c>
      <c r="U46" s="53"/>
      <c r="V46" s="1" t="s">
        <v>15</v>
      </c>
      <c r="W46" s="53"/>
      <c r="X46" s="1" t="s">
        <v>16</v>
      </c>
    </row>
    <row r="47">
      <c r="A47" s="4" t="s">
        <v>61</v>
      </c>
      <c r="B47" s="56">
        <v>3.836579398E7</v>
      </c>
      <c r="C47" s="13">
        <f t="shared" ref="C47:C50" si="23">IFERROR(SUM((D47/B47)-1),0)</f>
        <v>0.8998685526</v>
      </c>
      <c r="D47" s="57">
        <v>7.288996548E7</v>
      </c>
      <c r="E47" s="13">
        <f t="shared" ref="E47:E50" si="24">IFERROR(SUM((F47/D47)-1),0)</f>
        <v>-0.09135433796</v>
      </c>
      <c r="F47" s="57">
        <v>6.623115094E7</v>
      </c>
      <c r="G47" s="13">
        <f t="shared" ref="G47:G50" si="25">IFERROR(SUM((H47/F47)-1),0)</f>
        <v>-0.02232737026</v>
      </c>
      <c r="H47" s="56">
        <v>6.475238351E7</v>
      </c>
      <c r="I47" s="13">
        <f t="shared" ref="I47:I50" si="26">IFERROR(SUM((J47/H47)-1),0)</f>
        <v>0.07998793495</v>
      </c>
      <c r="J47" s="56">
        <v>6.993179295E7</v>
      </c>
      <c r="K47" s="13">
        <f t="shared" ref="K47:K50" si="27">IFERROR(SUM((L47/J47)-1),0)</f>
        <v>-0.02570155925</v>
      </c>
      <c r="L47" s="56">
        <v>6.813443683E7</v>
      </c>
      <c r="M47" s="13">
        <f t="shared" ref="M47:M50" si="28">IFERROR(SUM((N47/L47)-1),0)</f>
        <v>-0.002955796942</v>
      </c>
      <c r="N47" s="56">
        <v>6.793304527E7</v>
      </c>
      <c r="O47" s="13">
        <f t="shared" ref="O47:O50" si="29">IFERROR(SUM((P47/N47)-1),0)</f>
        <v>0.06136466728</v>
      </c>
      <c r="P47" s="56">
        <v>7.210173399E7</v>
      </c>
      <c r="Q47" s="13">
        <f t="shared" ref="Q47:Q50" si="30">IFERROR(SUM((R47/P47)-1),0)</f>
        <v>0</v>
      </c>
      <c r="R47" s="56">
        <v>7.210173399E7</v>
      </c>
      <c r="S47" s="13">
        <f t="shared" ref="S47:S50" si="31">IFERROR(SUM((T47/R47)-1),0)</f>
        <v>0</v>
      </c>
      <c r="T47" s="56">
        <v>7.210173399E7</v>
      </c>
      <c r="U47" s="13">
        <f t="shared" ref="U47:U50" si="32">IFERROR(SUM((V47/T47)-1),0)</f>
        <v>0.01093221267</v>
      </c>
      <c r="V47" s="146">
        <v>7.288996548E7</v>
      </c>
      <c r="W47" s="13">
        <f t="shared" ref="W47:W50" si="33">IFERROR(SUM((X47/V47)-1),0)</f>
        <v>0</v>
      </c>
      <c r="X47" s="146">
        <v>7.288996548E7</v>
      </c>
    </row>
    <row r="48">
      <c r="A48" s="4" t="s">
        <v>70</v>
      </c>
      <c r="B48" s="58">
        <v>2.32388112305E9</v>
      </c>
      <c r="C48" s="13">
        <f t="shared" si="23"/>
        <v>-0.01280213931</v>
      </c>
      <c r="D48" s="58">
        <v>2.29413047318E9</v>
      </c>
      <c r="E48" s="13">
        <f t="shared" si="24"/>
        <v>0.001832311069</v>
      </c>
      <c r="F48" s="58">
        <v>2.29833403384E9</v>
      </c>
      <c r="G48" s="13">
        <f t="shared" si="25"/>
        <v>0.001260874893</v>
      </c>
      <c r="H48" s="154">
        <v>2.30123194552E9</v>
      </c>
      <c r="I48" s="13">
        <f t="shared" si="26"/>
        <v>0.0006710317763</v>
      </c>
      <c r="J48" s="154">
        <v>2.30277614528E9</v>
      </c>
      <c r="K48" s="13">
        <f t="shared" si="27"/>
        <v>0.0006529861416</v>
      </c>
      <c r="L48" s="154">
        <v>2.30427982619E9</v>
      </c>
      <c r="M48" s="13">
        <f t="shared" si="28"/>
        <v>0.0002663733818</v>
      </c>
      <c r="N48" s="154">
        <v>2.304893625E9</v>
      </c>
      <c r="O48" s="13">
        <f t="shared" si="29"/>
        <v>-0.001024285752</v>
      </c>
      <c r="P48" s="154">
        <v>2.3025327553E9</v>
      </c>
      <c r="Q48" s="13">
        <f t="shared" si="30"/>
        <v>0</v>
      </c>
      <c r="R48" s="154">
        <v>2.3025327553E9</v>
      </c>
      <c r="S48" s="13">
        <f t="shared" si="31"/>
        <v>0</v>
      </c>
      <c r="T48" s="154">
        <v>2.3025327553E9</v>
      </c>
      <c r="U48" s="13">
        <f t="shared" si="32"/>
        <v>-0.003649147705</v>
      </c>
      <c r="V48" s="153">
        <v>2.29413047318E9</v>
      </c>
      <c r="W48" s="13">
        <f t="shared" si="33"/>
        <v>0</v>
      </c>
      <c r="X48" s="153">
        <v>2.29413047318E9</v>
      </c>
    </row>
    <row r="49">
      <c r="A49" s="4" t="s">
        <v>71</v>
      </c>
      <c r="B49" s="58">
        <v>1.2003828459E8</v>
      </c>
      <c r="C49" s="13">
        <f t="shared" si="23"/>
        <v>0.6728925462</v>
      </c>
      <c r="D49" s="58">
        <v>2.0081115155E8</v>
      </c>
      <c r="E49" s="13">
        <f t="shared" si="24"/>
        <v>0.01131442678</v>
      </c>
      <c r="F49" s="58">
        <v>2.0308321462E8</v>
      </c>
      <c r="G49" s="13">
        <f t="shared" si="25"/>
        <v>-0.01925113244</v>
      </c>
      <c r="H49" s="154">
        <v>1.9917363276E8</v>
      </c>
      <c r="I49" s="13">
        <f t="shared" si="26"/>
        <v>0.02410810047</v>
      </c>
      <c r="J49" s="154">
        <v>2.0397533071E8</v>
      </c>
      <c r="K49" s="13">
        <f t="shared" si="27"/>
        <v>-0.01125388831</v>
      </c>
      <c r="L49" s="154">
        <v>2.0167981512E8</v>
      </c>
      <c r="M49" s="13">
        <f t="shared" si="28"/>
        <v>-0.04432291826</v>
      </c>
      <c r="N49" s="154">
        <v>1.9274077716E8</v>
      </c>
      <c r="O49" s="13">
        <f t="shared" si="29"/>
        <v>-0.03417357202</v>
      </c>
      <c r="P49" s="154">
        <v>1.8615413633E8</v>
      </c>
      <c r="Q49" s="13">
        <f t="shared" si="30"/>
        <v>0</v>
      </c>
      <c r="R49" s="154">
        <v>1.8615413633E8</v>
      </c>
      <c r="S49" s="13">
        <f t="shared" si="31"/>
        <v>0</v>
      </c>
      <c r="T49" s="154">
        <v>1.8615413633E8</v>
      </c>
      <c r="U49" s="13">
        <f t="shared" si="32"/>
        <v>0.07873590944</v>
      </c>
      <c r="V49" s="153">
        <v>2.0081115155E8</v>
      </c>
      <c r="W49" s="13">
        <f t="shared" si="33"/>
        <v>0</v>
      </c>
      <c r="X49" s="153">
        <v>2.0081115155E8</v>
      </c>
      <c r="Z49" s="13"/>
    </row>
    <row r="50">
      <c r="A50" s="59" t="s">
        <v>72</v>
      </c>
      <c r="B50" s="24">
        <f>SUM(B47:B49)</f>
        <v>2482285202</v>
      </c>
      <c r="C50" s="13">
        <f t="shared" si="23"/>
        <v>0.03446275574</v>
      </c>
      <c r="D50" s="24">
        <f>SUM(D47:D49)</f>
        <v>2567831590</v>
      </c>
      <c r="E50" s="13">
        <f t="shared" si="24"/>
        <v>-0.00007134066373</v>
      </c>
      <c r="F50" s="24">
        <f>SUM(F47:F49)</f>
        <v>2567648399</v>
      </c>
      <c r="G50" s="13">
        <f t="shared" si="25"/>
        <v>-0.0009699293761</v>
      </c>
      <c r="H50" s="22">
        <f>SUM(H47:H49)</f>
        <v>2565157962</v>
      </c>
      <c r="I50" s="13">
        <f t="shared" si="26"/>
        <v>0.004493020438</v>
      </c>
      <c r="J50" s="22">
        <f>SUM(J47:J49)</f>
        <v>2576683269</v>
      </c>
      <c r="K50" s="13">
        <f t="shared" si="27"/>
        <v>-0.00100485412</v>
      </c>
      <c r="L50" s="22">
        <f>SUM(L47:L49)</f>
        <v>2574094078</v>
      </c>
      <c r="M50" s="13">
        <f t="shared" si="28"/>
        <v>-0.003312478274</v>
      </c>
      <c r="N50" s="22">
        <f>SUM(N47:N49)</f>
        <v>2565567447</v>
      </c>
      <c r="O50" s="13">
        <f t="shared" si="29"/>
        <v>-0.001862676351</v>
      </c>
      <c r="P50" s="22">
        <f>SUM(P47:P49)</f>
        <v>2560788626</v>
      </c>
      <c r="Q50" s="13">
        <f t="shared" si="30"/>
        <v>0</v>
      </c>
      <c r="R50" s="22">
        <f>SUM(R47:R49)</f>
        <v>2560788626</v>
      </c>
      <c r="S50" s="13">
        <f t="shared" si="31"/>
        <v>0</v>
      </c>
      <c r="T50" s="22">
        <f>SUM(T47:T49)</f>
        <v>2560788626</v>
      </c>
      <c r="U50" s="13">
        <f t="shared" si="32"/>
        <v>0.002750310791</v>
      </c>
      <c r="V50" s="22">
        <f>SUM(V47:V49)</f>
        <v>2567831590</v>
      </c>
      <c r="W50" s="13">
        <f t="shared" si="33"/>
        <v>0</v>
      </c>
      <c r="X50" s="22">
        <f>SUM(X47:X49)</f>
        <v>2567831590</v>
      </c>
      <c r="Z50" s="13"/>
    </row>
    <row r="51"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25" t="s">
        <v>73</v>
      </c>
      <c r="B52" s="15">
        <v>2.6985307215E8</v>
      </c>
      <c r="C52" s="13">
        <f t="shared" ref="C52:C62" si="34">IFERROR(SUM((D52/B52)-1),0)</f>
        <v>0.003410758094</v>
      </c>
      <c r="D52" s="15">
        <v>2.707734757E8</v>
      </c>
      <c r="E52" s="13">
        <f t="shared" ref="E52:E62" si="35">IFERROR(SUM((F52/D52)-1),0)</f>
        <v>0.000897714074</v>
      </c>
      <c r="F52" s="15">
        <v>2.7101655286E8</v>
      </c>
      <c r="G52" s="13">
        <f t="shared" ref="G52:G62" si="36">IFERROR(SUM((H52/F52)-1),0)</f>
        <v>0.005954581641</v>
      </c>
      <c r="H52" s="135">
        <v>2.7263034305E8</v>
      </c>
      <c r="I52" s="13">
        <f t="shared" ref="I52:I62" si="37">IFERROR(SUM((J52/H52)-1),0)</f>
        <v>0.006565542888</v>
      </c>
      <c r="J52" s="135">
        <v>2.7442030926E8</v>
      </c>
      <c r="K52" s="13">
        <f t="shared" ref="K52:K62" si="38">IFERROR(SUM((L52/J52)-1),0)</f>
        <v>0.00688468155</v>
      </c>
      <c r="L52" s="135">
        <v>2.763096057E8</v>
      </c>
      <c r="M52" s="13">
        <f t="shared" ref="M52:M62" si="39">IFERROR(SUM((N52/L52)-1),0)</f>
        <v>0.005699074399</v>
      </c>
      <c r="N52" s="135">
        <v>2.778843147E8</v>
      </c>
      <c r="O52" s="13">
        <f t="shared" ref="O52:O62" si="40">IFERROR(SUM((P52/N52)-1),0)</f>
        <v>0.003313517789</v>
      </c>
      <c r="P52" s="135">
        <v>2.7880508932E8</v>
      </c>
      <c r="Q52" s="13">
        <f t="shared" ref="Q52:Q62" si="41">IFERROR(SUM((R52/P52)-1),0)</f>
        <v>0</v>
      </c>
      <c r="R52" s="135">
        <v>2.7880508932E8</v>
      </c>
      <c r="S52" s="13">
        <f t="shared" ref="S52:S62" si="42">IFERROR(SUM((T52/R52)-1),0)</f>
        <v>0</v>
      </c>
      <c r="T52" s="135">
        <v>2.7880508932E8</v>
      </c>
      <c r="U52" s="13">
        <f t="shared" ref="U52:U62" si="43">IFERROR(SUM((V52/T52)-1),0)</f>
        <v>-0.02880727048</v>
      </c>
      <c r="V52" s="22">
        <v>2.707734757E8</v>
      </c>
      <c r="W52" s="13">
        <f t="shared" ref="W52:W60" si="44">IFERROR(SUM((X52/V52)-1),0)</f>
        <v>0</v>
      </c>
      <c r="X52" s="22">
        <v>2.707734757E8</v>
      </c>
    </row>
    <row r="53">
      <c r="A53" s="25" t="s">
        <v>74</v>
      </c>
      <c r="B53" s="15">
        <v>9.430651076E7</v>
      </c>
      <c r="C53" s="13">
        <f t="shared" si="34"/>
        <v>0</v>
      </c>
      <c r="D53" s="15">
        <v>9.430651076E7</v>
      </c>
      <c r="E53" s="13">
        <f t="shared" si="35"/>
        <v>0</v>
      </c>
      <c r="F53" s="15">
        <v>9.430651076E7</v>
      </c>
      <c r="G53" s="13">
        <f t="shared" si="36"/>
        <v>0</v>
      </c>
      <c r="H53" s="135">
        <v>9.430651076E7</v>
      </c>
      <c r="I53" s="13">
        <f t="shared" si="37"/>
        <v>0</v>
      </c>
      <c r="J53" s="135">
        <v>9.430651076E7</v>
      </c>
      <c r="K53" s="13">
        <f t="shared" si="38"/>
        <v>-0.01060372176</v>
      </c>
      <c r="L53" s="135">
        <v>9.330651076E7</v>
      </c>
      <c r="M53" s="13">
        <f t="shared" si="39"/>
        <v>0</v>
      </c>
      <c r="N53" s="135">
        <v>9.330651076E7</v>
      </c>
      <c r="O53" s="13">
        <f t="shared" si="40"/>
        <v>0</v>
      </c>
      <c r="P53" s="135">
        <v>9.330651076E7</v>
      </c>
      <c r="Q53" s="13">
        <f t="shared" si="41"/>
        <v>0</v>
      </c>
      <c r="R53" s="135">
        <v>9.330651076E7</v>
      </c>
      <c r="S53" s="13">
        <f t="shared" si="42"/>
        <v>0</v>
      </c>
      <c r="T53" s="135">
        <v>9.330651076E7</v>
      </c>
      <c r="U53" s="13">
        <f t="shared" si="43"/>
        <v>0.01071736572</v>
      </c>
      <c r="V53" s="22">
        <v>9.430651076E7</v>
      </c>
      <c r="W53" s="13">
        <f t="shared" si="44"/>
        <v>0</v>
      </c>
      <c r="X53" s="22">
        <v>9.430651076E7</v>
      </c>
    </row>
    <row r="54">
      <c r="A54" s="25" t="s">
        <v>75</v>
      </c>
      <c r="B54" s="26">
        <f>SUM(B52:B53)</f>
        <v>364159582.9</v>
      </c>
      <c r="C54" s="27">
        <f t="shared" si="34"/>
        <v>0.0025274731</v>
      </c>
      <c r="D54" s="26">
        <f>SUM(D52:D53)</f>
        <v>365079986.5</v>
      </c>
      <c r="E54" s="27">
        <f t="shared" si="35"/>
        <v>0.0006658189137</v>
      </c>
      <c r="F54" s="26">
        <f>SUM(F52:F53)</f>
        <v>365323063.6</v>
      </c>
      <c r="G54" s="27">
        <f t="shared" si="36"/>
        <v>0.004417433091</v>
      </c>
      <c r="H54" s="26">
        <f>SUM(H52:H53)</f>
        <v>366936853.8</v>
      </c>
      <c r="I54" s="27">
        <f t="shared" si="37"/>
        <v>0.004878131459</v>
      </c>
      <c r="J54" s="26">
        <f>SUM(J52:J53)</f>
        <v>368726820</v>
      </c>
      <c r="K54" s="27">
        <f t="shared" si="38"/>
        <v>0.002411802971</v>
      </c>
      <c r="L54" s="26">
        <f>SUM(L52:L53)</f>
        <v>369616116.5</v>
      </c>
      <c r="M54" s="27">
        <f t="shared" si="39"/>
        <v>0.004260390524</v>
      </c>
      <c r="N54" s="26">
        <f>SUM(N52:N53)</f>
        <v>371190825.5</v>
      </c>
      <c r="O54" s="27">
        <f t="shared" si="40"/>
        <v>0.002480596386</v>
      </c>
      <c r="P54" s="26">
        <f>SUM(P52:P53)</f>
        <v>372111600.1</v>
      </c>
      <c r="Q54" s="27">
        <f t="shared" si="41"/>
        <v>0</v>
      </c>
      <c r="R54" s="26">
        <f>SUM(R52:R53)</f>
        <v>372111600.1</v>
      </c>
      <c r="S54" s="27">
        <f t="shared" si="42"/>
        <v>0</v>
      </c>
      <c r="T54" s="26">
        <f>SUM(T52:T53)</f>
        <v>372111600.1</v>
      </c>
      <c r="U54" s="27">
        <f t="shared" si="43"/>
        <v>-0.01889651819</v>
      </c>
      <c r="V54" s="26">
        <f>SUM(V52:V53)</f>
        <v>365079986.5</v>
      </c>
      <c r="W54" s="27">
        <f t="shared" si="44"/>
        <v>0</v>
      </c>
      <c r="X54" s="26">
        <f>SUM(X52:X53)</f>
        <v>365079986.5</v>
      </c>
    </row>
    <row r="55">
      <c r="A55" s="1" t="s">
        <v>76</v>
      </c>
      <c r="B55" s="62">
        <f>(B22*1000)/B67</f>
        <v>0.00005582654463</v>
      </c>
      <c r="C55" s="31">
        <f t="shared" si="34"/>
        <v>9.812513498</v>
      </c>
      <c r="D55" s="62">
        <f>(D22*1000)/D67</f>
        <v>0.0006036252674</v>
      </c>
      <c r="E55" s="31">
        <f t="shared" si="35"/>
        <v>0.4311384737</v>
      </c>
      <c r="F55" s="62">
        <f>(F22*1000)/F67</f>
        <v>0.0008638713439</v>
      </c>
      <c r="G55" s="31">
        <f t="shared" si="36"/>
        <v>-0.1676247555</v>
      </c>
      <c r="H55" s="62">
        <f>(H22*1000)/H67</f>
        <v>0.0007190651211</v>
      </c>
      <c r="I55" s="31">
        <f t="shared" si="37"/>
        <v>0.1643344707</v>
      </c>
      <c r="J55" s="62">
        <f>(J22*1000)/J67</f>
        <v>0.0008372323071</v>
      </c>
      <c r="K55" s="31">
        <f t="shared" si="38"/>
        <v>-0.03525406653</v>
      </c>
      <c r="L55" s="62">
        <f>(L22*1000)/L67</f>
        <v>0.0008077164637</v>
      </c>
      <c r="M55" s="31">
        <f t="shared" si="39"/>
        <v>0.01370158118</v>
      </c>
      <c r="N55" s="62">
        <f>(N22*1000)/N67</f>
        <v>0.0008187834564</v>
      </c>
      <c r="O55" s="31">
        <f t="shared" si="40"/>
        <v>0.09947989649</v>
      </c>
      <c r="P55" s="62">
        <f>(P22*1000)/P67</f>
        <v>0.0009002359499</v>
      </c>
      <c r="Q55" s="31">
        <f t="shared" si="41"/>
        <v>0</v>
      </c>
      <c r="R55" s="62">
        <f>(R22*1000)/R67</f>
        <v>0.0009002359499</v>
      </c>
      <c r="S55" s="31">
        <f t="shared" si="42"/>
        <v>0</v>
      </c>
      <c r="T55" s="62">
        <f>(T22*1000)/T67</f>
        <v>0.0009002359499</v>
      </c>
      <c r="U55" s="31">
        <f t="shared" si="43"/>
        <v>-0.01506506775</v>
      </c>
      <c r="V55" s="62">
        <f>(V22*1000)/V67</f>
        <v>0.0008866738343</v>
      </c>
      <c r="W55" s="31">
        <f t="shared" si="44"/>
        <v>-0.3192251264</v>
      </c>
      <c r="X55" s="62">
        <f>(X22*1000)/X67</f>
        <v>0.0006036252674</v>
      </c>
      <c r="Y55" s="13"/>
    </row>
    <row r="56">
      <c r="A56" s="1" t="s">
        <v>77</v>
      </c>
      <c r="B56" s="31">
        <f>B54/B50</f>
        <v>0.1467033614</v>
      </c>
      <c r="C56" s="31">
        <f t="shared" si="34"/>
        <v>-0.03087137015</v>
      </c>
      <c r="D56" s="31">
        <f>D54/D50</f>
        <v>0.1421744276</v>
      </c>
      <c r="E56" s="31">
        <f t="shared" si="35"/>
        <v>0.0007372121706</v>
      </c>
      <c r="F56" s="31">
        <f>F54/F50</f>
        <v>0.1422792403</v>
      </c>
      <c r="G56" s="31">
        <f t="shared" si="36"/>
        <v>0.005392592901</v>
      </c>
      <c r="H56" s="31">
        <f>H54/H50</f>
        <v>0.1430464943</v>
      </c>
      <c r="I56" s="31">
        <f t="shared" si="37"/>
        <v>0.0003833884484</v>
      </c>
      <c r="J56" s="31">
        <f>J54/J50</f>
        <v>0.1431013367</v>
      </c>
      <c r="K56" s="31">
        <f t="shared" si="38"/>
        <v>0.003420093787</v>
      </c>
      <c r="L56" s="31">
        <f>L54/L50</f>
        <v>0.1435907567</v>
      </c>
      <c r="M56" s="31">
        <f t="shared" si="39"/>
        <v>0.007598037131</v>
      </c>
      <c r="N56" s="31">
        <f>N54/N50</f>
        <v>0.1446817646</v>
      </c>
      <c r="O56" s="31">
        <f t="shared" si="40"/>
        <v>0.004351377945</v>
      </c>
      <c r="P56" s="31">
        <f>P54/P50</f>
        <v>0.1453113296</v>
      </c>
      <c r="Q56" s="31">
        <f t="shared" si="41"/>
        <v>0</v>
      </c>
      <c r="R56" s="31">
        <f>R54/R50</f>
        <v>0.1453113296</v>
      </c>
      <c r="S56" s="31">
        <f t="shared" si="42"/>
        <v>0</v>
      </c>
      <c r="T56" s="31">
        <f>T54/T50</f>
        <v>0.1453113296</v>
      </c>
      <c r="U56" s="31">
        <f t="shared" si="43"/>
        <v>-0.02158745677</v>
      </c>
      <c r="V56" s="31">
        <f>V54/V50</f>
        <v>0.1421744276</v>
      </c>
      <c r="W56" s="31">
        <f t="shared" si="44"/>
        <v>0</v>
      </c>
      <c r="X56" s="31">
        <f>X54/X50</f>
        <v>0.1421744276</v>
      </c>
    </row>
    <row r="57">
      <c r="A57" s="1" t="s">
        <v>78</v>
      </c>
      <c r="B57" s="31">
        <f>B54/B67</f>
        <v>0.1737587283</v>
      </c>
      <c r="C57" s="31">
        <f t="shared" si="34"/>
        <v>0.0002062261468</v>
      </c>
      <c r="D57" s="31">
        <f>D54/D67</f>
        <v>0.1737945619</v>
      </c>
      <c r="E57" s="31">
        <f t="shared" si="35"/>
        <v>0.002147811988</v>
      </c>
      <c r="F57" s="31">
        <f>F54/F67</f>
        <v>0.1741678399</v>
      </c>
      <c r="G57" s="31">
        <f t="shared" si="36"/>
        <v>0.005927355927</v>
      </c>
      <c r="H57" s="31">
        <f>H54/H67</f>
        <v>0.1752001947</v>
      </c>
      <c r="I57" s="31">
        <f t="shared" si="37"/>
        <v>0.007456521672</v>
      </c>
      <c r="J57" s="31">
        <f>J54/J67</f>
        <v>0.1765065787</v>
      </c>
      <c r="K57" s="31">
        <f t="shared" si="38"/>
        <v>0.004997130601</v>
      </c>
      <c r="L57" s="31">
        <f>L54/L67</f>
        <v>0.1773886052</v>
      </c>
      <c r="M57" s="31">
        <f t="shared" si="39"/>
        <v>0.01260534395</v>
      </c>
      <c r="N57" s="31">
        <f>N54/N67</f>
        <v>0.1796246496</v>
      </c>
      <c r="O57" s="31">
        <f t="shared" si="40"/>
        <v>0.001576094461</v>
      </c>
      <c r="P57" s="31">
        <f>P54/P67</f>
        <v>0.179907755</v>
      </c>
      <c r="Q57" s="31">
        <f t="shared" si="41"/>
        <v>0</v>
      </c>
      <c r="R57" s="31">
        <f>R54/R67</f>
        <v>0.179907755</v>
      </c>
      <c r="S57" s="31">
        <f t="shared" si="42"/>
        <v>0</v>
      </c>
      <c r="T57" s="31">
        <f>T54/T67</f>
        <v>0.179907755</v>
      </c>
      <c r="U57" s="31">
        <f t="shared" si="43"/>
        <v>-0.03367690861</v>
      </c>
      <c r="V57" s="31">
        <f>V54/V67</f>
        <v>0.1738490179</v>
      </c>
      <c r="W57" s="31">
        <f t="shared" si="44"/>
        <v>-0.0003132377176</v>
      </c>
      <c r="X57" s="31">
        <f>X54/X67</f>
        <v>0.1737945619</v>
      </c>
    </row>
    <row r="58">
      <c r="A58" s="4" t="s">
        <v>79</v>
      </c>
      <c r="B58" s="15">
        <f>B39*1000</f>
        <v>15679000</v>
      </c>
      <c r="C58" s="13">
        <f t="shared" si="34"/>
        <v>0</v>
      </c>
      <c r="D58" s="15">
        <f>D39*1000</f>
        <v>15679000</v>
      </c>
      <c r="E58" s="13">
        <f t="shared" si="35"/>
        <v>0.05746539958</v>
      </c>
      <c r="F58" s="15">
        <f>F39*1000</f>
        <v>16580000</v>
      </c>
      <c r="G58" s="13">
        <f t="shared" si="36"/>
        <v>0</v>
      </c>
      <c r="H58" s="15">
        <f>H39*1000</f>
        <v>16580000</v>
      </c>
      <c r="I58" s="13">
        <f t="shared" si="37"/>
        <v>0.03256936068</v>
      </c>
      <c r="J58" s="15">
        <f>J39*1000</f>
        <v>17120000</v>
      </c>
      <c r="K58" s="13">
        <f t="shared" si="38"/>
        <v>0</v>
      </c>
      <c r="L58" s="15">
        <f>L39*1000</f>
        <v>17120000</v>
      </c>
      <c r="M58" s="13">
        <f t="shared" si="39"/>
        <v>0.1052570093</v>
      </c>
      <c r="N58" s="15">
        <f>N39*1000</f>
        <v>18922000</v>
      </c>
      <c r="O58" s="13">
        <f t="shared" si="40"/>
        <v>-0.1333368566</v>
      </c>
      <c r="P58" s="15">
        <f>P39*1000</f>
        <v>16399000</v>
      </c>
      <c r="Q58" s="13">
        <f t="shared" si="41"/>
        <v>0</v>
      </c>
      <c r="R58" s="15">
        <f>R39*1000</f>
        <v>16399000</v>
      </c>
      <c r="S58" s="13">
        <f t="shared" si="42"/>
        <v>0</v>
      </c>
      <c r="T58" s="15">
        <f>T39*1000</f>
        <v>16399000</v>
      </c>
      <c r="U58" s="13">
        <f t="shared" si="43"/>
        <v>0</v>
      </c>
      <c r="V58" s="15">
        <f>V39*1000</f>
        <v>16399000</v>
      </c>
      <c r="W58" s="13">
        <f t="shared" si="44"/>
        <v>-0.04390511617</v>
      </c>
      <c r="X58" s="15">
        <f>X39*1000</f>
        <v>15679000</v>
      </c>
    </row>
    <row r="59">
      <c r="A59" s="4" t="s">
        <v>80</v>
      </c>
      <c r="B59" s="15">
        <f>B24*1000</f>
        <v>1834000</v>
      </c>
      <c r="C59" s="13">
        <f t="shared" si="34"/>
        <v>0.01090512541</v>
      </c>
      <c r="D59" s="15">
        <f>D24*1000</f>
        <v>1854000</v>
      </c>
      <c r="E59" s="13">
        <f t="shared" si="35"/>
        <v>0.02319309601</v>
      </c>
      <c r="F59" s="15">
        <f>F24*1000</f>
        <v>1897000</v>
      </c>
      <c r="G59" s="13">
        <f t="shared" si="36"/>
        <v>-0.05587770163</v>
      </c>
      <c r="H59" s="15">
        <f>H24*1000</f>
        <v>1791000</v>
      </c>
      <c r="I59" s="13">
        <f t="shared" si="37"/>
        <v>0.02847571189</v>
      </c>
      <c r="J59" s="15">
        <f>J24*1000</f>
        <v>1842000</v>
      </c>
      <c r="K59" s="13">
        <f t="shared" si="38"/>
        <v>-0.0124864278</v>
      </c>
      <c r="L59" s="15">
        <f>L24*1000</f>
        <v>1819000</v>
      </c>
      <c r="M59" s="13">
        <f t="shared" si="39"/>
        <v>2.821330401</v>
      </c>
      <c r="N59" s="15">
        <f>N24*1000</f>
        <v>6951000</v>
      </c>
      <c r="O59" s="13">
        <f t="shared" si="40"/>
        <v>-0.7421953676</v>
      </c>
      <c r="P59" s="15">
        <f>P24*1000</f>
        <v>1792000</v>
      </c>
      <c r="Q59" s="13">
        <f t="shared" si="41"/>
        <v>0</v>
      </c>
      <c r="R59" s="15">
        <f>R24*1000</f>
        <v>1792000</v>
      </c>
      <c r="S59" s="13">
        <f t="shared" si="42"/>
        <v>0</v>
      </c>
      <c r="T59" s="15">
        <f>T24*1000</f>
        <v>1792000</v>
      </c>
      <c r="U59" s="13">
        <f t="shared" si="43"/>
        <v>0</v>
      </c>
      <c r="V59" s="15">
        <f>V24*1000</f>
        <v>1792000</v>
      </c>
      <c r="W59" s="13">
        <f t="shared" si="44"/>
        <v>0.03459821429</v>
      </c>
      <c r="X59" s="15">
        <f>X24*1000</f>
        <v>1854000</v>
      </c>
    </row>
    <row r="60">
      <c r="A60" s="1" t="s">
        <v>81</v>
      </c>
      <c r="B60" s="62">
        <f>IFERROR(B59/(B34*1000),0)</f>
        <v>0.1579944866</v>
      </c>
      <c r="C60" s="31">
        <f t="shared" si="34"/>
        <v>-0.5574692953</v>
      </c>
      <c r="D60" s="62">
        <f>IFERROR(D59/(D34*1000),0)</f>
        <v>0.06991741147</v>
      </c>
      <c r="E60" s="31">
        <f t="shared" si="35"/>
        <v>0.6086808566</v>
      </c>
      <c r="F60" s="62">
        <f>IFERROR(F59/(F34*1000),0)</f>
        <v>0.1124748014</v>
      </c>
      <c r="G60" s="31">
        <f t="shared" si="36"/>
        <v>-0.05391440293</v>
      </c>
      <c r="H60" s="62">
        <f>IFERROR(H59/(H34*1000),0)</f>
        <v>0.1064107896</v>
      </c>
      <c r="I60" s="31">
        <f t="shared" si="37"/>
        <v>0.02197866967</v>
      </c>
      <c r="J60" s="62">
        <f>IFERROR(J59/(J34*1000),0)</f>
        <v>0.1087495572</v>
      </c>
      <c r="K60" s="31">
        <f t="shared" si="38"/>
        <v>-0.05103228832</v>
      </c>
      <c r="L60" s="62">
        <f>IFERROR(L59/(L34*1000),0)</f>
        <v>0.1031998185</v>
      </c>
      <c r="M60" s="31">
        <f t="shared" si="39"/>
        <v>4.447652026</v>
      </c>
      <c r="N60" s="62">
        <f>IFERROR(N59/(N34*1000),0)</f>
        <v>0.5621967001</v>
      </c>
      <c r="O60" s="31">
        <f t="shared" si="40"/>
        <v>-0.8178677518</v>
      </c>
      <c r="P60" s="62">
        <f>IFERROR(P59/(P34*1000),0)</f>
        <v>0.1023941489</v>
      </c>
      <c r="Q60" s="31">
        <f t="shared" si="41"/>
        <v>0</v>
      </c>
      <c r="R60" s="62">
        <f>IFERROR(R59/(R34*1000),0)</f>
        <v>0.1023941489</v>
      </c>
      <c r="S60" s="31">
        <f t="shared" si="42"/>
        <v>0</v>
      </c>
      <c r="T60" s="62">
        <f>IFERROR(T59/(T34*1000),0)</f>
        <v>0.1023941489</v>
      </c>
      <c r="U60" s="31">
        <f t="shared" si="43"/>
        <v>0</v>
      </c>
      <c r="V60" s="62">
        <f>IFERROR(V59/(V34*1000),0)</f>
        <v>0.1023941489</v>
      </c>
      <c r="W60" s="31">
        <f t="shared" si="44"/>
        <v>-0.3171737622</v>
      </c>
      <c r="X60" s="62">
        <f>IFERROR(X59/(X34*1000),0)</f>
        <v>0.06991741147</v>
      </c>
      <c r="Y60" s="13"/>
    </row>
    <row r="61">
      <c r="A61" s="25" t="s">
        <v>82</v>
      </c>
      <c r="B61" s="63">
        <f>IFERROR(B59/(B88*B41),0)*12</f>
        <v>0.01035811155</v>
      </c>
      <c r="C61" s="27">
        <f t="shared" si="34"/>
        <v>-0.003463927377</v>
      </c>
      <c r="D61" s="63">
        <f>IFERROR(D59/(D88*D41),0)*12</f>
        <v>0.0103222318</v>
      </c>
      <c r="E61" s="27">
        <f t="shared" si="35"/>
        <v>-0.01311375579</v>
      </c>
      <c r="F61" s="63">
        <f>IFERROR(F59/(F88*F41),0)*12</f>
        <v>0.01018686857</v>
      </c>
      <c r="G61" s="27">
        <f t="shared" si="36"/>
        <v>0.01360316015</v>
      </c>
      <c r="H61" s="63">
        <f>IFERROR(H59/(H88*H41),0)*12</f>
        <v>0.01032544218</v>
      </c>
      <c r="I61" s="27">
        <f t="shared" si="37"/>
        <v>0.005833570903</v>
      </c>
      <c r="J61" s="63">
        <f>IFERROR(J59/(J88*J41),0)*12</f>
        <v>0.01038567638</v>
      </c>
      <c r="K61" s="27">
        <f t="shared" si="38"/>
        <v>-0.0141559351</v>
      </c>
      <c r="L61" s="63">
        <f>IFERROR(L59/(L88*L41),0)*12</f>
        <v>0.01023865742</v>
      </c>
      <c r="M61" s="27">
        <f t="shared" si="39"/>
        <v>2.944706688</v>
      </c>
      <c r="N61" s="63">
        <f>IFERROR(N59/(N88*N41),0)*12</f>
        <v>0.04038850038</v>
      </c>
      <c r="O61" s="27">
        <f t="shared" si="40"/>
        <v>-0.7429803317</v>
      </c>
      <c r="P61" s="63">
        <f>IFERROR(P59/(P88*P41),0)*12</f>
        <v>0.01038063897</v>
      </c>
      <c r="Q61" s="27">
        <f t="shared" si="41"/>
        <v>0</v>
      </c>
      <c r="R61" s="63">
        <f>IFERROR(R59/(R88*R41),0)*12</f>
        <v>0.01038063897</v>
      </c>
      <c r="S61" s="27">
        <f t="shared" si="42"/>
        <v>0</v>
      </c>
      <c r="T61" s="63">
        <f>IFERROR(T59/(T88*T41),0)*12</f>
        <v>0.01038063897</v>
      </c>
      <c r="U61" s="27">
        <f t="shared" si="43"/>
        <v>0</v>
      </c>
      <c r="V61" s="63">
        <f>IFERROR(V59/(V88*V41),0)*12</f>
        <v>0.01038063897</v>
      </c>
      <c r="W61" s="27">
        <f>IFERROR(SUM((X61/V65)-1),0)</f>
        <v>-0.9531585291</v>
      </c>
      <c r="X61" s="63">
        <f>IFERROR(X59/(X88*X41),0)*12</f>
        <v>0.01043566292</v>
      </c>
    </row>
    <row r="62">
      <c r="A62" s="4" t="s">
        <v>83</v>
      </c>
      <c r="B62" s="15">
        <v>4835407.96</v>
      </c>
      <c r="C62" s="13">
        <f t="shared" si="34"/>
        <v>16.49130172</v>
      </c>
      <c r="D62" s="15">
        <v>8.457757958E7</v>
      </c>
      <c r="E62" s="13">
        <f t="shared" si="35"/>
        <v>0.02052784424</v>
      </c>
      <c r="F62" s="15">
        <v>8.631377496E7</v>
      </c>
      <c r="G62" s="13">
        <f t="shared" si="36"/>
        <v>-0.009845177903</v>
      </c>
      <c r="H62" s="135">
        <v>8.546400049E7</v>
      </c>
      <c r="I62" s="13">
        <f t="shared" si="37"/>
        <v>0.1697149353</v>
      </c>
      <c r="J62" s="135">
        <v>9.99685178E7</v>
      </c>
      <c r="K62" s="13">
        <f t="shared" si="38"/>
        <v>0.01919078998</v>
      </c>
      <c r="L62" s="135">
        <v>1.0188699263E8</v>
      </c>
      <c r="M62" s="13">
        <f t="shared" si="39"/>
        <v>0.001336637155</v>
      </c>
      <c r="N62" s="135">
        <v>1.0202317857E8</v>
      </c>
      <c r="O62" s="13">
        <f t="shared" si="40"/>
        <v>0.001139048319</v>
      </c>
      <c r="P62" s="135">
        <v>1.021393879E8</v>
      </c>
      <c r="Q62" s="13">
        <f t="shared" si="41"/>
        <v>0</v>
      </c>
      <c r="R62" s="135">
        <v>1.021393879E8</v>
      </c>
      <c r="S62" s="13">
        <f t="shared" si="42"/>
        <v>0</v>
      </c>
      <c r="T62" s="135">
        <v>1.021393879E8</v>
      </c>
      <c r="U62" s="13">
        <f t="shared" si="43"/>
        <v>-0.1719396276</v>
      </c>
      <c r="V62" s="22">
        <v>8.457757958E7</v>
      </c>
      <c r="W62" s="13">
        <f>IFERROR(SUM((X62/V62)-1),0)</f>
        <v>0</v>
      </c>
      <c r="X62" s="22">
        <v>8.457757958E7</v>
      </c>
    </row>
    <row r="63">
      <c r="B63" s="15"/>
      <c r="C63" s="13"/>
      <c r="D63" s="15"/>
      <c r="E63" s="13"/>
      <c r="F63" s="15"/>
      <c r="G63" s="13"/>
      <c r="H63" s="136"/>
      <c r="I63" s="156"/>
      <c r="J63" s="136"/>
      <c r="K63" s="156"/>
      <c r="L63" s="136"/>
      <c r="M63" s="156"/>
      <c r="N63" s="136"/>
      <c r="O63" s="156"/>
      <c r="P63" s="136"/>
      <c r="Q63" s="156"/>
      <c r="R63" s="136"/>
      <c r="S63" s="156"/>
      <c r="T63" s="136"/>
      <c r="U63" s="156"/>
      <c r="V63" s="136"/>
      <c r="W63" s="156"/>
      <c r="X63" s="136"/>
    </row>
    <row r="64">
      <c r="A64" s="25" t="s">
        <v>84</v>
      </c>
      <c r="B64" s="26">
        <f>SUM(B58,B54,B59,B62)</f>
        <v>386507990.9</v>
      </c>
      <c r="C64" s="27">
        <f t="shared" ref="C64:C67" si="45">IFERROR(SUM((D64/B64)-1),0)</f>
        <v>0.2087474957</v>
      </c>
      <c r="D64" s="26">
        <f>SUM(D58,D54,D59,D62)</f>
        <v>467190566</v>
      </c>
      <c r="E64" s="27">
        <f t="shared" ref="E64:E67" si="46">IFERROR(SUM((F64/D64)-1),0)</f>
        <v>0.006257130928</v>
      </c>
      <c r="F64" s="26">
        <f>SUM(F58,F54,F59,F62)</f>
        <v>470113838.6</v>
      </c>
      <c r="G64" s="27">
        <f t="shared" ref="G64:G67" si="47">IFERROR(SUM((H64/F64)-1),0)</f>
        <v>0.001399694427</v>
      </c>
      <c r="H64" s="26">
        <f>SUM(H58,H54,H59,H62)</f>
        <v>470771854.3</v>
      </c>
      <c r="I64" s="27">
        <f t="shared" ref="I64:I67" si="48">IFERROR(SUM((J64/H64)-1),0)</f>
        <v>0.03586765726</v>
      </c>
      <c r="J64" s="26">
        <f>SUM(J58,J54,J59,J62)</f>
        <v>487657337.8</v>
      </c>
      <c r="K64" s="27">
        <f t="shared" ref="K64:K67" si="49">IFERROR(SUM((L64/J64)-1),0)</f>
        <v>0.005710508289</v>
      </c>
      <c r="L64" s="26">
        <f>SUM(L58,L54,L59,L62)</f>
        <v>490442109.1</v>
      </c>
      <c r="M64" s="27">
        <f t="shared" ref="M64:M67" si="50">IFERROR(SUM((N64/L64)-1),0)</f>
        <v>0.01762673877</v>
      </c>
      <c r="N64" s="26">
        <f>SUM(N58,N54,N59,N62)</f>
        <v>499087004</v>
      </c>
      <c r="O64" s="27">
        <f t="shared" ref="O64:O67" si="51">IFERROR(SUM((P64/N64)-1),0)</f>
        <v>-0.01331434398</v>
      </c>
      <c r="P64" s="26">
        <f>SUM(P58,P54,P59,P62)</f>
        <v>492441988</v>
      </c>
      <c r="Q64" s="27">
        <f t="shared" ref="Q64:Q67" si="52">IFERROR(SUM((R64/P64)-1),0)</f>
        <v>0</v>
      </c>
      <c r="R64" s="26">
        <f>SUM(R58,R54,R59,R62)</f>
        <v>492441988</v>
      </c>
      <c r="S64" s="27">
        <f t="shared" ref="S64:S67" si="53">IFERROR(SUM((T64/R64)-1),0)</f>
        <v>0</v>
      </c>
      <c r="T64" s="26">
        <f>SUM(T58,T54,T59,T62)</f>
        <v>492441988</v>
      </c>
      <c r="U64" s="27">
        <f t="shared" ref="U64:U67" si="54">IFERROR(SUM((V64/T64)-1),0)</f>
        <v>-0.0499417648</v>
      </c>
      <c r="V64" s="26">
        <f>SUM(V58,V54,V59,V62)</f>
        <v>467848566</v>
      </c>
      <c r="W64" s="27">
        <f t="shared" ref="W64:W67" si="55">IFERROR(SUM((X64/V64)-1),0)</f>
        <v>-0.001406437997</v>
      </c>
      <c r="X64" s="26">
        <f>SUM(X58,X54,X59,X62)</f>
        <v>467190566</v>
      </c>
    </row>
    <row r="65">
      <c r="A65" s="4" t="s">
        <v>85</v>
      </c>
      <c r="B65" s="13">
        <f>(B50/B67)-1</f>
        <v>0.1844222701</v>
      </c>
      <c r="C65" s="13">
        <f t="shared" si="45"/>
        <v>0.205948768</v>
      </c>
      <c r="D65" s="13">
        <f>(D50/D67)-1</f>
        <v>0.2224038094</v>
      </c>
      <c r="E65" s="13">
        <f t="shared" si="46"/>
        <v>0.007747404774</v>
      </c>
      <c r="F65" s="13">
        <f>(F50/F67)-1</f>
        <v>0.2241268618</v>
      </c>
      <c r="G65" s="13">
        <f t="shared" si="47"/>
        <v>0.002905080751</v>
      </c>
      <c r="H65" s="13">
        <f>(H50/H67)-1</f>
        <v>0.2247779684</v>
      </c>
      <c r="I65" s="13">
        <f t="shared" si="48"/>
        <v>0.03852556268</v>
      </c>
      <c r="J65" s="13">
        <f>(J50/J67)-1</f>
        <v>0.2334376661</v>
      </c>
      <c r="K65" s="13">
        <f t="shared" si="49"/>
        <v>0.008304343635</v>
      </c>
      <c r="L65" s="13">
        <f>(L50/L67)-1</f>
        <v>0.2353762127</v>
      </c>
      <c r="M65" s="13">
        <f t="shared" si="50"/>
        <v>0.02608276056</v>
      </c>
      <c r="N65" s="13">
        <f>(N50/N67)-1</f>
        <v>0.2415154741</v>
      </c>
      <c r="O65" s="13">
        <f t="shared" si="51"/>
        <v>-0.01420459471</v>
      </c>
      <c r="P65" s="13">
        <f>(P50/P67)-1</f>
        <v>0.2380848447</v>
      </c>
      <c r="Q65" s="13">
        <f t="shared" si="52"/>
        <v>0</v>
      </c>
      <c r="R65" s="13">
        <f>(R50/R67)-1</f>
        <v>0.2380848447</v>
      </c>
      <c r="S65" s="13">
        <f t="shared" si="53"/>
        <v>0</v>
      </c>
      <c r="T65" s="13">
        <f>(T50/T67)-1</f>
        <v>0.2380848447</v>
      </c>
      <c r="U65" s="13">
        <f t="shared" si="54"/>
        <v>-0.06425445648</v>
      </c>
      <c r="V65" s="13">
        <f>(V50/V67)-1</f>
        <v>0.2227868324</v>
      </c>
      <c r="W65" s="13">
        <f t="shared" si="55"/>
        <v>-0.001719235165</v>
      </c>
      <c r="X65" s="13">
        <f>(X50/X67)-1</f>
        <v>0.2224038094</v>
      </c>
    </row>
    <row r="66">
      <c r="A66" s="1" t="s">
        <v>86</v>
      </c>
      <c r="B66" s="69">
        <f>B34/B22</f>
        <v>99.21367521</v>
      </c>
      <c r="C66" s="13">
        <f t="shared" si="45"/>
        <v>-0.7892179629</v>
      </c>
      <c r="D66" s="69">
        <f>D34/D22</f>
        <v>20.91246057</v>
      </c>
      <c r="E66" s="13">
        <f t="shared" si="46"/>
        <v>-0.5549090462</v>
      </c>
      <c r="F66" s="69">
        <f>F34/F22</f>
        <v>9.30794702</v>
      </c>
      <c r="G66" s="13">
        <f t="shared" si="47"/>
        <v>0.2006904199</v>
      </c>
      <c r="H66" s="69">
        <f>H34/H22</f>
        <v>11.17596282</v>
      </c>
      <c r="I66" s="13">
        <f t="shared" si="48"/>
        <v>-0.1334624819</v>
      </c>
      <c r="J66" s="69">
        <f>J34/J22</f>
        <v>9.684391081</v>
      </c>
      <c r="K66" s="13">
        <f t="shared" si="49"/>
        <v>0.08142730466</v>
      </c>
      <c r="L66" s="69">
        <f>L34/L22</f>
        <v>10.47296494</v>
      </c>
      <c r="M66" s="13">
        <f t="shared" si="50"/>
        <v>-0.3022674434</v>
      </c>
      <c r="N66" s="69">
        <f>N34/N22</f>
        <v>7.307328605</v>
      </c>
      <c r="O66" s="13">
        <f t="shared" si="51"/>
        <v>0.2862475202</v>
      </c>
      <c r="P66" s="69">
        <f>P34/P22</f>
        <v>9.399033298</v>
      </c>
      <c r="Q66" s="13">
        <f t="shared" si="52"/>
        <v>0</v>
      </c>
      <c r="R66" s="69">
        <f>R34/R22</f>
        <v>9.399033298</v>
      </c>
      <c r="S66" s="13">
        <f t="shared" si="53"/>
        <v>0</v>
      </c>
      <c r="T66" s="69">
        <f>T34/T22</f>
        <v>9.399033298</v>
      </c>
      <c r="U66" s="13">
        <f t="shared" si="54"/>
        <v>0</v>
      </c>
      <c r="V66" s="69">
        <f>V34/V22</f>
        <v>9.399033298</v>
      </c>
      <c r="W66" s="13">
        <f t="shared" si="55"/>
        <v>1.224958664</v>
      </c>
      <c r="X66" s="69">
        <f>X34/X22</f>
        <v>20.91246057</v>
      </c>
    </row>
    <row r="67">
      <c r="A67" s="28" t="s">
        <v>87</v>
      </c>
      <c r="B67" s="22">
        <f>SUM(B50-B64)</f>
        <v>2095777211</v>
      </c>
      <c r="C67" s="13">
        <f t="shared" si="45"/>
        <v>0.00232076835</v>
      </c>
      <c r="D67" s="22">
        <f>SUM(D50-D64)</f>
        <v>2100641024</v>
      </c>
      <c r="E67" s="13">
        <f t="shared" si="46"/>
        <v>-0.001478816854</v>
      </c>
      <c r="F67" s="22">
        <f>SUM(F50-F64)</f>
        <v>2097534561</v>
      </c>
      <c r="G67" s="13">
        <f t="shared" si="47"/>
        <v>-0.001501025723</v>
      </c>
      <c r="H67" s="22">
        <f>SUM(H50-H64)</f>
        <v>2094386107</v>
      </c>
      <c r="I67" s="13">
        <f t="shared" si="48"/>
        <v>-0.002559306687</v>
      </c>
      <c r="J67" s="22">
        <f>SUM(J50-J64)</f>
        <v>2089025931</v>
      </c>
      <c r="K67" s="13">
        <f t="shared" si="49"/>
        <v>-0.002572472649</v>
      </c>
      <c r="L67" s="22">
        <f>SUM(L50-L64)</f>
        <v>2083651969</v>
      </c>
      <c r="M67" s="13">
        <f t="shared" si="50"/>
        <v>-0.00824107188</v>
      </c>
      <c r="N67" s="22">
        <f>SUM(N50-N64)</f>
        <v>2066480443</v>
      </c>
      <c r="O67" s="13">
        <f t="shared" si="51"/>
        <v>0.0009030785875</v>
      </c>
      <c r="P67" s="22">
        <f>SUM(P50-P64)</f>
        <v>2068346638</v>
      </c>
      <c r="Q67" s="13">
        <f t="shared" si="52"/>
        <v>0</v>
      </c>
      <c r="R67" s="22">
        <f>SUM(R50-R64)</f>
        <v>2068346638</v>
      </c>
      <c r="S67" s="13">
        <f t="shared" si="53"/>
        <v>0</v>
      </c>
      <c r="T67" s="22">
        <f>SUM(T50-T64)</f>
        <v>2068346638</v>
      </c>
      <c r="U67" s="13">
        <f t="shared" si="54"/>
        <v>0.01529549542</v>
      </c>
      <c r="V67" s="22">
        <f>SUM(V50-V64)</f>
        <v>2099983024</v>
      </c>
      <c r="W67" s="13">
        <f t="shared" si="55"/>
        <v>0.0003133358663</v>
      </c>
      <c r="X67" s="22">
        <f>SUM(X50-X64)</f>
        <v>2100641024</v>
      </c>
    </row>
    <row r="68">
      <c r="A68" s="52"/>
      <c r="B68" s="2" t="s">
        <v>1</v>
      </c>
      <c r="C68" s="3">
        <f>$C$1</f>
        <v>46052</v>
      </c>
      <c r="D68" s="2" t="s">
        <v>1</v>
      </c>
      <c r="E68" s="3">
        <f>$E$1</f>
        <v>46078</v>
      </c>
      <c r="F68" s="2" t="s">
        <v>1</v>
      </c>
      <c r="G68" s="3">
        <f>$G$1</f>
        <v>46104</v>
      </c>
      <c r="H68" s="2" t="s">
        <v>1</v>
      </c>
      <c r="I68" s="3">
        <f>$I$1</f>
        <v>46135</v>
      </c>
      <c r="J68" s="2" t="s">
        <v>1</v>
      </c>
      <c r="K68" s="3">
        <f>$K$1</f>
        <v>46164</v>
      </c>
      <c r="L68" s="2" t="s">
        <v>1</v>
      </c>
      <c r="M68" s="3">
        <f>$M$1</f>
        <v>46191</v>
      </c>
      <c r="N68" s="2" t="s">
        <v>1</v>
      </c>
      <c r="O68" s="3">
        <f>$O$1</f>
        <v>46223</v>
      </c>
      <c r="P68" s="2" t="s">
        <v>2</v>
      </c>
      <c r="Q68" s="3">
        <f>$Q$1</f>
        <v>46255</v>
      </c>
      <c r="R68" s="2" t="s">
        <v>3</v>
      </c>
      <c r="S68" s="3">
        <f>$S$1</f>
        <v>46195</v>
      </c>
      <c r="T68" s="2" t="s">
        <v>3</v>
      </c>
      <c r="U68" s="3">
        <f>$U$1</f>
        <v>46195</v>
      </c>
      <c r="V68" s="2" t="s">
        <v>3</v>
      </c>
      <c r="W68" s="3">
        <f>$W$1</f>
        <v>46195</v>
      </c>
      <c r="X68" s="2" t="s">
        <v>3</v>
      </c>
      <c r="Y68" s="3">
        <f>$Y$1</f>
        <v>46195</v>
      </c>
    </row>
    <row r="69">
      <c r="A69" s="1" t="s">
        <v>88</v>
      </c>
      <c r="B69" s="1" t="s">
        <v>5</v>
      </c>
      <c r="C69" s="53"/>
      <c r="D69" s="54" t="s">
        <v>6</v>
      </c>
      <c r="E69" s="55"/>
      <c r="F69" s="54" t="s">
        <v>7</v>
      </c>
      <c r="G69" s="55"/>
      <c r="H69" s="54" t="s">
        <v>8</v>
      </c>
      <c r="I69" s="55"/>
      <c r="J69" s="54" t="s">
        <v>9</v>
      </c>
      <c r="K69" s="55"/>
      <c r="L69" s="54" t="s">
        <v>10</v>
      </c>
      <c r="M69" s="55"/>
      <c r="N69" s="54" t="s">
        <v>11</v>
      </c>
      <c r="O69" s="55"/>
      <c r="P69" s="1" t="s">
        <v>12</v>
      </c>
      <c r="Q69" s="53"/>
      <c r="R69" s="1" t="s">
        <v>13</v>
      </c>
      <c r="S69" s="53"/>
      <c r="T69" s="1" t="s">
        <v>14</v>
      </c>
      <c r="U69" s="53"/>
      <c r="V69" s="1" t="s">
        <v>15</v>
      </c>
      <c r="W69" s="53"/>
      <c r="X69" s="1" t="s">
        <v>16</v>
      </c>
    </row>
    <row r="70">
      <c r="A70" s="4" t="s">
        <v>89</v>
      </c>
      <c r="B70" s="4">
        <v>14.0</v>
      </c>
      <c r="C70" s="13">
        <f t="shared" ref="C70:C75" si="56">IFERROR(SUM((D70/B70)-1),0)</f>
        <v>0</v>
      </c>
      <c r="D70" s="4">
        <v>14.0</v>
      </c>
      <c r="E70" s="13">
        <f t="shared" ref="E70:E75" si="57">IFERROR(SUM((F70/D70)-1),0)</f>
        <v>0</v>
      </c>
      <c r="F70" s="4">
        <v>14.0</v>
      </c>
      <c r="G70" s="13">
        <f t="shared" ref="G70:G75" si="58">IFERROR(SUM((H70/F70)-1),0)</f>
        <v>0</v>
      </c>
      <c r="H70" s="4">
        <v>14.0</v>
      </c>
      <c r="I70" s="13">
        <f t="shared" ref="I70:I75" si="59">IFERROR(SUM((J70/H70)-1),0)</f>
        <v>0</v>
      </c>
      <c r="J70" s="4">
        <v>14.0</v>
      </c>
      <c r="K70" s="13">
        <f t="shared" ref="K70:K75" si="60">IFERROR(SUM((L70/J70)-1),0)</f>
        <v>0</v>
      </c>
      <c r="L70" s="4">
        <v>14.0</v>
      </c>
      <c r="M70" s="13">
        <f t="shared" ref="M70:M75" si="61">IFERROR(SUM((N70/L70)-1),0)</f>
        <v>0</v>
      </c>
      <c r="N70" s="4">
        <v>14.0</v>
      </c>
      <c r="O70" s="13">
        <f t="shared" ref="O70:O75" si="62">IFERROR(SUM((P70/N70)-1),0)</f>
        <v>0</v>
      </c>
      <c r="P70" s="4">
        <v>14.0</v>
      </c>
      <c r="Q70" s="13">
        <f t="shared" ref="Q70:Q75" si="63">IFERROR(SUM((R70/P70)-1),0)</f>
        <v>0</v>
      </c>
      <c r="R70" s="4">
        <v>14.0</v>
      </c>
      <c r="S70" s="13">
        <f t="shared" ref="S70:S75" si="64">IFERROR(SUM((T70/R70)-1),0)</f>
        <v>0</v>
      </c>
      <c r="T70" s="4">
        <v>14.0</v>
      </c>
      <c r="U70" s="13">
        <f t="shared" ref="U70:U75" si="65">IFERROR(SUM((V70/T70)-1),0)</f>
        <v>0</v>
      </c>
      <c r="V70" s="4">
        <v>14.0</v>
      </c>
      <c r="W70" s="13">
        <f t="shared" ref="W70:W75" si="66">IFERROR(SUM((X70/V70)-1),0)</f>
        <v>0</v>
      </c>
      <c r="X70" s="4">
        <v>14.0</v>
      </c>
    </row>
    <row r="71">
      <c r="A71" s="44" t="s">
        <v>90</v>
      </c>
      <c r="B71" s="15">
        <v>18.0</v>
      </c>
      <c r="C71" s="13">
        <f t="shared" si="56"/>
        <v>1.5</v>
      </c>
      <c r="D71" s="15">
        <v>45.0</v>
      </c>
      <c r="E71" s="13">
        <f t="shared" si="57"/>
        <v>-0.6</v>
      </c>
      <c r="F71" s="15">
        <v>18.0</v>
      </c>
      <c r="G71" s="13">
        <f t="shared" si="58"/>
        <v>0</v>
      </c>
      <c r="H71" s="15">
        <v>18.0</v>
      </c>
      <c r="I71" s="13">
        <f t="shared" si="59"/>
        <v>1.5</v>
      </c>
      <c r="J71" s="15">
        <v>45.0</v>
      </c>
      <c r="K71" s="13">
        <f t="shared" si="60"/>
        <v>0</v>
      </c>
      <c r="L71" s="15">
        <v>45.0</v>
      </c>
      <c r="M71" s="13">
        <f t="shared" si="61"/>
        <v>0</v>
      </c>
      <c r="N71" s="15">
        <v>45.0</v>
      </c>
      <c r="O71" s="13">
        <f t="shared" si="62"/>
        <v>0</v>
      </c>
      <c r="P71" s="15">
        <v>45.0</v>
      </c>
      <c r="Q71" s="13">
        <f t="shared" si="63"/>
        <v>0</v>
      </c>
      <c r="R71" s="15">
        <v>45.0</v>
      </c>
      <c r="S71" s="13">
        <f t="shared" si="64"/>
        <v>0</v>
      </c>
      <c r="T71" s="15">
        <v>45.0</v>
      </c>
      <c r="U71" s="13">
        <f t="shared" si="65"/>
        <v>0</v>
      </c>
      <c r="V71" s="15">
        <v>45.0</v>
      </c>
      <c r="W71" s="13">
        <f t="shared" si="66"/>
        <v>-1</v>
      </c>
      <c r="X71" s="15">
        <v>0.0</v>
      </c>
    </row>
    <row r="72">
      <c r="A72" s="4" t="s">
        <v>91</v>
      </c>
      <c r="B72" s="58">
        <v>591.0</v>
      </c>
      <c r="C72" s="13">
        <f t="shared" si="56"/>
        <v>0</v>
      </c>
      <c r="D72" s="58">
        <v>591.0</v>
      </c>
      <c r="E72" s="13">
        <f t="shared" si="57"/>
        <v>0</v>
      </c>
      <c r="F72" s="58">
        <v>591.0</v>
      </c>
      <c r="G72" s="13">
        <f t="shared" si="58"/>
        <v>0</v>
      </c>
      <c r="H72" s="58">
        <v>591.0</v>
      </c>
      <c r="I72" s="13">
        <f t="shared" si="59"/>
        <v>0</v>
      </c>
      <c r="J72" s="58">
        <v>591.0</v>
      </c>
      <c r="K72" s="13">
        <f t="shared" si="60"/>
        <v>0</v>
      </c>
      <c r="L72" s="58">
        <v>591.0</v>
      </c>
      <c r="M72" s="13">
        <f t="shared" si="61"/>
        <v>0</v>
      </c>
      <c r="N72" s="58">
        <v>591.0</v>
      </c>
      <c r="O72" s="13">
        <f t="shared" si="62"/>
        <v>0</v>
      </c>
      <c r="P72" s="58">
        <v>591.0</v>
      </c>
      <c r="Q72" s="13">
        <f t="shared" si="63"/>
        <v>0</v>
      </c>
      <c r="R72" s="58">
        <v>591.0</v>
      </c>
      <c r="S72" s="13">
        <f t="shared" si="64"/>
        <v>0</v>
      </c>
      <c r="T72" s="58">
        <v>591.0</v>
      </c>
      <c r="U72" s="13">
        <f t="shared" si="65"/>
        <v>0</v>
      </c>
      <c r="V72" s="58">
        <v>591.0</v>
      </c>
      <c r="W72" s="13">
        <f t="shared" si="66"/>
        <v>0</v>
      </c>
      <c r="X72" s="58">
        <v>591.0</v>
      </c>
    </row>
    <row r="73">
      <c r="A73" s="4" t="s">
        <v>95</v>
      </c>
      <c r="B73" s="15">
        <v>4.5</v>
      </c>
      <c r="C73" s="13">
        <f t="shared" si="56"/>
        <v>0.06666666667</v>
      </c>
      <c r="D73" s="15">
        <v>4.8</v>
      </c>
      <c r="E73" s="13">
        <f t="shared" si="57"/>
        <v>-0.02083333333</v>
      </c>
      <c r="F73" s="15">
        <v>4.7</v>
      </c>
      <c r="G73" s="13">
        <f t="shared" si="58"/>
        <v>0.04255319149</v>
      </c>
      <c r="H73" s="15">
        <v>4.9</v>
      </c>
      <c r="I73" s="13">
        <f t="shared" si="59"/>
        <v>-0.02040816327</v>
      </c>
      <c r="J73" s="15">
        <v>4.8</v>
      </c>
      <c r="K73" s="13">
        <f t="shared" si="60"/>
        <v>-0.02083333333</v>
      </c>
      <c r="L73" s="15">
        <v>4.7</v>
      </c>
      <c r="M73" s="13">
        <f t="shared" si="61"/>
        <v>0</v>
      </c>
      <c r="N73" s="15">
        <v>4.7</v>
      </c>
      <c r="O73" s="13">
        <f t="shared" si="62"/>
        <v>-0.02127659574</v>
      </c>
      <c r="P73" s="15">
        <v>4.6</v>
      </c>
      <c r="Q73" s="13">
        <f t="shared" si="63"/>
        <v>0</v>
      </c>
      <c r="R73" s="15">
        <v>4.6</v>
      </c>
      <c r="S73" s="13">
        <f t="shared" si="64"/>
        <v>0</v>
      </c>
      <c r="T73" s="15">
        <v>4.6</v>
      </c>
      <c r="U73" s="13">
        <f t="shared" si="65"/>
        <v>0</v>
      </c>
      <c r="V73" s="15">
        <v>4.6</v>
      </c>
      <c r="W73" s="13">
        <f t="shared" si="66"/>
        <v>-0.02173913043</v>
      </c>
      <c r="X73" s="15">
        <v>4.5</v>
      </c>
    </row>
    <row r="74">
      <c r="A74" s="5" t="s">
        <v>93</v>
      </c>
      <c r="B74" s="40">
        <f>B4</f>
        <v>0.07</v>
      </c>
      <c r="C74" s="13">
        <f t="shared" si="56"/>
        <v>0</v>
      </c>
      <c r="D74" s="40">
        <f>D4</f>
        <v>0.07</v>
      </c>
      <c r="E74" s="13">
        <f t="shared" si="57"/>
        <v>-0.04285714286</v>
      </c>
      <c r="F74" s="40">
        <f>F4</f>
        <v>0.067</v>
      </c>
      <c r="G74" s="13">
        <f t="shared" si="58"/>
        <v>0.6417910448</v>
      </c>
      <c r="H74" s="40">
        <f>H4</f>
        <v>0.11</v>
      </c>
      <c r="I74" s="13">
        <f t="shared" si="59"/>
        <v>0</v>
      </c>
      <c r="J74" s="40">
        <f>J4</f>
        <v>0.11</v>
      </c>
      <c r="K74" s="13">
        <f t="shared" si="60"/>
        <v>-0.3272727273</v>
      </c>
      <c r="L74" s="40">
        <f>L4</f>
        <v>0.074</v>
      </c>
      <c r="M74" s="13">
        <f t="shared" si="61"/>
        <v>0</v>
      </c>
      <c r="N74" s="40">
        <f>N4</f>
        <v>0.074</v>
      </c>
      <c r="O74" s="13">
        <f t="shared" si="62"/>
        <v>-0.2027027027</v>
      </c>
      <c r="P74" s="40">
        <f>P4</f>
        <v>0.059</v>
      </c>
      <c r="Q74" s="13">
        <f t="shared" si="63"/>
        <v>0</v>
      </c>
      <c r="R74" s="40">
        <f>R4</f>
        <v>0.059</v>
      </c>
      <c r="S74" s="13">
        <f t="shared" si="64"/>
        <v>0</v>
      </c>
      <c r="T74" s="40">
        <f>T4</f>
        <v>0.059</v>
      </c>
      <c r="U74" s="13">
        <f t="shared" si="65"/>
        <v>0</v>
      </c>
      <c r="V74" s="40">
        <f>V4</f>
        <v>0.059</v>
      </c>
      <c r="W74" s="13">
        <f t="shared" si="66"/>
        <v>0.8644067797</v>
      </c>
      <c r="X74" s="40">
        <f>X4</f>
        <v>0.11</v>
      </c>
    </row>
    <row r="75">
      <c r="A75" s="71" t="s">
        <v>96</v>
      </c>
      <c r="B75" s="4">
        <v>8.4</v>
      </c>
      <c r="C75" s="13">
        <f t="shared" si="56"/>
        <v>-0.08333333333</v>
      </c>
      <c r="D75" s="4">
        <v>7.7</v>
      </c>
      <c r="E75" s="13">
        <f t="shared" si="57"/>
        <v>-0.05194805195</v>
      </c>
      <c r="F75" s="4">
        <v>7.3</v>
      </c>
      <c r="G75" s="13">
        <f t="shared" si="58"/>
        <v>0.3561643836</v>
      </c>
      <c r="H75" s="4">
        <v>9.9</v>
      </c>
      <c r="I75" s="13">
        <f t="shared" si="59"/>
        <v>-0.0101010101</v>
      </c>
      <c r="J75" s="4">
        <v>9.8</v>
      </c>
      <c r="K75" s="13">
        <f t="shared" si="60"/>
        <v>0.01020408163</v>
      </c>
      <c r="L75" s="4">
        <v>9.9</v>
      </c>
      <c r="M75" s="13">
        <f t="shared" si="61"/>
        <v>-0.0101010101</v>
      </c>
      <c r="N75" s="4">
        <v>9.8</v>
      </c>
      <c r="O75" s="13">
        <f t="shared" si="62"/>
        <v>-0.1632653061</v>
      </c>
      <c r="P75" s="4">
        <v>8.2</v>
      </c>
      <c r="Q75" s="13">
        <f t="shared" si="63"/>
        <v>0</v>
      </c>
      <c r="R75" s="4">
        <v>8.2</v>
      </c>
      <c r="S75" s="13">
        <f t="shared" si="64"/>
        <v>0</v>
      </c>
      <c r="T75" s="4">
        <v>8.2</v>
      </c>
      <c r="U75" s="13">
        <f t="shared" si="65"/>
        <v>0</v>
      </c>
      <c r="V75" s="4">
        <v>8.2</v>
      </c>
      <c r="W75" s="13">
        <f t="shared" si="66"/>
        <v>-1</v>
      </c>
      <c r="X75" s="4">
        <v>0.0</v>
      </c>
    </row>
    <row r="76">
      <c r="A76" s="1" t="s">
        <v>99</v>
      </c>
      <c r="B76" s="53"/>
      <c r="C76" s="31"/>
      <c r="D76" s="53"/>
      <c r="E76" s="53"/>
      <c r="F76" s="53"/>
      <c r="G76" s="79"/>
      <c r="H76" s="53"/>
      <c r="I76" s="79"/>
      <c r="J76" s="53"/>
      <c r="K76" s="79"/>
      <c r="L76" s="53"/>
      <c r="M76" s="79"/>
      <c r="N76" s="53"/>
      <c r="O76" s="79"/>
      <c r="P76" s="53"/>
      <c r="Q76" s="79"/>
      <c r="R76" s="53"/>
      <c r="S76" s="79"/>
      <c r="T76" s="53"/>
      <c r="U76" s="79"/>
      <c r="V76" s="53"/>
      <c r="W76" s="79"/>
      <c r="X76" s="53"/>
    </row>
    <row r="77">
      <c r="A77" s="44" t="s">
        <v>104</v>
      </c>
      <c r="B77" s="64">
        <v>0.82</v>
      </c>
      <c r="C77" s="13">
        <f t="shared" ref="C77:C90" si="67">IFERROR(SUM((D77/B77)-1),0)</f>
        <v>-0.01219512195</v>
      </c>
      <c r="D77" s="64">
        <v>0.81</v>
      </c>
      <c r="E77" s="13">
        <f t="shared" ref="E77:E90" si="68">IFERROR(SUM((F77/D77)-1),0)</f>
        <v>0</v>
      </c>
      <c r="F77" s="64">
        <v>0.81</v>
      </c>
      <c r="G77" s="13">
        <f t="shared" ref="G77:G90" si="69">IFERROR(SUM((H77/F77)-1),0)</f>
        <v>0</v>
      </c>
      <c r="H77" s="64">
        <v>0.81</v>
      </c>
      <c r="I77" s="13">
        <f t="shared" ref="I77:I90" si="70">IFERROR(SUM((J77/H77)-1),0)</f>
        <v>0</v>
      </c>
      <c r="J77" s="64">
        <v>0.81</v>
      </c>
      <c r="K77" s="13">
        <f t="shared" ref="K77:K90" si="71">IFERROR(SUM((L77/J77)-1),0)</f>
        <v>0</v>
      </c>
      <c r="L77" s="64">
        <v>0.81</v>
      </c>
      <c r="M77" s="13">
        <f t="shared" ref="M77:M90" si="72">IFERROR(SUM((N77/L77)-1),0)</f>
        <v>0</v>
      </c>
      <c r="N77" s="64">
        <v>0.81</v>
      </c>
      <c r="O77" s="13">
        <f t="shared" ref="O77:O90" si="73">IFERROR(SUM((P77/N77)-1),0)</f>
        <v>0</v>
      </c>
      <c r="P77" s="64">
        <v>0.81</v>
      </c>
      <c r="Q77" s="13">
        <f t="shared" ref="Q77:Q90" si="74">IFERROR(SUM((R77/P77)-1),0)</f>
        <v>0</v>
      </c>
      <c r="R77" s="64">
        <v>0.81</v>
      </c>
      <c r="S77" s="13">
        <f t="shared" ref="S77:S90" si="75">IFERROR(SUM((T77/R77)-1),0)</f>
        <v>0</v>
      </c>
      <c r="T77" s="64">
        <v>0.81</v>
      </c>
      <c r="U77" s="13">
        <f t="shared" ref="U77:U90" si="76">IFERROR(SUM((V77/T77)-1),0)</f>
        <v>0</v>
      </c>
      <c r="V77" s="64">
        <v>0.81</v>
      </c>
      <c r="W77" s="13">
        <f t="shared" ref="W77:W90" si="77">IFERROR(SUM((X77/V77)-1),0)</f>
        <v>0.01234567901</v>
      </c>
      <c r="X77" s="64">
        <v>0.82</v>
      </c>
    </row>
    <row r="78">
      <c r="A78" s="44" t="s">
        <v>115</v>
      </c>
      <c r="B78" s="64">
        <f>(1-B77)</f>
        <v>0.18</v>
      </c>
      <c r="C78" s="13">
        <f t="shared" si="67"/>
        <v>0.05555555556</v>
      </c>
      <c r="D78" s="64">
        <f>(1-D77)</f>
        <v>0.19</v>
      </c>
      <c r="E78" s="13">
        <f t="shared" si="68"/>
        <v>0</v>
      </c>
      <c r="F78" s="64">
        <f>(1-F77)</f>
        <v>0.19</v>
      </c>
      <c r="G78" s="13">
        <f t="shared" si="69"/>
        <v>0</v>
      </c>
      <c r="H78" s="64">
        <f>(1-H77)</f>
        <v>0.19</v>
      </c>
      <c r="I78" s="13">
        <f t="shared" si="70"/>
        <v>0</v>
      </c>
      <c r="J78" s="64">
        <f>(1-J77)</f>
        <v>0.19</v>
      </c>
      <c r="K78" s="13">
        <f t="shared" si="71"/>
        <v>0</v>
      </c>
      <c r="L78" s="64">
        <f>(1-L77)</f>
        <v>0.19</v>
      </c>
      <c r="M78" s="13">
        <f t="shared" si="72"/>
        <v>0</v>
      </c>
      <c r="N78" s="64">
        <f>(1-N77)</f>
        <v>0.19</v>
      </c>
      <c r="O78" s="13">
        <f t="shared" si="73"/>
        <v>0</v>
      </c>
      <c r="P78" s="64">
        <f>(1-P77)</f>
        <v>0.19</v>
      </c>
      <c r="Q78" s="13">
        <f t="shared" si="74"/>
        <v>0</v>
      </c>
      <c r="R78" s="64">
        <f>(1-R77)</f>
        <v>0.19</v>
      </c>
      <c r="S78" s="13">
        <f t="shared" si="75"/>
        <v>0</v>
      </c>
      <c r="T78" s="64">
        <f>(1-T77)</f>
        <v>0.19</v>
      </c>
      <c r="U78" s="13">
        <f t="shared" si="76"/>
        <v>0</v>
      </c>
      <c r="V78" s="64">
        <f>(1-V77)</f>
        <v>0.19</v>
      </c>
      <c r="W78" s="13">
        <f t="shared" si="77"/>
        <v>-0.05263157895</v>
      </c>
      <c r="X78" s="64">
        <f>(1-X77)</f>
        <v>0.18</v>
      </c>
    </row>
    <row r="79">
      <c r="A79" s="65" t="s">
        <v>102</v>
      </c>
      <c r="B79" s="81">
        <v>0.64</v>
      </c>
      <c r="C79" s="68">
        <f t="shared" si="67"/>
        <v>0</v>
      </c>
      <c r="D79" s="81">
        <v>0.64</v>
      </c>
      <c r="E79" s="68">
        <f t="shared" si="68"/>
        <v>0</v>
      </c>
      <c r="F79" s="81">
        <v>0.64</v>
      </c>
      <c r="G79" s="68">
        <f t="shared" si="69"/>
        <v>-0.015625</v>
      </c>
      <c r="H79" s="81">
        <v>0.63</v>
      </c>
      <c r="I79" s="68">
        <f t="shared" si="70"/>
        <v>0</v>
      </c>
      <c r="J79" s="81">
        <v>0.63</v>
      </c>
      <c r="K79" s="68">
        <f t="shared" si="71"/>
        <v>0.01587301587</v>
      </c>
      <c r="L79" s="81">
        <v>0.64</v>
      </c>
      <c r="M79" s="68">
        <f t="shared" si="72"/>
        <v>0</v>
      </c>
      <c r="N79" s="81">
        <v>0.64</v>
      </c>
      <c r="O79" s="68">
        <f t="shared" si="73"/>
        <v>0</v>
      </c>
      <c r="P79" s="81">
        <v>0.64</v>
      </c>
      <c r="Q79" s="68">
        <f t="shared" si="74"/>
        <v>0</v>
      </c>
      <c r="R79" s="81">
        <v>0.64</v>
      </c>
      <c r="S79" s="68">
        <f t="shared" si="75"/>
        <v>0</v>
      </c>
      <c r="T79" s="81">
        <v>0.64</v>
      </c>
      <c r="U79" s="68">
        <f t="shared" si="76"/>
        <v>0</v>
      </c>
      <c r="V79" s="81">
        <v>0.64</v>
      </c>
      <c r="W79" s="68">
        <f t="shared" si="77"/>
        <v>0</v>
      </c>
      <c r="X79" s="81">
        <v>0.64</v>
      </c>
    </row>
    <row r="80">
      <c r="A80" s="65" t="s">
        <v>101</v>
      </c>
      <c r="B80" s="81">
        <f>(1-B79)</f>
        <v>0.36</v>
      </c>
      <c r="C80" s="68">
        <f t="shared" si="67"/>
        <v>0</v>
      </c>
      <c r="D80" s="81">
        <f>(1-D79)</f>
        <v>0.36</v>
      </c>
      <c r="E80" s="68">
        <f t="shared" si="68"/>
        <v>0</v>
      </c>
      <c r="F80" s="81">
        <f>(1-F79)</f>
        <v>0.36</v>
      </c>
      <c r="G80" s="68">
        <f t="shared" si="69"/>
        <v>0.02777777778</v>
      </c>
      <c r="H80" s="81">
        <f>(1-H79)</f>
        <v>0.37</v>
      </c>
      <c r="I80" s="68">
        <f t="shared" si="70"/>
        <v>0</v>
      </c>
      <c r="J80" s="81">
        <f>(1-J79)</f>
        <v>0.37</v>
      </c>
      <c r="K80" s="68">
        <f t="shared" si="71"/>
        <v>-0.02702702703</v>
      </c>
      <c r="L80" s="81">
        <f>(1-L79)</f>
        <v>0.36</v>
      </c>
      <c r="M80" s="68">
        <f t="shared" si="72"/>
        <v>0</v>
      </c>
      <c r="N80" s="81">
        <f>(1-N79)</f>
        <v>0.36</v>
      </c>
      <c r="O80" s="68">
        <f t="shared" si="73"/>
        <v>0</v>
      </c>
      <c r="P80" s="81">
        <f>(1-P79)</f>
        <v>0.36</v>
      </c>
      <c r="Q80" s="68">
        <f t="shared" si="74"/>
        <v>0</v>
      </c>
      <c r="R80" s="81">
        <f>(1-R79)</f>
        <v>0.36</v>
      </c>
      <c r="S80" s="68">
        <f t="shared" si="75"/>
        <v>0</v>
      </c>
      <c r="T80" s="81">
        <f>(1-T79)</f>
        <v>0.36</v>
      </c>
      <c r="U80" s="68">
        <f t="shared" si="76"/>
        <v>0</v>
      </c>
      <c r="V80" s="81">
        <f>(1-V79)</f>
        <v>0.36</v>
      </c>
      <c r="W80" s="68">
        <f t="shared" si="77"/>
        <v>0</v>
      </c>
      <c r="X80" s="81">
        <f>(1-X79)</f>
        <v>0.36</v>
      </c>
    </row>
    <row r="81">
      <c r="A81" s="4" t="s">
        <v>106</v>
      </c>
      <c r="B81" s="64">
        <v>0.98</v>
      </c>
      <c r="C81" s="13">
        <f t="shared" si="67"/>
        <v>0</v>
      </c>
      <c r="D81" s="64">
        <v>0.98</v>
      </c>
      <c r="E81" s="13">
        <f t="shared" si="68"/>
        <v>0</v>
      </c>
      <c r="F81" s="64">
        <v>0.98</v>
      </c>
      <c r="G81" s="13">
        <f t="shared" si="69"/>
        <v>0.01020408163</v>
      </c>
      <c r="H81" s="64">
        <v>0.99</v>
      </c>
      <c r="I81" s="13">
        <f t="shared" si="70"/>
        <v>0</v>
      </c>
      <c r="J81" s="64">
        <v>0.99</v>
      </c>
      <c r="K81" s="13">
        <f t="shared" si="71"/>
        <v>0</v>
      </c>
      <c r="L81" s="64">
        <v>0.99</v>
      </c>
      <c r="M81" s="13">
        <f t="shared" si="72"/>
        <v>0</v>
      </c>
      <c r="N81" s="64">
        <v>0.99</v>
      </c>
      <c r="O81" s="13">
        <f t="shared" si="73"/>
        <v>0</v>
      </c>
      <c r="P81" s="64">
        <v>0.99</v>
      </c>
      <c r="Q81" s="13">
        <f t="shared" si="74"/>
        <v>0</v>
      </c>
      <c r="R81" s="64">
        <v>0.99</v>
      </c>
      <c r="S81" s="13">
        <f t="shared" si="75"/>
        <v>0</v>
      </c>
      <c r="T81" s="64">
        <v>0.99</v>
      </c>
      <c r="U81" s="13">
        <f t="shared" si="76"/>
        <v>0</v>
      </c>
      <c r="V81" s="64">
        <v>0.99</v>
      </c>
      <c r="W81" s="13">
        <f t="shared" si="77"/>
        <v>-0.0101010101</v>
      </c>
      <c r="X81" s="64">
        <v>0.98</v>
      </c>
    </row>
    <row r="82">
      <c r="A82" s="4" t="s">
        <v>108</v>
      </c>
      <c r="B82" s="64">
        <f>(1-B81)</f>
        <v>0.02</v>
      </c>
      <c r="C82" s="13">
        <f t="shared" si="67"/>
        <v>0</v>
      </c>
      <c r="D82" s="64">
        <f>(1-D81)</f>
        <v>0.02</v>
      </c>
      <c r="E82" s="13">
        <f t="shared" si="68"/>
        <v>0</v>
      </c>
      <c r="F82" s="64">
        <f>(1-F81)</f>
        <v>0.02</v>
      </c>
      <c r="G82" s="13">
        <f t="shared" si="69"/>
        <v>-0.5</v>
      </c>
      <c r="H82" s="64">
        <f>(1-H81)</f>
        <v>0.01</v>
      </c>
      <c r="I82" s="13">
        <f t="shared" si="70"/>
        <v>0</v>
      </c>
      <c r="J82" s="64">
        <f>(1-J81)</f>
        <v>0.01</v>
      </c>
      <c r="K82" s="13">
        <f t="shared" si="71"/>
        <v>0</v>
      </c>
      <c r="L82" s="64">
        <f>(1-L81)</f>
        <v>0.01</v>
      </c>
      <c r="M82" s="13">
        <f t="shared" si="72"/>
        <v>0</v>
      </c>
      <c r="N82" s="64">
        <f>(1-N81)</f>
        <v>0.01</v>
      </c>
      <c r="O82" s="13">
        <f t="shared" si="73"/>
        <v>0</v>
      </c>
      <c r="P82" s="64">
        <f>(1-P81)</f>
        <v>0.01</v>
      </c>
      <c r="Q82" s="13">
        <f t="shared" si="74"/>
        <v>0</v>
      </c>
      <c r="R82" s="64">
        <f>(1-R81)</f>
        <v>0.01</v>
      </c>
      <c r="S82" s="13">
        <f t="shared" si="75"/>
        <v>0</v>
      </c>
      <c r="T82" s="64">
        <f>(1-T81)</f>
        <v>0.01</v>
      </c>
      <c r="U82" s="13">
        <f t="shared" si="76"/>
        <v>0</v>
      </c>
      <c r="V82" s="64">
        <f>(1-V81)</f>
        <v>0.01</v>
      </c>
      <c r="W82" s="13">
        <f t="shared" si="77"/>
        <v>1</v>
      </c>
      <c r="X82" s="64">
        <f>(1-X81)</f>
        <v>0.02</v>
      </c>
    </row>
    <row r="83">
      <c r="A83" s="65" t="s">
        <v>190</v>
      </c>
      <c r="B83" s="81">
        <v>0.4</v>
      </c>
      <c r="C83" s="68">
        <f t="shared" si="67"/>
        <v>0</v>
      </c>
      <c r="D83" s="81">
        <v>0.4</v>
      </c>
      <c r="E83" s="68">
        <f t="shared" si="68"/>
        <v>0</v>
      </c>
      <c r="F83" s="81">
        <v>0.4</v>
      </c>
      <c r="G83" s="68">
        <f t="shared" si="69"/>
        <v>0.025</v>
      </c>
      <c r="H83" s="81">
        <v>0.41</v>
      </c>
      <c r="I83" s="68">
        <f t="shared" si="70"/>
        <v>0</v>
      </c>
      <c r="J83" s="81">
        <v>0.41</v>
      </c>
      <c r="K83" s="68">
        <f t="shared" si="71"/>
        <v>-0.0243902439</v>
      </c>
      <c r="L83" s="81">
        <v>0.4</v>
      </c>
      <c r="M83" s="68">
        <f t="shared" si="72"/>
        <v>0</v>
      </c>
      <c r="N83" s="81">
        <v>0.4</v>
      </c>
      <c r="O83" s="68">
        <f t="shared" si="73"/>
        <v>0.025</v>
      </c>
      <c r="P83" s="81">
        <v>0.41</v>
      </c>
      <c r="Q83" s="68">
        <f t="shared" si="74"/>
        <v>0</v>
      </c>
      <c r="R83" s="81">
        <v>0.41</v>
      </c>
      <c r="S83" s="68">
        <f t="shared" si="75"/>
        <v>0</v>
      </c>
      <c r="T83" s="81">
        <v>0.41</v>
      </c>
      <c r="U83" s="68">
        <f t="shared" si="76"/>
        <v>0</v>
      </c>
      <c r="V83" s="81">
        <v>0.41</v>
      </c>
      <c r="W83" s="68">
        <f t="shared" si="77"/>
        <v>-0.0243902439</v>
      </c>
      <c r="X83" s="81">
        <v>0.4</v>
      </c>
    </row>
    <row r="84">
      <c r="A84" s="65" t="s">
        <v>191</v>
      </c>
      <c r="B84" s="81">
        <v>0.29</v>
      </c>
      <c r="C84" s="68">
        <f t="shared" si="67"/>
        <v>0</v>
      </c>
      <c r="D84" s="81">
        <v>0.29</v>
      </c>
      <c r="E84" s="68">
        <f t="shared" si="68"/>
        <v>-0.1034482759</v>
      </c>
      <c r="F84" s="81">
        <v>0.26</v>
      </c>
      <c r="G84" s="68">
        <f t="shared" si="69"/>
        <v>0.03846153846</v>
      </c>
      <c r="H84" s="81">
        <v>0.27</v>
      </c>
      <c r="I84" s="68">
        <f t="shared" si="70"/>
        <v>0</v>
      </c>
      <c r="J84" s="81">
        <v>0.27</v>
      </c>
      <c r="K84" s="68">
        <f t="shared" si="71"/>
        <v>-0.03703703704</v>
      </c>
      <c r="L84" s="81">
        <v>0.26</v>
      </c>
      <c r="M84" s="68">
        <f t="shared" si="72"/>
        <v>0</v>
      </c>
      <c r="N84" s="81">
        <v>0.26</v>
      </c>
      <c r="O84" s="68">
        <f t="shared" si="73"/>
        <v>0</v>
      </c>
      <c r="P84" s="81">
        <v>0.26</v>
      </c>
      <c r="Q84" s="68">
        <f t="shared" si="74"/>
        <v>0</v>
      </c>
      <c r="R84" s="81">
        <v>0.26</v>
      </c>
      <c r="S84" s="68">
        <f t="shared" si="75"/>
        <v>0</v>
      </c>
      <c r="T84" s="81">
        <v>0.26</v>
      </c>
      <c r="U84" s="68">
        <f t="shared" si="76"/>
        <v>0</v>
      </c>
      <c r="V84" s="81">
        <v>0.26</v>
      </c>
      <c r="W84" s="68">
        <f t="shared" si="77"/>
        <v>0.1153846154</v>
      </c>
      <c r="X84" s="81">
        <v>0.29</v>
      </c>
    </row>
    <row r="85">
      <c r="A85" s="65" t="s">
        <v>192</v>
      </c>
      <c r="B85" s="81">
        <v>0.11</v>
      </c>
      <c r="C85" s="68">
        <f t="shared" si="67"/>
        <v>0</v>
      </c>
      <c r="D85" s="81">
        <v>0.11</v>
      </c>
      <c r="E85" s="68">
        <f t="shared" si="68"/>
        <v>0</v>
      </c>
      <c r="F85" s="81">
        <v>0.11</v>
      </c>
      <c r="G85" s="68">
        <f t="shared" si="69"/>
        <v>-0.2727272727</v>
      </c>
      <c r="H85" s="81">
        <v>0.08</v>
      </c>
      <c r="I85" s="68">
        <f t="shared" si="70"/>
        <v>0</v>
      </c>
      <c r="J85" s="81">
        <v>0.08</v>
      </c>
      <c r="K85" s="68">
        <f t="shared" si="71"/>
        <v>0</v>
      </c>
      <c r="L85" s="81">
        <v>0.08</v>
      </c>
      <c r="M85" s="68">
        <f t="shared" si="72"/>
        <v>0</v>
      </c>
      <c r="N85" s="81">
        <v>0.08</v>
      </c>
      <c r="O85" s="68">
        <f t="shared" si="73"/>
        <v>0</v>
      </c>
      <c r="P85" s="81">
        <v>0.08</v>
      </c>
      <c r="Q85" s="68">
        <f t="shared" si="74"/>
        <v>0</v>
      </c>
      <c r="R85" s="81">
        <v>0.08</v>
      </c>
      <c r="S85" s="68">
        <f t="shared" si="75"/>
        <v>0</v>
      </c>
      <c r="T85" s="81">
        <v>0.08</v>
      </c>
      <c r="U85" s="68">
        <f t="shared" si="76"/>
        <v>0</v>
      </c>
      <c r="V85" s="81">
        <v>0.08</v>
      </c>
      <c r="W85" s="68">
        <f t="shared" si="77"/>
        <v>0.375</v>
      </c>
      <c r="X85" s="81">
        <v>0.11</v>
      </c>
    </row>
    <row r="86">
      <c r="A86" s="65" t="s">
        <v>194</v>
      </c>
      <c r="B86" s="81">
        <v>0.05</v>
      </c>
      <c r="C86" s="68">
        <f t="shared" si="67"/>
        <v>0</v>
      </c>
      <c r="D86" s="81">
        <v>0.05</v>
      </c>
      <c r="E86" s="68">
        <f t="shared" si="68"/>
        <v>0.6</v>
      </c>
      <c r="F86" s="81">
        <v>0.08</v>
      </c>
      <c r="G86" s="68">
        <f t="shared" si="69"/>
        <v>0</v>
      </c>
      <c r="H86" s="81">
        <v>0.08</v>
      </c>
      <c r="I86" s="68">
        <f t="shared" si="70"/>
        <v>0</v>
      </c>
      <c r="J86" s="81">
        <v>0.08</v>
      </c>
      <c r="K86" s="68">
        <f t="shared" si="71"/>
        <v>0</v>
      </c>
      <c r="L86" s="81">
        <v>0.08</v>
      </c>
      <c r="M86" s="68">
        <f t="shared" si="72"/>
        <v>0</v>
      </c>
      <c r="N86" s="81">
        <v>0.08</v>
      </c>
      <c r="O86" s="68">
        <f t="shared" si="73"/>
        <v>0</v>
      </c>
      <c r="P86" s="81">
        <v>0.08</v>
      </c>
      <c r="Q86" s="68">
        <f t="shared" si="74"/>
        <v>0</v>
      </c>
      <c r="R86" s="81">
        <v>0.08</v>
      </c>
      <c r="S86" s="68">
        <f t="shared" si="75"/>
        <v>0</v>
      </c>
      <c r="T86" s="81">
        <v>0.08</v>
      </c>
      <c r="U86" s="68">
        <f t="shared" si="76"/>
        <v>0</v>
      </c>
      <c r="V86" s="81">
        <v>0.08</v>
      </c>
      <c r="W86" s="68">
        <f t="shared" si="77"/>
        <v>-0.375</v>
      </c>
      <c r="X86" s="81">
        <v>0.05</v>
      </c>
    </row>
    <row r="87">
      <c r="A87" s="65" t="s">
        <v>115</v>
      </c>
      <c r="B87" s="81">
        <v>0.15</v>
      </c>
      <c r="C87" s="68">
        <f t="shared" si="67"/>
        <v>0</v>
      </c>
      <c r="D87" s="81">
        <v>0.15</v>
      </c>
      <c r="E87" s="68">
        <f t="shared" si="68"/>
        <v>0</v>
      </c>
      <c r="F87" s="81">
        <v>0.15</v>
      </c>
      <c r="G87" s="68">
        <f t="shared" si="69"/>
        <v>0.06666666667</v>
      </c>
      <c r="H87" s="81">
        <v>0.16</v>
      </c>
      <c r="I87" s="68">
        <f t="shared" si="70"/>
        <v>0</v>
      </c>
      <c r="J87" s="81">
        <v>0.16</v>
      </c>
      <c r="K87" s="68">
        <f t="shared" si="71"/>
        <v>0.0625</v>
      </c>
      <c r="L87" s="81">
        <v>0.17</v>
      </c>
      <c r="M87" s="68">
        <f t="shared" si="72"/>
        <v>0</v>
      </c>
      <c r="N87" s="81">
        <v>0.17</v>
      </c>
      <c r="O87" s="68">
        <f t="shared" si="73"/>
        <v>0</v>
      </c>
      <c r="P87" s="81">
        <v>0.17</v>
      </c>
      <c r="Q87" s="68">
        <f t="shared" si="74"/>
        <v>0</v>
      </c>
      <c r="R87" s="81">
        <v>0.17</v>
      </c>
      <c r="S87" s="68">
        <f t="shared" si="75"/>
        <v>0</v>
      </c>
      <c r="T87" s="81">
        <v>0.17</v>
      </c>
      <c r="U87" s="68">
        <f t="shared" si="76"/>
        <v>0</v>
      </c>
      <c r="V87" s="81">
        <v>0.17</v>
      </c>
      <c r="W87" s="68">
        <f t="shared" si="77"/>
        <v>-0.1176470588</v>
      </c>
      <c r="X87" s="81">
        <v>0.15</v>
      </c>
    </row>
    <row r="88">
      <c r="A88" s="4" t="s">
        <v>113</v>
      </c>
      <c r="B88" s="75">
        <v>117.9</v>
      </c>
      <c r="C88" s="13">
        <f t="shared" si="67"/>
        <v>0.01441899915</v>
      </c>
      <c r="D88" s="75">
        <v>119.6</v>
      </c>
      <c r="E88" s="13">
        <f t="shared" si="68"/>
        <v>0.03678929766</v>
      </c>
      <c r="F88" s="75">
        <v>124.0</v>
      </c>
      <c r="G88" s="13">
        <f t="shared" si="69"/>
        <v>-0.0685483871</v>
      </c>
      <c r="H88" s="75">
        <v>115.5</v>
      </c>
      <c r="I88" s="13">
        <f t="shared" si="70"/>
        <v>0.02251082251</v>
      </c>
      <c r="J88" s="75">
        <v>118.1</v>
      </c>
      <c r="K88" s="13">
        <f t="shared" si="71"/>
        <v>0.001693480102</v>
      </c>
      <c r="L88" s="75">
        <v>118.3</v>
      </c>
      <c r="M88" s="13">
        <f t="shared" si="72"/>
        <v>-0.03127641589</v>
      </c>
      <c r="N88" s="75">
        <v>114.6</v>
      </c>
      <c r="O88" s="13">
        <f t="shared" si="73"/>
        <v>0.003054101222</v>
      </c>
      <c r="P88" s="75">
        <v>114.95</v>
      </c>
      <c r="Q88" s="13">
        <f t="shared" si="74"/>
        <v>0</v>
      </c>
      <c r="R88" s="75">
        <v>114.95</v>
      </c>
      <c r="S88" s="13">
        <f t="shared" si="75"/>
        <v>0</v>
      </c>
      <c r="T88" s="75">
        <v>114.95</v>
      </c>
      <c r="U88" s="13">
        <f t="shared" si="76"/>
        <v>0</v>
      </c>
      <c r="V88" s="75">
        <v>114.95</v>
      </c>
      <c r="W88" s="13">
        <f t="shared" si="77"/>
        <v>0.0291431057</v>
      </c>
      <c r="X88" s="75">
        <v>118.3</v>
      </c>
    </row>
    <row r="89">
      <c r="A89" s="4" t="s">
        <v>116</v>
      </c>
      <c r="B89" s="75">
        <v>116.4</v>
      </c>
      <c r="C89" s="13">
        <f t="shared" si="67"/>
        <v>0.002577319588</v>
      </c>
      <c r="D89" s="75">
        <v>116.7</v>
      </c>
      <c r="E89" s="13">
        <f t="shared" si="68"/>
        <v>-0.001713796058</v>
      </c>
      <c r="F89" s="75">
        <v>116.5</v>
      </c>
      <c r="G89" s="13">
        <f t="shared" si="69"/>
        <v>-0.001716738197</v>
      </c>
      <c r="H89" s="75">
        <v>116.3</v>
      </c>
      <c r="I89" s="13">
        <f t="shared" si="70"/>
        <v>-0.002579535684</v>
      </c>
      <c r="J89" s="75">
        <v>116.0</v>
      </c>
      <c r="K89" s="13">
        <f t="shared" si="71"/>
        <v>-0.002586206897</v>
      </c>
      <c r="L89" s="75">
        <v>115.7</v>
      </c>
      <c r="M89" s="13">
        <f t="shared" si="72"/>
        <v>-0.005185825411</v>
      </c>
      <c r="N89" s="75">
        <v>115.1</v>
      </c>
      <c r="O89" s="13">
        <f t="shared" si="73"/>
        <v>-0.001998262381</v>
      </c>
      <c r="P89" s="75">
        <v>114.87</v>
      </c>
      <c r="Q89" s="13">
        <f t="shared" si="74"/>
        <v>0</v>
      </c>
      <c r="R89" s="75">
        <v>114.87</v>
      </c>
      <c r="S89" s="13">
        <f t="shared" si="75"/>
        <v>0</v>
      </c>
      <c r="T89" s="75">
        <v>114.87</v>
      </c>
      <c r="U89" s="13">
        <f t="shared" si="76"/>
        <v>0</v>
      </c>
      <c r="V89" s="75">
        <v>114.87</v>
      </c>
      <c r="W89" s="13">
        <f t="shared" si="77"/>
        <v>0.007225559328</v>
      </c>
      <c r="X89" s="75">
        <v>115.7</v>
      </c>
    </row>
    <row r="90">
      <c r="A90" s="4" t="s">
        <v>119</v>
      </c>
      <c r="B90" s="24">
        <f>B88/B89</f>
        <v>1.012886598</v>
      </c>
      <c r="C90" s="13">
        <f t="shared" si="67"/>
        <v>0.01181123823</v>
      </c>
      <c r="D90" s="24">
        <f>D88/D89</f>
        <v>1.024850043</v>
      </c>
      <c r="E90" s="13">
        <f t="shared" si="68"/>
        <v>0.03856919345</v>
      </c>
      <c r="F90" s="22">
        <f>F88/F89</f>
        <v>1.064377682</v>
      </c>
      <c r="G90" s="13">
        <f t="shared" si="69"/>
        <v>-0.06694657865</v>
      </c>
      <c r="H90" s="22">
        <f>H88/H89</f>
        <v>0.9931212382</v>
      </c>
      <c r="I90" s="13">
        <f t="shared" si="70"/>
        <v>0.02515524705</v>
      </c>
      <c r="J90" s="22">
        <f>J88/J89</f>
        <v>1.018103448</v>
      </c>
      <c r="K90" s="13">
        <f t="shared" si="71"/>
        <v>0.004290783853</v>
      </c>
      <c r="L90" s="22">
        <f>L88/L89</f>
        <v>1.02247191</v>
      </c>
      <c r="M90" s="13">
        <f t="shared" si="72"/>
        <v>-0.02622659703</v>
      </c>
      <c r="N90" s="22">
        <f>N88/N89</f>
        <v>0.9956559513</v>
      </c>
      <c r="O90" s="13">
        <f t="shared" si="73"/>
        <v>0.005062479765</v>
      </c>
      <c r="P90" s="22">
        <f>P88/P89</f>
        <v>1.000696439</v>
      </c>
      <c r="Q90" s="13">
        <f t="shared" si="74"/>
        <v>0</v>
      </c>
      <c r="R90" s="22">
        <f>R88/R89</f>
        <v>1.000696439</v>
      </c>
      <c r="S90" s="13">
        <f t="shared" si="75"/>
        <v>0</v>
      </c>
      <c r="T90" s="22">
        <f>T88/T89</f>
        <v>1.000696439</v>
      </c>
      <c r="U90" s="13">
        <f t="shared" si="76"/>
        <v>0</v>
      </c>
      <c r="V90" s="22">
        <f>V88/V89</f>
        <v>1.000696439</v>
      </c>
      <c r="W90" s="13">
        <f t="shared" si="77"/>
        <v>0.02176031592</v>
      </c>
      <c r="X90" s="22">
        <f>X88/X89</f>
        <v>1.02247191</v>
      </c>
    </row>
    <row r="91">
      <c r="A91" s="4" t="s">
        <v>121</v>
      </c>
      <c r="B91" s="4" t="s">
        <v>148</v>
      </c>
    </row>
    <row r="92">
      <c r="A92" s="5" t="s">
        <v>123</v>
      </c>
      <c r="B92" s="89">
        <v>0.0103</v>
      </c>
      <c r="D92" s="6"/>
      <c r="E92" s="105"/>
      <c r="F92" s="6"/>
      <c r="G92" s="6"/>
    </row>
    <row r="93">
      <c r="A93" s="4" t="s">
        <v>125</v>
      </c>
      <c r="B93" s="90" t="s">
        <v>139</v>
      </c>
      <c r="D93" s="6"/>
      <c r="E93" s="105"/>
      <c r="F93" s="6"/>
      <c r="G93" s="6"/>
    </row>
    <row r="94" ht="22.5" customHeight="1">
      <c r="A94" s="4" t="s">
        <v>126</v>
      </c>
      <c r="B94" s="83">
        <f>SUM(B33,D33,F33,H33,J33,L33,N33,P33,R33,T33,V33,X33)*1000</f>
        <v>215271000</v>
      </c>
      <c r="D94" s="86" t="s">
        <v>128</v>
      </c>
      <c r="E94" s="162" t="s">
        <v>113</v>
      </c>
      <c r="F94" s="86" t="s">
        <v>116</v>
      </c>
      <c r="G94" s="86" t="s">
        <v>119</v>
      </c>
      <c r="H94" s="86" t="s">
        <v>129</v>
      </c>
      <c r="I94" s="92" t="s">
        <v>131</v>
      </c>
      <c r="J94" s="87" t="s">
        <v>132</v>
      </c>
      <c r="K94" s="87" t="s">
        <v>133</v>
      </c>
      <c r="L94" s="87" t="s">
        <v>134</v>
      </c>
    </row>
    <row r="95" ht="22.5" customHeight="1">
      <c r="A95" s="4" t="s">
        <v>135</v>
      </c>
      <c r="B95" s="83">
        <f>SUM(B59,D59,F59,H59,J59,L59,N59,P59,R59,T59,V59,X59)</f>
        <v>27010000</v>
      </c>
      <c r="D95" s="95" t="s">
        <v>138</v>
      </c>
      <c r="E95" s="96">
        <f t="array" ref="E95">IFERROR(INDEX(FCD[], MATCH(D95, FCD[FIIs], 0), MATCH(FCD[[#HEADERS],[V/Mercado]], FCD[#HEADERS], 0)),"")</f>
        <v>91.6</v>
      </c>
      <c r="F95" s="96">
        <f t="array" ref="F95">IFERROR(INDEX(Indicador_Fii[], MATCH(D95, Indicador_Fii[Fii], 0), MATCH(Indicador_Fii[[#HEADERS],[VP/Cota]], Indicador_Fii[#HEADERS], 0)),"")</f>
        <v>105.25</v>
      </c>
      <c r="G95" s="99">
        <f t="shared" ref="G95:G100" si="78">E95/F95</f>
        <v>0.8703087886</v>
      </c>
      <c r="H95" s="94">
        <f t="shared" ref="H95:H100" si="79">I95/F95</f>
        <v>0.9323973024</v>
      </c>
      <c r="I95" s="101">
        <f t="array" ref="I95">IFERROR(INDEX(FCD[], MATCH(D95, FCD[FIIs], 0), MATCH(FCD[[#HEADERS],[Preço_Justo]], FCD[#HEADERS], 0)),"")</f>
        <v>98.13481608</v>
      </c>
      <c r="J95" s="98">
        <f t="array" ref="J95">IFERROR(INDEX(Indicador_Fii[], MATCH(D95, Indicador_Fii[Fii], 0), MATCH(Indicador_Fii[[#HEADERS],[FFO_Yield]], Indicador_Fii[#HEADERS], 0)),"")</f>
        <v>6.94</v>
      </c>
      <c r="K95" s="98">
        <f t="array" ref="K95">IFERROR(INDEX(Indicador_Fii[], MATCH(D95, Indicador_Fii[Fii], 0), MATCH(Indicador_Fii[[#HEADERS],[DIV_Yield]], Indicador_Fii[#HEADERS], 0)),"")</f>
        <v>8.8</v>
      </c>
      <c r="L95" s="100">
        <f>IFERROR(__xludf.DUMMYFUNCTION("GOOGLEFINANCE(D95, ""volumeavg"")"),83200.0)</f>
        <v>83200</v>
      </c>
    </row>
    <row r="96" ht="22.5" customHeight="1">
      <c r="A96" s="4" t="s">
        <v>144</v>
      </c>
      <c r="B96" s="13">
        <f>B95/B94</f>
        <v>0.1254697567</v>
      </c>
      <c r="D96" s="102" t="s">
        <v>137</v>
      </c>
      <c r="E96" s="103">
        <f t="array" ref="E96">IFERROR(INDEX(FCD[], MATCH(D96, FCD[FIIs], 0), MATCH(FCD[[#HEADERS],[V/Mercado]], FCD[#HEADERS], 0)),"")</f>
        <v>9</v>
      </c>
      <c r="F96" s="103">
        <f t="array" ref="F96">IFERROR(INDEX(Indicador_Fii[], MATCH(D96, Indicador_Fii[Fii], 0), MATCH(Indicador_Fii[[#HEADERS],[VP/Cota]], Indicador_Fii[#HEADERS], 0)),"")</f>
        <v>11.03</v>
      </c>
      <c r="G96" s="104">
        <f t="shared" si="78"/>
        <v>0.8159564823</v>
      </c>
      <c r="H96" s="94">
        <f t="shared" si="79"/>
        <v>0.943436746</v>
      </c>
      <c r="I96" s="101">
        <f t="array" ref="I96">IFERROR(INDEX(FCD[], MATCH(D96, FCD[FIIs], 0), MATCH(FCD[[#HEADERS],[Preço_Justo]], FCD[#HEADERS], 0)),"")</f>
        <v>10.40610731</v>
      </c>
      <c r="J96" s="98">
        <f t="array" ref="J96">IFERROR(INDEX(Indicador_Fii[], MATCH(D96, Indicador_Fii[Fii], 0), MATCH(Indicador_Fii[[#HEADERS],[FFO_Yield]], Indicador_Fii[#HEADERS], 0)),"")</f>
        <v>6.11</v>
      </c>
      <c r="K96" s="98">
        <f t="array" ref="K96">IFERROR(INDEX(Indicador_Fii[], MATCH(D96, Indicador_Fii[Fii], 0), MATCH(Indicador_Fii[[#HEADERS],[DIV_Yield]], Indicador_Fii[#HEADERS], 0)),"")</f>
        <v>11.8</v>
      </c>
      <c r="L96" s="100">
        <f>IFERROR(__xludf.DUMMYFUNCTION("GOOGLEFINANCE(D96, ""volumeavg"")"),2033352.0)</f>
        <v>2033352</v>
      </c>
    </row>
    <row r="97" ht="22.5" customHeight="1">
      <c r="A97" s="4" t="s">
        <v>146</v>
      </c>
      <c r="B97" s="83">
        <f>IFERROR(__xludf.DUMMYFUNCTION("GOOGLEFINANCE(B91)*B99"),1.9861278036299999E9)</f>
        <v>1986127804</v>
      </c>
      <c r="D97" s="95" t="s">
        <v>140</v>
      </c>
      <c r="E97" s="96">
        <f t="array" ref="E97">IFERROR(INDEX(FCD[], MATCH(D97, FCD[FIIs], 0), MATCH(FCD[[#HEADERS],[V/Mercado]], FCD[#HEADERS], 0)),"")</f>
        <v>146.52</v>
      </c>
      <c r="F97" s="96">
        <f t="array" ref="F97">IFERROR(INDEX(Indicador_Fii[], MATCH(D97, Indicador_Fii[Fii], 0), MATCH(Indicador_Fii[[#HEADERS],[VP/Cota]], Indicador_Fii[#HEADERS], 0)),"")</f>
        <v>166</v>
      </c>
      <c r="G97" s="99">
        <f t="shared" si="78"/>
        <v>0.8826506024</v>
      </c>
      <c r="H97" s="94">
        <f t="shared" si="79"/>
        <v>0.9284179884</v>
      </c>
      <c r="I97" s="101">
        <f t="array" ref="I97">IFERROR(INDEX(FCD[], MATCH(D97, FCD[FIIs], 0), MATCH(FCD[[#HEADERS],[Preço_Justo]], FCD[#HEADERS], 0)),"")</f>
        <v>154.1173861</v>
      </c>
      <c r="J97" s="98">
        <f t="array" ref="J97">IFERROR(INDEX(Indicador_Fii[], MATCH(D97, Indicador_Fii[Fii], 0), MATCH(Indicador_Fii[[#HEADERS],[FFO_Yield]], Indicador_Fii[#HEADERS], 0)),"")</f>
        <v>6.55</v>
      </c>
      <c r="K97" s="98">
        <f t="array" ref="K97">IFERROR(INDEX(Indicador_Fii[], MATCH(D97, Indicador_Fii[Fii], 0), MATCH(Indicador_Fii[[#HEADERS],[DIV_Yield]], Indicador_Fii[#HEADERS], 0)),"")</f>
        <v>7.2</v>
      </c>
      <c r="L97" s="100">
        <f>IFERROR(__xludf.DUMMYFUNCTION("GOOGLEFINANCE(D97, ""volumeavg"")"),129710.0)</f>
        <v>129710</v>
      </c>
    </row>
    <row r="98" ht="22.5" customHeight="1">
      <c r="A98" s="4" t="s">
        <v>147</v>
      </c>
      <c r="B98" s="13">
        <f>B95/B97</f>
        <v>0.01359932626</v>
      </c>
      <c r="D98" s="102" t="s">
        <v>148</v>
      </c>
      <c r="E98" s="103">
        <f t="array" ref="E98">IFERROR(INDEX(FCD[], MATCH(D98, FCD[FIIs], 0), MATCH(FCD[[#HEADERS],[V/Mercado]], FCD[#HEADERS], 0)),"")</f>
        <v>110.21</v>
      </c>
      <c r="F98" s="103">
        <f t="array" ref="F98">IFERROR(INDEX(Indicador_Fii[], MATCH(D98, Indicador_Fii[Fii], 0), MATCH(Indicador_Fii[[#HEADERS],[VP/Cota]], Indicador_Fii[#HEADERS], 0)),"")</f>
        <v>115.72</v>
      </c>
      <c r="G98" s="104">
        <f t="shared" si="78"/>
        <v>0.9523850674</v>
      </c>
      <c r="H98" s="94">
        <f t="shared" si="79"/>
        <v>0.9696288982</v>
      </c>
      <c r="I98" s="101">
        <f t="array" ref="I98">IFERROR(INDEX(FCD[], MATCH(D98, FCD[FIIs], 0), MATCH(FCD[[#HEADERS],[Preço_Justo]], FCD[#HEADERS], 0)),"")</f>
        <v>112.2054561</v>
      </c>
      <c r="J98" s="98">
        <f t="array" ref="J98">IFERROR(INDEX(Indicador_Fii[], MATCH(D98, Indicador_Fii[Fii], 0), MATCH(Indicador_Fii[[#HEADERS],[FFO_Yield]], Indicador_Fii[#HEADERS], 0)),"")</f>
        <v>7.31</v>
      </c>
      <c r="K98" s="98">
        <f t="array" ref="K98">IFERROR(INDEX(Indicador_Fii[], MATCH(D98, Indicador_Fii[Fii], 0), MATCH(Indicador_Fii[[#HEADERS],[DIV_Yield]], Indicador_Fii[#HEADERS], 0)),"")</f>
        <v>8</v>
      </c>
      <c r="L98" s="100">
        <f>IFERROR(__xludf.DUMMYFUNCTION("GOOGLEFINANCE(D98, ""volumeavg"")"),42729.0)</f>
        <v>42729</v>
      </c>
    </row>
    <row r="99" ht="22.5" customHeight="1">
      <c r="A99" s="4" t="s">
        <v>149</v>
      </c>
      <c r="B99" s="22">
        <f t="array" ref="B99">IFERROR(INDEX(Indicador_Fii[], MATCH(B91, Indicador_Fii[Fii], 0), MATCH(Indicador_Fii[[#HEADERS],[Qtd_Cotas]], Indicador_Fii[#HEADERS], 0)),"")</f>
        <v>18021303</v>
      </c>
      <c r="D99" s="112" t="s">
        <v>145</v>
      </c>
      <c r="E99" s="113">
        <f t="array" ref="E99">IFERROR(INDEX(FCD[], MATCH(D99, FCD[FIIs], 0), MATCH(FCD[[#HEADERS],[V/Mercado]], FCD[#HEADERS], 0)),"")</f>
        <v>100.09</v>
      </c>
      <c r="F99" s="113">
        <f t="array" ref="F99">IFERROR(INDEX(Indicador_Fii[], MATCH(D99, Indicador_Fii[Fii], 0), MATCH(Indicador_Fii[[#HEADERS],[VP/Cota]], Indicador_Fii[#HEADERS], 0)),"")</f>
        <v>102.4</v>
      </c>
      <c r="G99" s="116">
        <f t="shared" si="78"/>
        <v>0.9774414063</v>
      </c>
      <c r="H99" s="94">
        <f t="shared" si="79"/>
        <v>0.9927610269</v>
      </c>
      <c r="I99" s="101">
        <f t="array" ref="I99">IFERROR(INDEX(FCD[], MATCH(D99, FCD[FIIs], 0), MATCH(FCD[[#HEADERS],[Preço_Justo]], FCD[#HEADERS], 0)),"")</f>
        <v>101.6587292</v>
      </c>
      <c r="J99" s="98">
        <f t="array" ref="J99">IFERROR(INDEX(Indicador_Fii[], MATCH(D99, Indicador_Fii[Fii], 0), MATCH(Indicador_Fii[[#HEADERS],[FFO_Yield]], Indicador_Fii[#HEADERS], 0)),"")</f>
        <v>6.08</v>
      </c>
      <c r="K99" s="98">
        <f t="array" ref="K99">IFERROR(INDEX(Indicador_Fii[], MATCH(D99, Indicador_Fii[Fii], 0), MATCH(Indicador_Fii[[#HEADERS],[DIV_Yield]], Indicador_Fii[#HEADERS], 0)),"")</f>
        <v>7.9</v>
      </c>
      <c r="L99" s="100">
        <f>IFERROR(__xludf.DUMMYFUNCTION("GOOGLEFINANCE(D99, ""volumeavg"")"),176536.0)</f>
        <v>176536</v>
      </c>
    </row>
    <row r="100" ht="22.5" customHeight="1">
      <c r="A100" s="4" t="s">
        <v>150</v>
      </c>
      <c r="B100" s="24">
        <f t="array" ref="B100">IFERROR(INDEX(Indicador_Fii[], MATCH(B91, Indicador_Fii[Fii], 0), MATCH(Indicador_Fii[[#HEADERS],[Patrimonio_Liq]], Indicador_Fii[#HEADERS], 0)),"")</f>
        <v>2085470000</v>
      </c>
      <c r="D100" s="166" t="s">
        <v>122</v>
      </c>
      <c r="E100" s="167">
        <f t="array" ref="E100">IFERROR(INDEX(FCD[], MATCH(D100, FCD[FIIs], 0), MATCH(FCD[[#HEADERS],[V/Mercado]], FCD[#HEADERS], 0)),"")</f>
        <v>156.75</v>
      </c>
      <c r="F100" s="167">
        <f t="array" ref="F100">IFERROR(INDEX(Indicador_Fii[], MATCH(D100, Indicador_Fii[Fii], 0), MATCH(Indicador_Fii[[#HEADERS],[VP/Cota]], Indicador_Fii[#HEADERS], 0)),"")</f>
        <v>163.15</v>
      </c>
      <c r="G100" s="121">
        <f t="shared" si="78"/>
        <v>0.9607722954</v>
      </c>
      <c r="H100" s="94">
        <f t="shared" si="79"/>
        <v>0.9320399007</v>
      </c>
      <c r="I100" s="101">
        <f t="array" ref="I100">IFERROR(INDEX(FCD[], MATCH(D100, FCD[FIIs], 0), MATCH(FCD[[#HEADERS],[Preço_Justo]], FCD[#HEADERS], 0)),"")</f>
        <v>152.0623098</v>
      </c>
      <c r="J100" s="98">
        <f t="array" ref="J100">IFERROR(INDEX(Indicador_Fii[], MATCH(D100, Indicador_Fii[Fii], 0), MATCH(Indicador_Fii[[#HEADERS],[FFO_Yield]], Indicador_Fii[#HEADERS], 0)),"")</f>
        <v>7.34</v>
      </c>
      <c r="K100" s="98">
        <f t="array" ref="K100">IFERROR(INDEX(Indicador_Fii[], MATCH(D100, Indicador_Fii[Fii], 0), MATCH(Indicador_Fii[[#HEADERS],[DIV_Yield]], Indicador_Fii[#HEADERS], 0)),"")</f>
        <v>6.8</v>
      </c>
      <c r="L100" s="100">
        <f>IFERROR(__xludf.DUMMYFUNCTION("GOOGLEFINANCE(D100, ""volumeavg"")"),51677.0)</f>
        <v>51677</v>
      </c>
    </row>
    <row r="101">
      <c r="A101" s="4" t="s">
        <v>151</v>
      </c>
      <c r="B101" s="40">
        <f>B94/B100</f>
        <v>0.1032242132</v>
      </c>
      <c r="J101" s="123" t="str">
        <f t="array" ref="J101">IFERROR(INDEX(Indicador_Fii[], MATCH(D101, Indicador_Fii[Fii], 0), MATCH(Indicador_Fii[[#HEADERS],[FFO_Yield]], Indicador_Fii[#HEADERS], 0)),"")</f>
        <v/>
      </c>
      <c r="K101" s="123" t="str">
        <f t="array" ref="K101">IFERROR(INDEX(Indicador_Fii[], MATCH(D101, Indicador_Fii[Fii], 0), MATCH(Indicador_Fii[[#HEADERS],[DIV_Yield]], Indicador_Fii[#HEADERS], 0)),"")</f>
        <v/>
      </c>
    </row>
    <row r="102">
      <c r="A102" s="4" t="s">
        <v>63</v>
      </c>
      <c r="B102" s="24">
        <f>SUM(B39,D39,F39,H39,J39,L39,N39,P39,R39,T39,V39,X39)*1000</f>
        <v>198955000</v>
      </c>
    </row>
    <row r="103">
      <c r="A103" s="4" t="s">
        <v>152</v>
      </c>
      <c r="B103" s="40">
        <f>B102/B94</f>
        <v>0.9242071621</v>
      </c>
    </row>
    <row r="104">
      <c r="A104" s="4" t="s">
        <v>153</v>
      </c>
      <c r="B104" s="4" t="s">
        <v>165</v>
      </c>
    </row>
    <row r="105">
      <c r="A105" s="4" t="s">
        <v>155</v>
      </c>
      <c r="B105" s="4" t="s">
        <v>3</v>
      </c>
    </row>
    <row r="106">
      <c r="A106" s="4" t="s">
        <v>156</v>
      </c>
      <c r="B106" s="4" t="s">
        <v>3</v>
      </c>
    </row>
    <row r="107">
      <c r="B107" s="168" t="s">
        <v>197</v>
      </c>
    </row>
  </sheetData>
  <mergeCells count="1">
    <mergeCell ref="B107:G112"/>
  </mergeCells>
  <dataValidations>
    <dataValidation type="list" allowBlank="1" showErrorMessage="1" sqref="B1 D1 F1 H1 J1 L1 N1 P1 R1 T1 V1 X1 B45 D45 F45 H45 J45 L45 N45 P45 R45 T45 V45 X45 B68 D68 F68 H68 J68 L68 N68 P68 R68 T68 V68 X68">
      <formula1>"Feito,Não,Atual"</formula1>
    </dataValidation>
    <dataValidation type="list" allowBlank="1" showErrorMessage="1" sqref="B104">
      <formula1>"Bom,Normal,Cuidado_Ver_DRE"</formula1>
    </dataValidation>
    <dataValidation type="list" allowBlank="1" showErrorMessage="1" sqref="B105:B106">
      <formula1>"Feito,Não"</formula1>
    </dataValidation>
    <dataValidation type="custom" allowBlank="1" showDropDown="1" sqref="E95:G100 L95:L100">
      <formula1>AND(ISNUMBER(E95),(NOT(OR(NOT(ISERROR(DATEVALUE(E95))), AND(ISNUMBER(E95), LEFT(CELL("format", E95))="D")))))</formula1>
    </dataValidation>
  </dataValidations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3" width="15.25"/>
    <col customWidth="1" min="4" max="4" width="16.88"/>
    <col customWidth="1" min="5" max="5" width="16.25"/>
    <col customWidth="1" min="6" max="6" width="19.38"/>
    <col customWidth="1" min="7" max="7" width="17.75"/>
    <col customWidth="1" min="8" max="8" width="18.63"/>
    <col customWidth="1" min="9" max="9" width="16.13"/>
    <col customWidth="1" min="10" max="10" width="20.75"/>
    <col customWidth="1" min="11" max="11" width="16.0"/>
    <col customWidth="1" min="12" max="12" width="16.38"/>
    <col customWidth="1" min="13" max="13" width="16.5"/>
    <col customWidth="1" min="14" max="14" width="14.75"/>
    <col customWidth="1" min="15" max="15" width="15.38"/>
    <col customWidth="1" min="16" max="16" width="15.5"/>
    <col customWidth="1" min="17" max="17" width="15.63"/>
    <col customWidth="1" min="18" max="18" width="15.25"/>
    <col customWidth="1" min="19" max="19" width="15.5"/>
    <col customWidth="1" min="20" max="20" width="16.0"/>
    <col customWidth="1" min="21" max="21" width="15.13"/>
    <col customWidth="1" min="22" max="22" width="16.63"/>
    <col customWidth="1" min="23" max="24" width="15.38"/>
    <col customWidth="1" min="25" max="25" width="15.63"/>
  </cols>
  <sheetData>
    <row r="1">
      <c r="A1" s="1" t="s">
        <v>0</v>
      </c>
      <c r="B1" s="2" t="s">
        <v>1</v>
      </c>
      <c r="C1" s="3">
        <v>46064.0</v>
      </c>
      <c r="D1" s="2" t="s">
        <v>1</v>
      </c>
      <c r="E1" s="3">
        <v>46073.0</v>
      </c>
      <c r="F1" s="2" t="s">
        <v>1</v>
      </c>
      <c r="G1" s="3">
        <v>46094.0</v>
      </c>
      <c r="H1" s="2" t="s">
        <v>1</v>
      </c>
      <c r="I1" s="3">
        <v>46129.0</v>
      </c>
      <c r="J1" s="2" t="s">
        <v>1</v>
      </c>
      <c r="K1" s="3">
        <v>46155.0</v>
      </c>
      <c r="L1" s="2" t="s">
        <v>1</v>
      </c>
      <c r="M1" s="3">
        <v>46184.0</v>
      </c>
      <c r="N1" s="2" t="s">
        <v>1</v>
      </c>
      <c r="O1" s="3">
        <v>46216.0</v>
      </c>
      <c r="P1" s="2" t="s">
        <v>2</v>
      </c>
      <c r="Q1" s="3">
        <v>46246.0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4" t="s">
        <v>4</v>
      </c>
      <c r="B2" s="4" t="s">
        <v>5</v>
      </c>
      <c r="D2" s="5" t="s">
        <v>6</v>
      </c>
      <c r="E2" s="6"/>
      <c r="F2" s="5" t="s">
        <v>7</v>
      </c>
      <c r="G2" s="6"/>
      <c r="H2" s="5" t="s">
        <v>8</v>
      </c>
      <c r="I2" s="6"/>
      <c r="J2" s="5" t="s">
        <v>9</v>
      </c>
      <c r="K2" s="6"/>
      <c r="L2" s="5" t="s">
        <v>10</v>
      </c>
      <c r="M2" s="6"/>
      <c r="N2" s="5" t="s">
        <v>11</v>
      </c>
      <c r="O2" s="6"/>
      <c r="P2" s="4" t="s">
        <v>12</v>
      </c>
      <c r="R2" s="4" t="s">
        <v>13</v>
      </c>
      <c r="T2" s="4" t="s">
        <v>14</v>
      </c>
      <c r="V2" s="4" t="s">
        <v>15</v>
      </c>
      <c r="X2" s="4" t="s">
        <v>16</v>
      </c>
    </row>
    <row r="3">
      <c r="A3" s="7" t="s">
        <v>17</v>
      </c>
      <c r="B3" s="8">
        <f>SUM(B6,B9,B11)</f>
        <v>38423580</v>
      </c>
      <c r="C3" s="9">
        <f t="shared" ref="C3:C14" si="1">IFERROR(SUM((D3/B3)-1),0)</f>
        <v>-0.3390960447</v>
      </c>
      <c r="D3" s="8">
        <f>SUM(D6,D9,D11)</f>
        <v>25394296</v>
      </c>
      <c r="E3" s="9">
        <f t="shared" ref="E3:E14" si="2">IFERROR(SUM((F3/D3)-1),0)</f>
        <v>-0.1314232535</v>
      </c>
      <c r="F3" s="8">
        <f>SUM(F6,F9,F11)</f>
        <v>22056895</v>
      </c>
      <c r="G3" s="9">
        <f t="shared" ref="G3:G14" si="3">IFERROR(SUM((H3/F3)-1),0)</f>
        <v>0.1818488958</v>
      </c>
      <c r="H3" s="8">
        <f>SUM(H6,H9,H11)</f>
        <v>26067917</v>
      </c>
      <c r="I3" s="9">
        <f t="shared" ref="I3:I14" si="4">IFERROR(SUM((J3/H3)-1),0)</f>
        <v>-0.06561134133</v>
      </c>
      <c r="J3" s="8">
        <f>SUM(J6,J9,J11)</f>
        <v>24357566</v>
      </c>
      <c r="K3" s="9">
        <f t="shared" ref="K3:K14" si="5">IFERROR(SUM((L3/J3)-1),0)</f>
        <v>0.08947585321</v>
      </c>
      <c r="L3" s="8">
        <f>SUM(L6,L9,L11)</f>
        <v>26536980</v>
      </c>
      <c r="M3" s="9">
        <f t="shared" ref="M3:M14" si="6">IFERROR(SUM((N3/L3)-1),0)</f>
        <v>0.4231000287</v>
      </c>
      <c r="N3" s="8">
        <f>SUM(N6,N9,N11)</f>
        <v>37764777</v>
      </c>
      <c r="O3" s="9">
        <f t="shared" ref="O3:O14" si="7">IFERROR(SUM((P3/N3)-1),0)</f>
        <v>-0.309378975</v>
      </c>
      <c r="P3" s="8">
        <f>SUM(P6,P9,P11)</f>
        <v>26081149</v>
      </c>
      <c r="Q3" s="9">
        <f t="shared" ref="Q3:Q14" si="8">IFERROR(SUM((R3/P3)-1),0)</f>
        <v>-0.1542974199</v>
      </c>
      <c r="R3" s="8">
        <f>SUM(R6,R9,R11)</f>
        <v>22056895</v>
      </c>
      <c r="S3" s="9">
        <f t="shared" ref="S3:S14" si="9">IFERROR(SUM((T3/R3)-1),0)</f>
        <v>0</v>
      </c>
      <c r="T3" s="8">
        <f>SUM(T6,T9,T11)</f>
        <v>22056895</v>
      </c>
      <c r="U3" s="9">
        <f t="shared" ref="U3:U14" si="10">IFERROR(SUM((V3/T3)-1),0)</f>
        <v>0</v>
      </c>
      <c r="V3" s="8">
        <f>SUM(V6,V9,V11)</f>
        <v>22056895</v>
      </c>
      <c r="W3" s="9">
        <f t="shared" ref="W3:W14" si="11">IFERROR(SUM((X3/V3)-1),0)</f>
        <v>0</v>
      </c>
      <c r="X3" s="8">
        <f>SUM(X6,X9,X11)</f>
        <v>22056895</v>
      </c>
      <c r="Y3" s="10"/>
      <c r="Z3" s="10"/>
    </row>
    <row r="4">
      <c r="A4" s="1" t="s">
        <v>18</v>
      </c>
      <c r="B4" s="11">
        <v>0.008</v>
      </c>
      <c r="C4" s="12">
        <f t="shared" si="1"/>
        <v>0</v>
      </c>
      <c r="D4" s="11">
        <v>0.008</v>
      </c>
      <c r="E4" s="12">
        <f t="shared" si="2"/>
        <v>0</v>
      </c>
      <c r="F4" s="12">
        <v>0.008</v>
      </c>
      <c r="G4" s="12">
        <f t="shared" si="3"/>
        <v>0</v>
      </c>
      <c r="H4" s="12">
        <v>0.008</v>
      </c>
      <c r="I4" s="12">
        <f t="shared" si="4"/>
        <v>0</v>
      </c>
      <c r="J4" s="12">
        <v>0.008</v>
      </c>
      <c r="K4" s="12">
        <f t="shared" si="5"/>
        <v>0</v>
      </c>
      <c r="L4" s="12">
        <v>0.008</v>
      </c>
      <c r="M4" s="12">
        <f t="shared" si="6"/>
        <v>0</v>
      </c>
      <c r="N4" s="12">
        <v>0.008</v>
      </c>
      <c r="O4" s="12">
        <f t="shared" si="7"/>
        <v>0</v>
      </c>
      <c r="P4" s="12">
        <v>0.008</v>
      </c>
      <c r="Q4" s="12">
        <f t="shared" si="8"/>
        <v>0</v>
      </c>
      <c r="R4" s="12">
        <v>0.008</v>
      </c>
      <c r="S4" s="12">
        <f t="shared" si="9"/>
        <v>0</v>
      </c>
      <c r="T4" s="12">
        <v>0.008</v>
      </c>
      <c r="U4" s="12">
        <f t="shared" si="10"/>
        <v>0</v>
      </c>
      <c r="V4" s="12">
        <v>0.008</v>
      </c>
      <c r="W4" s="12">
        <f t="shared" si="11"/>
        <v>0</v>
      </c>
      <c r="X4" s="12">
        <v>0.008</v>
      </c>
      <c r="Y4" s="13"/>
    </row>
    <row r="5">
      <c r="A5" s="1" t="s">
        <v>19</v>
      </c>
      <c r="B5" s="14">
        <f>B6/(1-B4)</f>
        <v>21411135.08</v>
      </c>
      <c r="C5" s="12">
        <f t="shared" si="1"/>
        <v>0.05583901126</v>
      </c>
      <c r="D5" s="14">
        <f>D6/(1-D4)</f>
        <v>22606711.69</v>
      </c>
      <c r="E5" s="12">
        <f t="shared" si="2"/>
        <v>-0.1487170301</v>
      </c>
      <c r="F5" s="39">
        <f>F6/(1-F4)</f>
        <v>19244708.67</v>
      </c>
      <c r="G5" s="12">
        <f t="shared" si="3"/>
        <v>0.2904816055</v>
      </c>
      <c r="H5" s="39">
        <f>H6/(1-H4)</f>
        <v>24834942.54</v>
      </c>
      <c r="I5" s="12">
        <f t="shared" si="4"/>
        <v>-0.1113985104</v>
      </c>
      <c r="J5" s="39">
        <f>J6/(1-J4)</f>
        <v>22068366.94</v>
      </c>
      <c r="K5" s="12">
        <f t="shared" si="5"/>
        <v>-0.01445695241</v>
      </c>
      <c r="L5" s="39">
        <f>L6/(1-L4)</f>
        <v>21749325.6</v>
      </c>
      <c r="M5" s="12">
        <f t="shared" si="6"/>
        <v>0.04009287274</v>
      </c>
      <c r="N5" s="39">
        <f>N6/(1-N4)</f>
        <v>22621318.55</v>
      </c>
      <c r="O5" s="12">
        <f t="shared" si="7"/>
        <v>-0.02384272294</v>
      </c>
      <c r="P5" s="39">
        <f>P6/(1-P4)</f>
        <v>22081964.72</v>
      </c>
      <c r="Q5" s="12">
        <f t="shared" si="8"/>
        <v>-0.1284874822</v>
      </c>
      <c r="R5" s="39">
        <f>R6/(1-R4)</f>
        <v>19244708.67</v>
      </c>
      <c r="S5" s="12">
        <f t="shared" si="9"/>
        <v>0</v>
      </c>
      <c r="T5" s="39">
        <f>T6/(1-T4)</f>
        <v>19244708.67</v>
      </c>
      <c r="U5" s="12">
        <f t="shared" si="10"/>
        <v>0</v>
      </c>
      <c r="V5" s="39">
        <f>V6/(1-V4)</f>
        <v>19244708.67</v>
      </c>
      <c r="W5" s="12">
        <f t="shared" si="11"/>
        <v>0</v>
      </c>
      <c r="X5" s="39">
        <f>X6/(1-X4)</f>
        <v>19244708.67</v>
      </c>
      <c r="Y5" s="13"/>
    </row>
    <row r="6">
      <c r="A6" s="4" t="s">
        <v>20</v>
      </c>
      <c r="B6" s="15">
        <v>2.1239846E7</v>
      </c>
      <c r="C6" s="13">
        <f t="shared" si="1"/>
        <v>0.05583901126</v>
      </c>
      <c r="D6" s="15">
        <v>2.2425858E7</v>
      </c>
      <c r="E6" s="13">
        <f t="shared" si="2"/>
        <v>-0.1487170301</v>
      </c>
      <c r="F6" s="135">
        <v>1.9090751E7</v>
      </c>
      <c r="G6" s="13">
        <f t="shared" si="3"/>
        <v>0.2904816055</v>
      </c>
      <c r="H6" s="15">
        <v>2.4636263E7</v>
      </c>
      <c r="I6" s="13">
        <f t="shared" si="4"/>
        <v>-0.1113985104</v>
      </c>
      <c r="J6" s="15">
        <v>2.189182E7</v>
      </c>
      <c r="K6" s="13">
        <f t="shared" si="5"/>
        <v>-0.01445695241</v>
      </c>
      <c r="L6" s="15">
        <v>2.1575331E7</v>
      </c>
      <c r="M6" s="13">
        <f t="shared" si="6"/>
        <v>0.04009287274</v>
      </c>
      <c r="N6" s="15">
        <v>2.2440348E7</v>
      </c>
      <c r="O6" s="13">
        <f t="shared" si="7"/>
        <v>-0.02384272294</v>
      </c>
      <c r="P6" s="15">
        <v>2.1905309E7</v>
      </c>
      <c r="Q6" s="13">
        <f t="shared" si="8"/>
        <v>-0.1284874822</v>
      </c>
      <c r="R6" s="135">
        <v>1.9090751E7</v>
      </c>
      <c r="S6" s="13">
        <f t="shared" si="9"/>
        <v>0</v>
      </c>
      <c r="T6" s="135">
        <v>1.9090751E7</v>
      </c>
      <c r="U6" s="13">
        <f t="shared" si="10"/>
        <v>0</v>
      </c>
      <c r="V6" s="135">
        <v>1.9090751E7</v>
      </c>
      <c r="W6" s="13">
        <f t="shared" si="11"/>
        <v>0</v>
      </c>
      <c r="X6" s="135">
        <v>1.9090751E7</v>
      </c>
      <c r="Y6" s="13"/>
    </row>
    <row r="7">
      <c r="A7" s="16" t="s">
        <v>21</v>
      </c>
      <c r="B7" s="17">
        <f>B6/B3</f>
        <v>0.5527815472</v>
      </c>
      <c r="C7" s="18">
        <f t="shared" si="1"/>
        <v>0.5975680017</v>
      </c>
      <c r="D7" s="17">
        <f>D6/D3</f>
        <v>0.8831061117</v>
      </c>
      <c r="E7" s="18">
        <f t="shared" si="2"/>
        <v>-0.01991047623</v>
      </c>
      <c r="F7" s="18">
        <f>F6/F3</f>
        <v>0.8655230485</v>
      </c>
      <c r="G7" s="18">
        <f t="shared" si="3"/>
        <v>0.0919175963</v>
      </c>
      <c r="H7" s="18">
        <f>H6/H3</f>
        <v>0.9450798466</v>
      </c>
      <c r="I7" s="18">
        <f t="shared" si="4"/>
        <v>-0.049002274</v>
      </c>
      <c r="J7" s="18">
        <f>J6/J3</f>
        <v>0.898768785</v>
      </c>
      <c r="K7" s="18">
        <f t="shared" si="5"/>
        <v>-0.09539707128</v>
      </c>
      <c r="L7" s="18">
        <f>L6/L3</f>
        <v>0.8130288752</v>
      </c>
      <c r="M7" s="18">
        <f t="shared" si="6"/>
        <v>-0.2691357939</v>
      </c>
      <c r="N7" s="18">
        <f>N6/N3</f>
        <v>0.5942137034</v>
      </c>
      <c r="O7" s="18">
        <f t="shared" si="7"/>
        <v>0.4134485365</v>
      </c>
      <c r="P7" s="18">
        <f>P6/P3</f>
        <v>0.8398904895</v>
      </c>
      <c r="Q7" s="18">
        <f t="shared" si="8"/>
        <v>0.0305189299</v>
      </c>
      <c r="R7" s="18">
        <f>R6/R3</f>
        <v>0.8655230485</v>
      </c>
      <c r="S7" s="18">
        <f t="shared" si="9"/>
        <v>0</v>
      </c>
      <c r="T7" s="18">
        <f>T6/T3</f>
        <v>0.8655230485</v>
      </c>
      <c r="U7" s="18">
        <f t="shared" si="10"/>
        <v>0</v>
      </c>
      <c r="V7" s="18">
        <f>V6/V3</f>
        <v>0.8655230485</v>
      </c>
      <c r="W7" s="18">
        <f t="shared" si="11"/>
        <v>0</v>
      </c>
      <c r="X7" s="18">
        <f>X6/X3</f>
        <v>0.8655230485</v>
      </c>
      <c r="Y7" s="13"/>
    </row>
    <row r="8">
      <c r="A8" s="1" t="s">
        <v>22</v>
      </c>
      <c r="B8" s="14">
        <f>B5-B6</f>
        <v>171289.0806</v>
      </c>
      <c r="C8" s="12">
        <f t="shared" si="1"/>
        <v>0.05583901126</v>
      </c>
      <c r="D8" s="14">
        <f>D5-D6</f>
        <v>180853.6935</v>
      </c>
      <c r="E8" s="12">
        <f t="shared" si="2"/>
        <v>-0.1487170301</v>
      </c>
      <c r="F8" s="39">
        <f>F5-F6</f>
        <v>153957.6694</v>
      </c>
      <c r="G8" s="12">
        <f t="shared" si="3"/>
        <v>0.2904816055</v>
      </c>
      <c r="H8" s="39">
        <f>H5-H6</f>
        <v>198679.5403</v>
      </c>
      <c r="I8" s="12">
        <f t="shared" si="4"/>
        <v>-0.1113985104</v>
      </c>
      <c r="J8" s="39">
        <f>J5-J6</f>
        <v>176546.9355</v>
      </c>
      <c r="K8" s="12">
        <f t="shared" si="5"/>
        <v>-0.01445695241</v>
      </c>
      <c r="L8" s="39">
        <f>L5-L6</f>
        <v>173994.6048</v>
      </c>
      <c r="M8" s="12">
        <f t="shared" si="6"/>
        <v>0.04009287274</v>
      </c>
      <c r="N8" s="39">
        <f>N5-N6</f>
        <v>180970.5484</v>
      </c>
      <c r="O8" s="12">
        <f t="shared" si="7"/>
        <v>-0.02384272294</v>
      </c>
      <c r="P8" s="39">
        <f>P5-P6</f>
        <v>176655.7177</v>
      </c>
      <c r="Q8" s="12">
        <f t="shared" si="8"/>
        <v>-0.1284874822</v>
      </c>
      <c r="R8" s="39">
        <f>R5-R6</f>
        <v>153957.6694</v>
      </c>
      <c r="S8" s="12">
        <f t="shared" si="9"/>
        <v>0</v>
      </c>
      <c r="T8" s="39">
        <f>T5-T6</f>
        <v>153957.6694</v>
      </c>
      <c r="U8" s="12">
        <f t="shared" si="10"/>
        <v>0</v>
      </c>
      <c r="V8" s="39">
        <f>V5-V6</f>
        <v>153957.6694</v>
      </c>
      <c r="W8" s="12">
        <f t="shared" si="11"/>
        <v>0</v>
      </c>
      <c r="X8" s="39">
        <f>X5-X6</f>
        <v>153957.6694</v>
      </c>
      <c r="Y8" s="13"/>
    </row>
    <row r="9">
      <c r="A9" s="19" t="s">
        <v>25</v>
      </c>
      <c r="B9" s="15">
        <v>4464772.0</v>
      </c>
      <c r="C9" s="13">
        <f t="shared" si="1"/>
        <v>-0.4101613699</v>
      </c>
      <c r="D9" s="15">
        <v>2633495.0</v>
      </c>
      <c r="E9" s="13">
        <f t="shared" si="2"/>
        <v>0.1263146503</v>
      </c>
      <c r="F9" s="135">
        <v>2966144.0</v>
      </c>
      <c r="G9" s="13">
        <f t="shared" si="3"/>
        <v>-0.05586107755</v>
      </c>
      <c r="H9" s="15">
        <v>2800452.0</v>
      </c>
      <c r="I9" s="13">
        <f t="shared" si="4"/>
        <v>-0.03873481852</v>
      </c>
      <c r="J9" s="15">
        <v>2691977.0</v>
      </c>
      <c r="K9" s="13">
        <f t="shared" si="5"/>
        <v>0.06771454585</v>
      </c>
      <c r="L9" s="15">
        <v>2874263.0</v>
      </c>
      <c r="M9" s="13">
        <f t="shared" si="6"/>
        <v>0.06433440503</v>
      </c>
      <c r="N9" s="15">
        <v>3059177.0</v>
      </c>
      <c r="O9" s="13">
        <f t="shared" si="7"/>
        <v>0.3295490911</v>
      </c>
      <c r="P9" s="15">
        <v>4067326.0</v>
      </c>
      <c r="Q9" s="13">
        <f t="shared" si="8"/>
        <v>-0.2707385639</v>
      </c>
      <c r="R9" s="135">
        <v>2966144.0</v>
      </c>
      <c r="S9" s="13">
        <f t="shared" si="9"/>
        <v>0</v>
      </c>
      <c r="T9" s="135">
        <v>2966144.0</v>
      </c>
      <c r="U9" s="13">
        <f t="shared" si="10"/>
        <v>0</v>
      </c>
      <c r="V9" s="135">
        <v>2966144.0</v>
      </c>
      <c r="W9" s="13">
        <f t="shared" si="11"/>
        <v>0</v>
      </c>
      <c r="X9" s="135">
        <v>2966144.0</v>
      </c>
    </row>
    <row r="10">
      <c r="A10" s="20" t="s">
        <v>27</v>
      </c>
      <c r="B10" s="17">
        <f>B9/B3</f>
        <v>0.1161987509</v>
      </c>
      <c r="C10" s="18">
        <f t="shared" si="1"/>
        <v>-0.1075274625</v>
      </c>
      <c r="D10" s="17">
        <f>D9/D3</f>
        <v>0.103704194</v>
      </c>
      <c r="E10" s="18">
        <f t="shared" si="2"/>
        <v>0.2967359014</v>
      </c>
      <c r="F10" s="18">
        <f>F9/F3</f>
        <v>0.1344769515</v>
      </c>
      <c r="G10" s="18">
        <f t="shared" si="3"/>
        <v>-0.201133981</v>
      </c>
      <c r="H10" s="18">
        <f>H9/H3</f>
        <v>0.1074290669</v>
      </c>
      <c r="I10" s="18">
        <f t="shared" si="4"/>
        <v>0.0287637511</v>
      </c>
      <c r="J10" s="18">
        <f>J9/J3</f>
        <v>0.1105191299</v>
      </c>
      <c r="K10" s="18">
        <f t="shared" si="5"/>
        <v>-0.01997410709</v>
      </c>
      <c r="L10" s="18">
        <f>L9/L3</f>
        <v>0.1083116089</v>
      </c>
      <c r="M10" s="18">
        <f t="shared" si="6"/>
        <v>-0.2521014802</v>
      </c>
      <c r="N10" s="18">
        <f>N9/N3</f>
        <v>0.081006092</v>
      </c>
      <c r="O10" s="18">
        <f t="shared" si="7"/>
        <v>0.9251500361</v>
      </c>
      <c r="P10" s="18">
        <f>P9/P3</f>
        <v>0.1559488809</v>
      </c>
      <c r="Q10" s="18">
        <f t="shared" si="8"/>
        <v>-0.1376856908</v>
      </c>
      <c r="R10" s="18">
        <f>R9/R3</f>
        <v>0.1344769515</v>
      </c>
      <c r="S10" s="18">
        <f t="shared" si="9"/>
        <v>0</v>
      </c>
      <c r="T10" s="18">
        <f>T9/T3</f>
        <v>0.1344769515</v>
      </c>
      <c r="U10" s="18">
        <f t="shared" si="10"/>
        <v>0</v>
      </c>
      <c r="V10" s="18">
        <f>V9/V3</f>
        <v>0.1344769515</v>
      </c>
      <c r="W10" s="18">
        <f t="shared" si="11"/>
        <v>0</v>
      </c>
      <c r="X10" s="18">
        <f>X9/X3</f>
        <v>0.1344769515</v>
      </c>
    </row>
    <row r="11">
      <c r="A11" s="19" t="s">
        <v>30</v>
      </c>
      <c r="B11" s="15">
        <v>1.2718962E7</v>
      </c>
      <c r="C11" s="13">
        <f t="shared" si="1"/>
        <v>-0.9736658542</v>
      </c>
      <c r="D11" s="15">
        <v>334943.0</v>
      </c>
      <c r="E11" s="13">
        <f t="shared" si="2"/>
        <v>-1</v>
      </c>
      <c r="F11" s="135">
        <v>0.0</v>
      </c>
      <c r="G11" s="13">
        <f t="shared" si="3"/>
        <v>0</v>
      </c>
      <c r="H11" s="135">
        <v>-1368798.0</v>
      </c>
      <c r="I11" s="13">
        <f t="shared" si="4"/>
        <v>-0.8347228736</v>
      </c>
      <c r="J11" s="135">
        <v>-226231.0</v>
      </c>
      <c r="K11" s="13">
        <f t="shared" si="5"/>
        <v>-10.22679032</v>
      </c>
      <c r="L11" s="15">
        <v>2087386.0</v>
      </c>
      <c r="M11" s="13">
        <f t="shared" si="6"/>
        <v>4.875890707</v>
      </c>
      <c r="N11" s="135">
        <v>1.2265252E7</v>
      </c>
      <c r="O11" s="13">
        <f t="shared" si="7"/>
        <v>-0.9911527297</v>
      </c>
      <c r="P11" s="15">
        <v>108514.0</v>
      </c>
      <c r="Q11" s="13">
        <f t="shared" si="8"/>
        <v>-1</v>
      </c>
      <c r="R11" s="135">
        <v>0.0</v>
      </c>
      <c r="S11" s="13">
        <f t="shared" si="9"/>
        <v>0</v>
      </c>
      <c r="T11" s="135">
        <v>0.0</v>
      </c>
      <c r="U11" s="13">
        <f t="shared" si="10"/>
        <v>0</v>
      </c>
      <c r="V11" s="135">
        <v>0.0</v>
      </c>
      <c r="W11" s="13">
        <f t="shared" si="11"/>
        <v>0</v>
      </c>
      <c r="X11" s="135">
        <v>0.0</v>
      </c>
    </row>
    <row r="12">
      <c r="A12" s="20" t="s">
        <v>31</v>
      </c>
      <c r="B12" s="17">
        <f>B11/B3</f>
        <v>0.331019702</v>
      </c>
      <c r="C12" s="18">
        <f t="shared" si="1"/>
        <v>-0.9601543528</v>
      </c>
      <c r="D12" s="17">
        <f>D11/D3</f>
        <v>0.01318969425</v>
      </c>
      <c r="E12" s="18">
        <f t="shared" si="2"/>
        <v>-1</v>
      </c>
      <c r="F12" s="18">
        <f>F11/F3</f>
        <v>0</v>
      </c>
      <c r="G12" s="18">
        <f t="shared" si="3"/>
        <v>0</v>
      </c>
      <c r="H12" s="18">
        <f>H11/H3</f>
        <v>-0.05250891354</v>
      </c>
      <c r="I12" s="18">
        <f t="shared" si="4"/>
        <v>-0.8231173668</v>
      </c>
      <c r="J12" s="18">
        <f>J11/J3</f>
        <v>-0.009287914893</v>
      </c>
      <c r="K12" s="18">
        <f t="shared" si="5"/>
        <v>-9.469017729</v>
      </c>
      <c r="L12" s="18">
        <f>L11/L3</f>
        <v>0.07865951589</v>
      </c>
      <c r="M12" s="18">
        <f t="shared" si="6"/>
        <v>3.128937242</v>
      </c>
      <c r="N12" s="18">
        <f>N11/N3</f>
        <v>0.3247802046</v>
      </c>
      <c r="O12" s="18">
        <f t="shared" si="7"/>
        <v>-0.9871893991</v>
      </c>
      <c r="P12" s="18">
        <f>P11/P3</f>
        <v>0.00416062958</v>
      </c>
      <c r="Q12" s="18">
        <f t="shared" si="8"/>
        <v>-1</v>
      </c>
      <c r="R12" s="18">
        <f>R11/R3</f>
        <v>0</v>
      </c>
      <c r="S12" s="18">
        <f t="shared" si="9"/>
        <v>0</v>
      </c>
      <c r="T12" s="18">
        <f>T11/T3</f>
        <v>0</v>
      </c>
      <c r="U12" s="18">
        <f t="shared" si="10"/>
        <v>0</v>
      </c>
      <c r="V12" s="18">
        <f>V11/V3</f>
        <v>0</v>
      </c>
      <c r="W12" s="18">
        <f t="shared" si="11"/>
        <v>0</v>
      </c>
      <c r="X12" s="18">
        <f>X11/X3</f>
        <v>0</v>
      </c>
    </row>
    <row r="13">
      <c r="A13" s="21" t="s">
        <v>36</v>
      </c>
      <c r="B13" s="22">
        <f>B11</f>
        <v>12718962</v>
      </c>
      <c r="C13" s="13">
        <f t="shared" si="1"/>
        <v>-0.9736658542</v>
      </c>
      <c r="D13" s="22">
        <f>D11</f>
        <v>334943</v>
      </c>
      <c r="E13" s="13">
        <f t="shared" si="2"/>
        <v>-1</v>
      </c>
      <c r="F13" s="22">
        <f>F11</f>
        <v>0</v>
      </c>
      <c r="G13" s="13">
        <f t="shared" si="3"/>
        <v>0</v>
      </c>
      <c r="H13" s="22">
        <f>H11</f>
        <v>-1368798</v>
      </c>
      <c r="I13" s="13">
        <f t="shared" si="4"/>
        <v>-0.8347228736</v>
      </c>
      <c r="J13" s="22">
        <f>J11</f>
        <v>-226231</v>
      </c>
      <c r="K13" s="13">
        <f t="shared" si="5"/>
        <v>-10.22679032</v>
      </c>
      <c r="L13" s="22">
        <f>L11</f>
        <v>2087386</v>
      </c>
      <c r="M13" s="13">
        <f t="shared" si="6"/>
        <v>4.875890707</v>
      </c>
      <c r="N13" s="22">
        <f>N11</f>
        <v>12265252</v>
      </c>
      <c r="O13" s="13">
        <f t="shared" si="7"/>
        <v>-0.9911527297</v>
      </c>
      <c r="P13" s="22">
        <f>P11</f>
        <v>108514</v>
      </c>
      <c r="Q13" s="13">
        <f t="shared" si="8"/>
        <v>-1</v>
      </c>
      <c r="R13" s="22">
        <f>R11</f>
        <v>0</v>
      </c>
      <c r="S13" s="13">
        <f t="shared" si="9"/>
        <v>0</v>
      </c>
      <c r="T13" s="22">
        <f>T11</f>
        <v>0</v>
      </c>
      <c r="U13" s="13">
        <f t="shared" si="10"/>
        <v>0</v>
      </c>
      <c r="V13" s="22">
        <f>V11</f>
        <v>0</v>
      </c>
      <c r="W13" s="13">
        <f t="shared" si="11"/>
        <v>0</v>
      </c>
      <c r="X13" s="22">
        <f>X11</f>
        <v>0</v>
      </c>
    </row>
    <row r="14">
      <c r="A14" s="23" t="s">
        <v>39</v>
      </c>
      <c r="B14" s="22">
        <f>B3-ABS(B13)</f>
        <v>25704618</v>
      </c>
      <c r="C14" s="13">
        <f t="shared" si="1"/>
        <v>-0.02510307681</v>
      </c>
      <c r="D14" s="22">
        <f>D3-ABS(D13)</f>
        <v>25059353</v>
      </c>
      <c r="E14" s="13">
        <f t="shared" si="2"/>
        <v>-0.1198138675</v>
      </c>
      <c r="F14" s="22">
        <f>F3-ABS(F13)</f>
        <v>22056895</v>
      </c>
      <c r="G14" s="13">
        <f t="shared" si="3"/>
        <v>0.1197912943</v>
      </c>
      <c r="H14" s="22">
        <f>H3-ABS(H13)</f>
        <v>24699119</v>
      </c>
      <c r="I14" s="13">
        <f t="shared" si="4"/>
        <v>-0.02298802642</v>
      </c>
      <c r="J14" s="22">
        <f>J3-ABS(J13)</f>
        <v>24131335</v>
      </c>
      <c r="K14" s="13">
        <f t="shared" si="5"/>
        <v>0.01318861969</v>
      </c>
      <c r="L14" s="22">
        <f>L3-ABS(L13)</f>
        <v>24449594</v>
      </c>
      <c r="M14" s="13">
        <f t="shared" si="6"/>
        <v>0.04294267627</v>
      </c>
      <c r="N14" s="22">
        <f>N3-ABS(N13)</f>
        <v>25499525</v>
      </c>
      <c r="O14" s="13">
        <f t="shared" si="7"/>
        <v>0.01855367894</v>
      </c>
      <c r="P14" s="22">
        <f>P3-ABS(P13)</f>
        <v>25972635</v>
      </c>
      <c r="Q14" s="13">
        <f t="shared" si="8"/>
        <v>-0.1507640638</v>
      </c>
      <c r="R14" s="22">
        <f>R3-ABS(R13)</f>
        <v>22056895</v>
      </c>
      <c r="S14" s="13">
        <f t="shared" si="9"/>
        <v>0</v>
      </c>
      <c r="T14" s="22">
        <f>T3-ABS(T13)</f>
        <v>22056895</v>
      </c>
      <c r="U14" s="13">
        <f t="shared" si="10"/>
        <v>0</v>
      </c>
      <c r="V14" s="22">
        <f>V3-ABS(V13)</f>
        <v>22056895</v>
      </c>
      <c r="W14" s="13">
        <f t="shared" si="11"/>
        <v>0</v>
      </c>
      <c r="X14" s="22">
        <f>X3-ABS(X13)</f>
        <v>22056895</v>
      </c>
    </row>
    <row r="15">
      <c r="B15" s="15"/>
      <c r="D15" s="15"/>
      <c r="F15" s="136"/>
      <c r="H15" s="136"/>
      <c r="J15" s="136"/>
      <c r="L15" s="136"/>
      <c r="N15" s="136"/>
      <c r="P15" s="136"/>
      <c r="R15" s="136"/>
      <c r="T15" s="136"/>
      <c r="V15" s="136"/>
      <c r="X15" s="136"/>
    </row>
    <row r="16">
      <c r="A16" s="25" t="s">
        <v>44</v>
      </c>
      <c r="B16" s="26">
        <f>ABS(SUM(B17,B18,B20,B22))</f>
        <v>5845036</v>
      </c>
      <c r="C16" s="27">
        <f t="shared" ref="C16:C36" si="12">IFERROR(SUM((D16/B16)-1),0)</f>
        <v>-0.04327689342</v>
      </c>
      <c r="D16" s="26">
        <f>ABS(SUM(D17,D18,D20,D22))</f>
        <v>5592081</v>
      </c>
      <c r="E16" s="27">
        <f t="shared" ref="E16:E36" si="13">IFERROR(SUM((F16/D16)-1),0)</f>
        <v>-0.1715204054</v>
      </c>
      <c r="F16" s="61">
        <f>ABS(SUM(F17,F18,F20,F22))</f>
        <v>4632925</v>
      </c>
      <c r="G16" s="27">
        <f t="shared" ref="G16:G36" si="14">IFERROR(SUM((H16/F16)-1),0)</f>
        <v>0.384630444</v>
      </c>
      <c r="H16" s="61">
        <f>ABS(SUM(H17,H18,H20,H22))</f>
        <v>6414889</v>
      </c>
      <c r="I16" s="27">
        <f t="shared" ref="I16:I36" si="15">IFERROR(SUM((J16/H16)-1),0)</f>
        <v>-0.08953311585</v>
      </c>
      <c r="J16" s="61">
        <f>ABS(SUM(J17,J18,J20,J22))</f>
        <v>5840544</v>
      </c>
      <c r="K16" s="27">
        <f t="shared" ref="K16:K36" si="16">IFERROR(SUM((L16/J16)-1),0)</f>
        <v>-0.009947018634</v>
      </c>
      <c r="L16" s="61">
        <f>ABS(SUM(L17,L18,L20,L22))</f>
        <v>5782448</v>
      </c>
      <c r="M16" s="27">
        <f t="shared" ref="M16:M36" si="17">IFERROR(SUM((N16/L16)-1),0)</f>
        <v>0.03582323611</v>
      </c>
      <c r="N16" s="61">
        <f>ABS(SUM(N17,N18,N20,N22))</f>
        <v>5989594</v>
      </c>
      <c r="O16" s="27">
        <f t="shared" ref="O16:O36" si="18">IFERROR(SUM((P16/N16)-1),0)</f>
        <v>-0.08612386749</v>
      </c>
      <c r="P16" s="61">
        <f>ABS(SUM(P17,P18,P20,P22))</f>
        <v>5473747</v>
      </c>
      <c r="Q16" s="27">
        <f t="shared" ref="Q16:Q36" si="19">IFERROR(SUM((R16/P16)-1),0)</f>
        <v>-0.1536099495</v>
      </c>
      <c r="R16" s="61">
        <f>ABS(SUM(R17,R18,R20,R22))</f>
        <v>4632925</v>
      </c>
      <c r="S16" s="27">
        <f t="shared" ref="S16:S36" si="20">IFERROR(SUM((T16/R16)-1),0)</f>
        <v>0</v>
      </c>
      <c r="T16" s="61">
        <f>ABS(SUM(T17,T18,T20,T22))</f>
        <v>4632925</v>
      </c>
      <c r="U16" s="27">
        <f t="shared" ref="U16:U36" si="21">IFERROR(SUM((V16/T16)-1),0)</f>
        <v>0</v>
      </c>
      <c r="V16" s="61">
        <f>ABS(SUM(V17,V18,V20,V22))</f>
        <v>4632925</v>
      </c>
      <c r="W16" s="27">
        <f t="shared" ref="W16:W36" si="22">IFERROR(SUM((X16/V16)-1),0)</f>
        <v>0</v>
      </c>
      <c r="X16" s="61">
        <f>ABS(SUM(X17,X18,X20,X22))</f>
        <v>4632925</v>
      </c>
    </row>
    <row r="17">
      <c r="A17" s="4" t="s">
        <v>48</v>
      </c>
      <c r="B17" s="15">
        <v>-298881.0</v>
      </c>
      <c r="C17" s="13">
        <f t="shared" si="12"/>
        <v>-0.5647799626</v>
      </c>
      <c r="D17" s="15">
        <v>-130079.0</v>
      </c>
      <c r="E17" s="13">
        <f t="shared" si="13"/>
        <v>-0.05855672322</v>
      </c>
      <c r="F17" s="135">
        <v>-122462.0</v>
      </c>
      <c r="G17" s="13">
        <f t="shared" si="14"/>
        <v>0.2421812481</v>
      </c>
      <c r="H17" s="135">
        <v>-152120.0</v>
      </c>
      <c r="I17" s="13">
        <f t="shared" si="15"/>
        <v>-0.1368064686</v>
      </c>
      <c r="J17" s="135">
        <v>-131309.0</v>
      </c>
      <c r="K17" s="13">
        <f t="shared" si="16"/>
        <v>2.102468224</v>
      </c>
      <c r="L17" s="135">
        <v>-407382.0</v>
      </c>
      <c r="M17" s="13">
        <f t="shared" si="17"/>
        <v>-0.5708229622</v>
      </c>
      <c r="N17" s="135">
        <v>-174839.0</v>
      </c>
      <c r="O17" s="13">
        <f t="shared" si="18"/>
        <v>0.4120533748</v>
      </c>
      <c r="P17" s="135">
        <v>-246882.0</v>
      </c>
      <c r="Q17" s="13">
        <f t="shared" si="19"/>
        <v>-0.5039654572</v>
      </c>
      <c r="R17" s="135">
        <v>-122462.0</v>
      </c>
      <c r="S17" s="13">
        <f t="shared" si="20"/>
        <v>0</v>
      </c>
      <c r="T17" s="135">
        <v>-122462.0</v>
      </c>
      <c r="U17" s="13">
        <f t="shared" si="21"/>
        <v>0</v>
      </c>
      <c r="V17" s="135">
        <v>-122462.0</v>
      </c>
      <c r="W17" s="13">
        <f t="shared" si="22"/>
        <v>0</v>
      </c>
      <c r="X17" s="135">
        <v>-122462.0</v>
      </c>
    </row>
    <row r="18">
      <c r="A18" s="25" t="s">
        <v>49</v>
      </c>
      <c r="B18" s="29">
        <v>-1557732.0</v>
      </c>
      <c r="C18" s="27">
        <f t="shared" si="12"/>
        <v>-0.01157323596</v>
      </c>
      <c r="D18" s="29">
        <v>-1539704.0</v>
      </c>
      <c r="E18" s="27">
        <f t="shared" si="13"/>
        <v>-0.5765939427</v>
      </c>
      <c r="F18" s="137">
        <v>-651920.0</v>
      </c>
      <c r="G18" s="27">
        <f t="shared" si="14"/>
        <v>2.710688428</v>
      </c>
      <c r="H18" s="137">
        <v>-2419072.0</v>
      </c>
      <c r="I18" s="27">
        <f t="shared" si="15"/>
        <v>-0.3628631145</v>
      </c>
      <c r="J18" s="137">
        <v>-1541280.0</v>
      </c>
      <c r="K18" s="27">
        <f t="shared" si="16"/>
        <v>-0.1583073809</v>
      </c>
      <c r="L18" s="137">
        <v>-1297284.0</v>
      </c>
      <c r="M18" s="27">
        <f t="shared" si="17"/>
        <v>0.2844804993</v>
      </c>
      <c r="N18" s="137">
        <v>-1666336.0</v>
      </c>
      <c r="O18" s="27">
        <f t="shared" si="18"/>
        <v>-0.08663618862</v>
      </c>
      <c r="P18" s="137">
        <v>-1521971.0</v>
      </c>
      <c r="Q18" s="27">
        <f t="shared" si="19"/>
        <v>-0.5716606952</v>
      </c>
      <c r="R18" s="137">
        <v>-651920.0</v>
      </c>
      <c r="S18" s="27">
        <f t="shared" si="20"/>
        <v>0</v>
      </c>
      <c r="T18" s="137">
        <v>-651920.0</v>
      </c>
      <c r="U18" s="27">
        <f t="shared" si="21"/>
        <v>0</v>
      </c>
      <c r="V18" s="137">
        <v>-651920.0</v>
      </c>
      <c r="W18" s="27">
        <f t="shared" si="22"/>
        <v>0</v>
      </c>
      <c r="X18" s="137">
        <v>-651920.0</v>
      </c>
    </row>
    <row r="19">
      <c r="A19" s="1" t="s">
        <v>50</v>
      </c>
      <c r="B19" s="30">
        <f>B18/B3</f>
        <v>-0.04054104277</v>
      </c>
      <c r="C19" s="31">
        <f t="shared" si="12"/>
        <v>0.4955679355</v>
      </c>
      <c r="D19" s="30">
        <f>D18/D3</f>
        <v>-0.06063188363</v>
      </c>
      <c r="E19" s="31">
        <f t="shared" si="13"/>
        <v>-0.5125289055</v>
      </c>
      <c r="F19" s="31">
        <f>F18/F3</f>
        <v>-0.02955629067</v>
      </c>
      <c r="G19" s="31">
        <f t="shared" si="14"/>
        <v>2.139731688</v>
      </c>
      <c r="H19" s="31">
        <f>H18/H3</f>
        <v>-0.0927988224</v>
      </c>
      <c r="I19" s="31">
        <f t="shared" si="15"/>
        <v>-0.3181243376</v>
      </c>
      <c r="J19" s="31">
        <f>J18/J3</f>
        <v>-0.06327725849</v>
      </c>
      <c r="K19" s="31">
        <f t="shared" si="16"/>
        <v>-0.2274334336</v>
      </c>
      <c r="L19" s="31">
        <f>L18/L3</f>
        <v>-0.04888589433</v>
      </c>
      <c r="M19" s="31">
        <f t="shared" si="17"/>
        <v>-0.09740673646</v>
      </c>
      <c r="N19" s="31">
        <f>N18/N3</f>
        <v>-0.0441240789</v>
      </c>
      <c r="O19" s="31">
        <f t="shared" si="18"/>
        <v>0.322525348</v>
      </c>
      <c r="P19" s="31">
        <f>P18/P3</f>
        <v>-0.0583552128</v>
      </c>
      <c r="Q19" s="31">
        <f t="shared" si="19"/>
        <v>-0.4935107036</v>
      </c>
      <c r="R19" s="31">
        <f>R18/R3</f>
        <v>-0.02955629067</v>
      </c>
      <c r="S19" s="31">
        <f t="shared" si="20"/>
        <v>0</v>
      </c>
      <c r="T19" s="31">
        <f>T18/T3</f>
        <v>-0.02955629067</v>
      </c>
      <c r="U19" s="31">
        <f t="shared" si="21"/>
        <v>0</v>
      </c>
      <c r="V19" s="31">
        <f>V18/V3</f>
        <v>-0.02955629067</v>
      </c>
      <c r="W19" s="31">
        <f t="shared" si="22"/>
        <v>0</v>
      </c>
      <c r="X19" s="31">
        <f>X18/X3</f>
        <v>-0.02955629067</v>
      </c>
    </row>
    <row r="20">
      <c r="A20" s="32" t="s">
        <v>51</v>
      </c>
      <c r="B20" s="33">
        <v>-1552003.0</v>
      </c>
      <c r="C20" s="34">
        <f t="shared" si="12"/>
        <v>0.1582761116</v>
      </c>
      <c r="D20" s="33">
        <v>-1797648.0</v>
      </c>
      <c r="E20" s="34">
        <f t="shared" si="13"/>
        <v>-0.03857929917</v>
      </c>
      <c r="F20" s="138">
        <v>-1728296.0</v>
      </c>
      <c r="G20" s="34">
        <f t="shared" si="14"/>
        <v>-0.1462995922</v>
      </c>
      <c r="H20" s="138">
        <v>-1475447.0</v>
      </c>
      <c r="I20" s="34">
        <f t="shared" si="15"/>
        <v>0.2430937878</v>
      </c>
      <c r="J20" s="138">
        <v>-1834119.0</v>
      </c>
      <c r="K20" s="34">
        <f t="shared" si="16"/>
        <v>-0.08238560312</v>
      </c>
      <c r="L20" s="138">
        <v>-1683014.0</v>
      </c>
      <c r="M20" s="34">
        <f t="shared" si="17"/>
        <v>-0.001330945554</v>
      </c>
      <c r="N20" s="138">
        <v>-1680774.0</v>
      </c>
      <c r="O20" s="34">
        <f t="shared" si="18"/>
        <v>-1</v>
      </c>
      <c r="P20" s="138">
        <v>0.0</v>
      </c>
      <c r="Q20" s="34">
        <f t="shared" si="19"/>
        <v>0</v>
      </c>
      <c r="R20" s="138">
        <v>-1728296.0</v>
      </c>
      <c r="S20" s="34">
        <f t="shared" si="20"/>
        <v>0</v>
      </c>
      <c r="T20" s="138">
        <v>-1728296.0</v>
      </c>
      <c r="U20" s="34">
        <f t="shared" si="21"/>
        <v>0</v>
      </c>
      <c r="V20" s="138">
        <v>-1728296.0</v>
      </c>
      <c r="W20" s="34">
        <f t="shared" si="22"/>
        <v>0</v>
      </c>
      <c r="X20" s="138">
        <v>-1728296.0</v>
      </c>
      <c r="Y20" s="35"/>
      <c r="Z20" s="35"/>
    </row>
    <row r="21">
      <c r="A21" s="1" t="s">
        <v>52</v>
      </c>
      <c r="B21" s="30">
        <f>B20/B3</f>
        <v>-0.04039194162</v>
      </c>
      <c r="C21" s="31">
        <f t="shared" si="12"/>
        <v>0.7525634432</v>
      </c>
      <c r="D21" s="30">
        <f>D20/D3</f>
        <v>-0.07078944027</v>
      </c>
      <c r="E21" s="31">
        <f t="shared" si="13"/>
        <v>0.1068920561</v>
      </c>
      <c r="F21" s="31">
        <f>F20/F3</f>
        <v>-0.07835626909</v>
      </c>
      <c r="G21" s="31">
        <f t="shared" si="14"/>
        <v>-0.2776568893</v>
      </c>
      <c r="H21" s="31">
        <f>H20/H3</f>
        <v>-0.05660011116</v>
      </c>
      <c r="I21" s="31">
        <f t="shared" si="15"/>
        <v>0.3303819308</v>
      </c>
      <c r="J21" s="31">
        <f>J20/J3</f>
        <v>-0.07529976517</v>
      </c>
      <c r="K21" s="31">
        <f t="shared" si="16"/>
        <v>-0.1577469164</v>
      </c>
      <c r="L21" s="31">
        <f>L20/L3</f>
        <v>-0.06342145941</v>
      </c>
      <c r="M21" s="31">
        <f t="shared" si="17"/>
        <v>-0.2982439503</v>
      </c>
      <c r="N21" s="31">
        <f>N20/N3</f>
        <v>-0.04450639282</v>
      </c>
      <c r="O21" s="31">
        <f t="shared" si="18"/>
        <v>-1</v>
      </c>
      <c r="P21" s="31">
        <f>P20/P3</f>
        <v>0</v>
      </c>
      <c r="Q21" s="31">
        <f t="shared" si="19"/>
        <v>0</v>
      </c>
      <c r="R21" s="31">
        <f>R20/R3</f>
        <v>-0.07835626909</v>
      </c>
      <c r="S21" s="31">
        <f t="shared" si="20"/>
        <v>0</v>
      </c>
      <c r="T21" s="31">
        <f>T20/T3</f>
        <v>-0.07835626909</v>
      </c>
      <c r="U21" s="31">
        <f t="shared" si="21"/>
        <v>0</v>
      </c>
      <c r="V21" s="31">
        <f>V20/V3</f>
        <v>-0.07835626909</v>
      </c>
      <c r="W21" s="31">
        <f t="shared" si="22"/>
        <v>0</v>
      </c>
      <c r="X21" s="31">
        <f>X20/X3</f>
        <v>-0.07835626909</v>
      </c>
    </row>
    <row r="22">
      <c r="A22" s="4" t="s">
        <v>53</v>
      </c>
      <c r="B22" s="15">
        <v>-2436420.0</v>
      </c>
      <c r="C22" s="13">
        <f t="shared" si="12"/>
        <v>-0.1279623382</v>
      </c>
      <c r="D22" s="15">
        <v>-2124650.0</v>
      </c>
      <c r="E22" s="13">
        <f t="shared" si="13"/>
        <v>0.00263431624</v>
      </c>
      <c r="F22" s="135">
        <v>-2130247.0</v>
      </c>
      <c r="G22" s="13">
        <f t="shared" si="14"/>
        <v>0.1117255417</v>
      </c>
      <c r="H22" s="135">
        <v>-2368250.0</v>
      </c>
      <c r="I22" s="13">
        <f t="shared" si="15"/>
        <v>-0.01453140505</v>
      </c>
      <c r="J22" s="135">
        <v>-2333836.0</v>
      </c>
      <c r="K22" s="13">
        <f t="shared" si="16"/>
        <v>0.02610808986</v>
      </c>
      <c r="L22" s="135">
        <v>-2394768.0</v>
      </c>
      <c r="M22" s="13">
        <f t="shared" si="17"/>
        <v>0.0304317579</v>
      </c>
      <c r="N22" s="135">
        <v>-2467645.0</v>
      </c>
      <c r="O22" s="13">
        <f t="shared" si="18"/>
        <v>0.5013885709</v>
      </c>
      <c r="P22" s="135">
        <v>-3704894.0</v>
      </c>
      <c r="Q22" s="13">
        <f t="shared" si="19"/>
        <v>-0.4250180977</v>
      </c>
      <c r="R22" s="135">
        <v>-2130247.0</v>
      </c>
      <c r="S22" s="13">
        <f t="shared" si="20"/>
        <v>0</v>
      </c>
      <c r="T22" s="135">
        <v>-2130247.0</v>
      </c>
      <c r="U22" s="13">
        <f t="shared" si="21"/>
        <v>0</v>
      </c>
      <c r="V22" s="135">
        <v>-2130247.0</v>
      </c>
      <c r="W22" s="13">
        <f t="shared" si="22"/>
        <v>0</v>
      </c>
      <c r="X22" s="135">
        <v>-2130247.0</v>
      </c>
    </row>
    <row r="23">
      <c r="A23" s="1" t="s">
        <v>54</v>
      </c>
      <c r="B23" s="30">
        <f>ABS(B16)/B3</f>
        <v>0.1521210673</v>
      </c>
      <c r="C23" s="31">
        <f t="shared" si="12"/>
        <v>0.4475977922</v>
      </c>
      <c r="D23" s="30">
        <f>ABS(D16)/D3</f>
        <v>0.2202101212</v>
      </c>
      <c r="E23" s="31">
        <f t="shared" si="13"/>
        <v>-0.04616420145</v>
      </c>
      <c r="F23" s="31">
        <f>ABS(F16)/F3</f>
        <v>0.2100442968</v>
      </c>
      <c r="G23" s="31">
        <f t="shared" si="14"/>
        <v>0.1715799279</v>
      </c>
      <c r="H23" s="31">
        <f>ABS(H16)/H3</f>
        <v>0.2460836821</v>
      </c>
      <c r="I23" s="31">
        <f t="shared" si="15"/>
        <v>-0.02560152491</v>
      </c>
      <c r="J23" s="31">
        <f>ABS(J16)/J3</f>
        <v>0.2397835646</v>
      </c>
      <c r="K23" s="31">
        <f t="shared" si="16"/>
        <v>-0.09125752678</v>
      </c>
      <c r="L23" s="31">
        <f>ABS(L16)/L3</f>
        <v>0.2179015095</v>
      </c>
      <c r="M23" s="31">
        <f t="shared" si="17"/>
        <v>-0.2721360303</v>
      </c>
      <c r="N23" s="31">
        <f>ABS(N16)/N3</f>
        <v>0.1586026577</v>
      </c>
      <c r="O23" s="31">
        <f t="shared" si="18"/>
        <v>0.3232671747</v>
      </c>
      <c r="P23" s="31">
        <f>ABS(P16)/P3</f>
        <v>0.2098736908</v>
      </c>
      <c r="Q23" s="31">
        <f t="shared" si="19"/>
        <v>0.0008128986595</v>
      </c>
      <c r="R23" s="31">
        <f>ABS(R16)/R3</f>
        <v>0.2100442968</v>
      </c>
      <c r="S23" s="31">
        <f t="shared" si="20"/>
        <v>0</v>
      </c>
      <c r="T23" s="31">
        <f>ABS(T16)/T3</f>
        <v>0.2100442968</v>
      </c>
      <c r="U23" s="31">
        <f t="shared" si="21"/>
        <v>0</v>
      </c>
      <c r="V23" s="31">
        <f>ABS(V16)/V3</f>
        <v>0.2100442968</v>
      </c>
      <c r="W23" s="31">
        <f t="shared" si="22"/>
        <v>0</v>
      </c>
      <c r="X23" s="31">
        <f>ABS(X16)/X3</f>
        <v>0.2100442968</v>
      </c>
    </row>
    <row r="24">
      <c r="A24" s="36" t="s">
        <v>56</v>
      </c>
      <c r="B24" s="37">
        <f>B25/$B$3</f>
        <v>0.8478789327</v>
      </c>
      <c r="C24" s="38">
        <f t="shared" si="12"/>
        <v>-0.08030516062</v>
      </c>
      <c r="D24" s="37">
        <f>D25/$D$3</f>
        <v>0.7797898788</v>
      </c>
      <c r="E24" s="38">
        <f t="shared" si="13"/>
        <v>0.01303662008</v>
      </c>
      <c r="F24" s="37">
        <f>F25/$F$3</f>
        <v>0.7899557032</v>
      </c>
      <c r="G24" s="38">
        <f t="shared" si="14"/>
        <v>-0.04562203317</v>
      </c>
      <c r="H24" s="37">
        <f>H25/$H$3</f>
        <v>0.7539163179</v>
      </c>
      <c r="I24" s="38">
        <f t="shared" si="15"/>
        <v>0.008356520966</v>
      </c>
      <c r="J24" s="37">
        <f>J25/$J$3</f>
        <v>0.7602164354</v>
      </c>
      <c r="K24" s="38">
        <f t="shared" si="16"/>
        <v>0.02878398052</v>
      </c>
      <c r="L24" s="37">
        <f>L25/$L$3</f>
        <v>0.7820984905</v>
      </c>
      <c r="M24" s="38">
        <f t="shared" si="17"/>
        <v>0.07582018445</v>
      </c>
      <c r="N24" s="37">
        <f>N25/$N$3</f>
        <v>0.8413973423</v>
      </c>
      <c r="O24" s="38">
        <f t="shared" si="18"/>
        <v>-0.06093557761</v>
      </c>
      <c r="P24" s="37">
        <f>P25/$P$3</f>
        <v>0.7901263092</v>
      </c>
      <c r="Q24" s="38">
        <f t="shared" si="19"/>
        <v>-0.0002159224923</v>
      </c>
      <c r="R24" s="37">
        <f>R25/$R$3</f>
        <v>0.7899557032</v>
      </c>
      <c r="S24" s="38">
        <f t="shared" si="20"/>
        <v>0</v>
      </c>
      <c r="T24" s="37">
        <f>T25/$T$3</f>
        <v>0.7899557032</v>
      </c>
      <c r="U24" s="38">
        <f t="shared" si="21"/>
        <v>0</v>
      </c>
      <c r="V24" s="37">
        <f>V25/$V$3</f>
        <v>0.7899557032</v>
      </c>
      <c r="W24" s="38">
        <f t="shared" si="22"/>
        <v>0</v>
      </c>
      <c r="X24" s="37">
        <f>X25/$X$3</f>
        <v>0.7899557032</v>
      </c>
      <c r="Y24" s="13"/>
    </row>
    <row r="25">
      <c r="A25" s="28" t="s">
        <v>57</v>
      </c>
      <c r="B25" s="24">
        <f>B3-B16</f>
        <v>32578544</v>
      </c>
      <c r="C25" s="13">
        <f t="shared" si="12"/>
        <v>-0.392170043</v>
      </c>
      <c r="D25" s="24">
        <f>D3-D16</f>
        <v>19802215</v>
      </c>
      <c r="E25" s="13">
        <f t="shared" si="13"/>
        <v>-0.1200999484</v>
      </c>
      <c r="F25" s="22">
        <f>F3-F16</f>
        <v>17423970</v>
      </c>
      <c r="G25" s="13">
        <f t="shared" si="14"/>
        <v>0.1279305463</v>
      </c>
      <c r="H25" s="22">
        <f>H3-H16</f>
        <v>19653028</v>
      </c>
      <c r="I25" s="13">
        <f t="shared" si="15"/>
        <v>-0.05780310291</v>
      </c>
      <c r="J25" s="22">
        <f>J3-J16</f>
        <v>18517022</v>
      </c>
      <c r="K25" s="13">
        <f t="shared" si="16"/>
        <v>0.1208353049</v>
      </c>
      <c r="L25" s="22">
        <f>L3-L16</f>
        <v>20754532</v>
      </c>
      <c r="M25" s="13">
        <f t="shared" si="17"/>
        <v>0.5309997354</v>
      </c>
      <c r="N25" s="22">
        <f>N3-N16</f>
        <v>31775183</v>
      </c>
      <c r="O25" s="13">
        <f t="shared" si="18"/>
        <v>-0.3514623661</v>
      </c>
      <c r="P25" s="22">
        <f>P3-P16</f>
        <v>20607402</v>
      </c>
      <c r="Q25" s="13">
        <f t="shared" si="19"/>
        <v>-0.1544800262</v>
      </c>
      <c r="R25" s="22">
        <f>R3-R16</f>
        <v>17423970</v>
      </c>
      <c r="S25" s="13">
        <f t="shared" si="20"/>
        <v>0</v>
      </c>
      <c r="T25" s="22">
        <f>T3-T16</f>
        <v>17423970</v>
      </c>
      <c r="U25" s="13">
        <f t="shared" si="21"/>
        <v>0</v>
      </c>
      <c r="V25" s="22">
        <f>V3-V16</f>
        <v>17423970</v>
      </c>
      <c r="W25" s="13">
        <f t="shared" si="22"/>
        <v>0</v>
      </c>
      <c r="X25" s="22">
        <f>X3-X16</f>
        <v>17423970</v>
      </c>
    </row>
    <row r="26">
      <c r="A26" s="28" t="s">
        <v>58</v>
      </c>
      <c r="B26" s="39">
        <f>B25-ABS(B13)</f>
        <v>19859582</v>
      </c>
      <c r="C26" s="12">
        <f t="shared" si="12"/>
        <v>-0.01975419221</v>
      </c>
      <c r="D26" s="39">
        <f>D25-ABS(D13)</f>
        <v>19467272</v>
      </c>
      <c r="E26" s="12">
        <f t="shared" si="13"/>
        <v>-0.10496088</v>
      </c>
      <c r="F26" s="39">
        <f>F25-ABS(F13)</f>
        <v>17423970</v>
      </c>
      <c r="G26" s="12">
        <f t="shared" si="14"/>
        <v>0.0493722154</v>
      </c>
      <c r="H26" s="39">
        <f>H25-ABS(H13)</f>
        <v>18284230</v>
      </c>
      <c r="I26" s="12">
        <f t="shared" si="15"/>
        <v>0.0003588338147</v>
      </c>
      <c r="J26" s="39">
        <f>J25-ABS(J13)</f>
        <v>18290791</v>
      </c>
      <c r="K26" s="12">
        <f t="shared" si="16"/>
        <v>0.02057620143</v>
      </c>
      <c r="L26" s="39">
        <f>L25-ABS(L13)</f>
        <v>18667146</v>
      </c>
      <c r="M26" s="12">
        <f t="shared" si="17"/>
        <v>0.04514803709</v>
      </c>
      <c r="N26" s="39">
        <f>N25-ABS(N13)</f>
        <v>19509931</v>
      </c>
      <c r="O26" s="12">
        <f t="shared" si="18"/>
        <v>0.05068992812</v>
      </c>
      <c r="P26" s="39">
        <f>P25-ABS(P13)</f>
        <v>20498888</v>
      </c>
      <c r="Q26" s="12">
        <f t="shared" si="19"/>
        <v>-0.1500041368</v>
      </c>
      <c r="R26" s="39">
        <f>R25-ABS(R13)</f>
        <v>17423970</v>
      </c>
      <c r="S26" s="12">
        <f t="shared" si="20"/>
        <v>0</v>
      </c>
      <c r="T26" s="39">
        <f>T25-ABS(T13)</f>
        <v>17423970</v>
      </c>
      <c r="U26" s="12">
        <f t="shared" si="21"/>
        <v>0</v>
      </c>
      <c r="V26" s="39">
        <f>V25-ABS(V13)</f>
        <v>17423970</v>
      </c>
      <c r="W26" s="12">
        <f t="shared" si="22"/>
        <v>0</v>
      </c>
      <c r="X26" s="39">
        <f>X25-ABS(X13)</f>
        <v>17423970</v>
      </c>
    </row>
    <row r="27">
      <c r="A27" s="1" t="s">
        <v>59</v>
      </c>
      <c r="B27" s="15">
        <f>(B35-B34)*B33</f>
        <v>-1116591</v>
      </c>
      <c r="C27" s="13">
        <f t="shared" si="12"/>
        <v>1.036473516</v>
      </c>
      <c r="D27" s="15">
        <f>(D35-D34)*D33</f>
        <v>-2273908</v>
      </c>
      <c r="E27" s="13">
        <f t="shared" si="13"/>
        <v>1.045884442</v>
      </c>
      <c r="F27" s="22">
        <f>(F35-F34)*F33</f>
        <v>-4652153</v>
      </c>
      <c r="G27" s="13">
        <f t="shared" si="14"/>
        <v>-0.4791454623</v>
      </c>
      <c r="H27" s="22">
        <f>(H35-H34)*H33</f>
        <v>-2423095</v>
      </c>
      <c r="I27" s="13">
        <f t="shared" si="15"/>
        <v>0.4688243754</v>
      </c>
      <c r="J27" s="22">
        <f>(J35-J34)*J33</f>
        <v>-3559101</v>
      </c>
      <c r="K27" s="13">
        <f t="shared" si="16"/>
        <v>-0.6286728025</v>
      </c>
      <c r="L27" s="22">
        <f>(L35-L34)*L33</f>
        <v>-1321591</v>
      </c>
      <c r="M27" s="13">
        <f t="shared" si="17"/>
        <v>-8.323541096</v>
      </c>
      <c r="N27" s="22">
        <f>(N35-N34)*N33</f>
        <v>9678726</v>
      </c>
      <c r="O27" s="13">
        <f t="shared" si="18"/>
        <v>-1.308417864</v>
      </c>
      <c r="P27" s="22">
        <f>(P35-P34)*P33</f>
        <v>-2985092</v>
      </c>
      <c r="Q27" s="13">
        <f t="shared" si="19"/>
        <v>0.5584621848</v>
      </c>
      <c r="R27" s="22">
        <f>(R35-R34)*R33</f>
        <v>-4652153</v>
      </c>
      <c r="S27" s="13">
        <f t="shared" si="20"/>
        <v>0</v>
      </c>
      <c r="T27" s="22">
        <f>(T35-T34)*T33</f>
        <v>-4652153</v>
      </c>
      <c r="U27" s="13">
        <f t="shared" si="21"/>
        <v>0</v>
      </c>
      <c r="V27" s="22">
        <f>(V35-V34)*V33</f>
        <v>-4652153</v>
      </c>
      <c r="W27" s="13">
        <f t="shared" si="22"/>
        <v>0</v>
      </c>
      <c r="X27" s="22">
        <f>(X35-X34)*X33</f>
        <v>-4652153</v>
      </c>
    </row>
    <row r="28">
      <c r="A28" s="4" t="s">
        <v>60</v>
      </c>
      <c r="B28" s="40">
        <f>B27/B25</f>
        <v>-0.03427381531</v>
      </c>
      <c r="C28" s="13">
        <f t="shared" si="12"/>
        <v>2.350400046</v>
      </c>
      <c r="D28" s="40">
        <f>D27/D25</f>
        <v>-0.1148309924</v>
      </c>
      <c r="E28" s="13">
        <f t="shared" si="13"/>
        <v>1.325132768</v>
      </c>
      <c r="F28" s="13">
        <f>F27/F25</f>
        <v>-0.2669973031</v>
      </c>
      <c r="G28" s="13">
        <f t="shared" si="14"/>
        <v>-0.5382210905</v>
      </c>
      <c r="H28" s="13">
        <f>H27/H25</f>
        <v>-0.1232937235</v>
      </c>
      <c r="I28" s="13">
        <f t="shared" si="15"/>
        <v>0.5589356959</v>
      </c>
      <c r="J28" s="13">
        <f>J27/J25</f>
        <v>-0.1922069866</v>
      </c>
      <c r="K28" s="13">
        <f t="shared" si="16"/>
        <v>-0.6687049419</v>
      </c>
      <c r="L28" s="13">
        <f>L27/L25</f>
        <v>-0.06367722481</v>
      </c>
      <c r="M28" s="13">
        <f t="shared" si="17"/>
        <v>-5.783502522</v>
      </c>
      <c r="N28" s="13">
        <f>N27/N25</f>
        <v>0.3046001655</v>
      </c>
      <c r="O28" s="13">
        <f t="shared" si="18"/>
        <v>-1.475558931</v>
      </c>
      <c r="P28" s="13">
        <f>P27/P25</f>
        <v>-0.1448553292</v>
      </c>
      <c r="Q28" s="13">
        <f t="shared" si="19"/>
        <v>0.8431997268</v>
      </c>
      <c r="R28" s="13">
        <f>R27/R25</f>
        <v>-0.2669973031</v>
      </c>
      <c r="S28" s="13">
        <f t="shared" si="20"/>
        <v>0</v>
      </c>
      <c r="T28" s="13">
        <f>T27/T25</f>
        <v>-0.2669973031</v>
      </c>
      <c r="U28" s="13">
        <f t="shared" si="21"/>
        <v>0</v>
      </c>
      <c r="V28" s="13">
        <f>V27/V25</f>
        <v>-0.2669973031</v>
      </c>
      <c r="W28" s="13">
        <f t="shared" si="22"/>
        <v>0</v>
      </c>
      <c r="X28" s="13">
        <f>X27/X25</f>
        <v>-0.2669973031</v>
      </c>
    </row>
    <row r="29">
      <c r="A29" s="4" t="s">
        <v>61</v>
      </c>
      <c r="B29" s="41">
        <f>B39+B27</f>
        <v>23929545.6</v>
      </c>
      <c r="C29" s="13">
        <f t="shared" si="12"/>
        <v>-0.3355597187</v>
      </c>
      <c r="D29" s="41">
        <f>D39+D27</f>
        <v>15899754.01</v>
      </c>
      <c r="E29" s="13">
        <f t="shared" si="13"/>
        <v>-0.549718155</v>
      </c>
      <c r="F29" s="146">
        <f>F39+F27</f>
        <v>7159370.57</v>
      </c>
      <c r="G29" s="13">
        <f t="shared" si="14"/>
        <v>1.860964906</v>
      </c>
      <c r="H29" s="146">
        <f>H39+H27</f>
        <v>20482707.95</v>
      </c>
      <c r="I29" s="13">
        <f t="shared" si="15"/>
        <v>0.2309321049</v>
      </c>
      <c r="J29" s="146">
        <f>J39+J27</f>
        <v>25212822.81</v>
      </c>
      <c r="K29" s="13">
        <f t="shared" si="16"/>
        <v>0.2488125394</v>
      </c>
      <c r="L29" s="146">
        <f>L39+L27</f>
        <v>31486089.28</v>
      </c>
      <c r="M29" s="13">
        <f t="shared" si="17"/>
        <v>2.966935242</v>
      </c>
      <c r="N29" s="146">
        <f>N39+N27</f>
        <v>124903277.2</v>
      </c>
      <c r="O29" s="13">
        <f t="shared" si="18"/>
        <v>-0.2206784798</v>
      </c>
      <c r="P29" s="146">
        <f>P39+P27</f>
        <v>97339811.86</v>
      </c>
      <c r="Q29" s="13">
        <f t="shared" si="19"/>
        <v>-0.01712619912</v>
      </c>
      <c r="R29" s="146">
        <f>R39+R27</f>
        <v>95672750.86</v>
      </c>
      <c r="S29" s="13">
        <f t="shared" si="20"/>
        <v>0</v>
      </c>
      <c r="T29" s="146">
        <f>T39+T27</f>
        <v>95672750.86</v>
      </c>
      <c r="U29" s="13">
        <f t="shared" si="21"/>
        <v>0</v>
      </c>
      <c r="V29" s="146">
        <f>V39+V27</f>
        <v>95672750.86</v>
      </c>
      <c r="W29" s="13">
        <f t="shared" si="22"/>
        <v>-0.7057100687</v>
      </c>
      <c r="X29" s="146">
        <f>X39+X27</f>
        <v>28155527.28</v>
      </c>
      <c r="Y29" s="13"/>
      <c r="Z29" s="22"/>
    </row>
    <row r="30">
      <c r="A30" s="4" t="s">
        <v>62</v>
      </c>
      <c r="B30" s="42">
        <f>B29/B33</f>
        <v>1.029758193</v>
      </c>
      <c r="C30" s="13">
        <f t="shared" si="12"/>
        <v>-0.3355597187</v>
      </c>
      <c r="D30" s="42">
        <f>D29/D33</f>
        <v>0.6842128233</v>
      </c>
      <c r="E30" s="13">
        <f t="shared" si="13"/>
        <v>-0.549718155</v>
      </c>
      <c r="F30" s="83">
        <f>F29/F33</f>
        <v>0.3080886124</v>
      </c>
      <c r="G30" s="13">
        <f t="shared" si="14"/>
        <v>1.860964906</v>
      </c>
      <c r="H30" s="83">
        <f>H29/H33</f>
        <v>0.8814307081</v>
      </c>
      <c r="I30" s="13">
        <f t="shared" si="15"/>
        <v>0.2309321049</v>
      </c>
      <c r="J30" s="83">
        <f>J29/J33</f>
        <v>1.084981357</v>
      </c>
      <c r="K30" s="13">
        <f t="shared" si="16"/>
        <v>0.2488125394</v>
      </c>
      <c r="L30" s="83">
        <f>L29/L33</f>
        <v>1.354938323</v>
      </c>
      <c r="M30" s="13">
        <f t="shared" si="17"/>
        <v>2.966935242</v>
      </c>
      <c r="N30" s="83">
        <f>N29/N33</f>
        <v>5.374952586</v>
      </c>
      <c r="O30" s="13">
        <f t="shared" si="18"/>
        <v>-0.2707681697</v>
      </c>
      <c r="P30" s="83">
        <f>P29/P33</f>
        <v>3.919586512</v>
      </c>
      <c r="Q30" s="13">
        <f t="shared" si="19"/>
        <v>0.05038572489</v>
      </c>
      <c r="R30" s="83">
        <f>R29/R33</f>
        <v>4.11707772</v>
      </c>
      <c r="S30" s="13">
        <f t="shared" si="20"/>
        <v>0</v>
      </c>
      <c r="T30" s="83">
        <f>T29/T33</f>
        <v>4.11707772</v>
      </c>
      <c r="U30" s="13">
        <f t="shared" si="21"/>
        <v>0</v>
      </c>
      <c r="V30" s="83">
        <f>V29/V33</f>
        <v>4.11707772</v>
      </c>
      <c r="W30" s="13">
        <f t="shared" si="22"/>
        <v>-0.7057100687</v>
      </c>
      <c r="X30" s="83">
        <f>X29/X33</f>
        <v>1.211614519</v>
      </c>
      <c r="Y30" s="13"/>
      <c r="Z30" s="13"/>
    </row>
    <row r="31">
      <c r="A31" s="28" t="s">
        <v>63</v>
      </c>
      <c r="B31" s="43">
        <v>3.3695135E7</v>
      </c>
      <c r="C31" s="12">
        <f t="shared" si="12"/>
        <v>-0.3448275842</v>
      </c>
      <c r="D31" s="43">
        <v>2.2076123E7</v>
      </c>
      <c r="E31" s="12">
        <f t="shared" si="13"/>
        <v>0</v>
      </c>
      <c r="F31" s="149">
        <v>2.2076123E7</v>
      </c>
      <c r="G31" s="12">
        <f t="shared" si="14"/>
        <v>0</v>
      </c>
      <c r="H31" s="149">
        <v>2.2076123E7</v>
      </c>
      <c r="I31" s="12">
        <f t="shared" si="15"/>
        <v>0</v>
      </c>
      <c r="J31" s="149">
        <v>2.2076123E7</v>
      </c>
      <c r="K31" s="12">
        <f t="shared" si="16"/>
        <v>0</v>
      </c>
      <c r="L31" s="149">
        <v>2.2076123E7</v>
      </c>
      <c r="M31" s="12">
        <f t="shared" si="17"/>
        <v>0.0009210856453</v>
      </c>
      <c r="N31" s="149">
        <v>2.2096457E7</v>
      </c>
      <c r="O31" s="12">
        <f t="shared" si="18"/>
        <v>0.06770483612</v>
      </c>
      <c r="P31" s="149">
        <v>2.3592494E7</v>
      </c>
      <c r="Q31" s="12">
        <f t="shared" si="19"/>
        <v>-0.0642734507</v>
      </c>
      <c r="R31" s="149">
        <v>2.2076123E7</v>
      </c>
      <c r="S31" s="12">
        <f t="shared" si="20"/>
        <v>0</v>
      </c>
      <c r="T31" s="149">
        <v>2.2076123E7</v>
      </c>
      <c r="U31" s="12">
        <f t="shared" si="21"/>
        <v>0</v>
      </c>
      <c r="V31" s="149">
        <v>2.2076123E7</v>
      </c>
      <c r="W31" s="12">
        <f t="shared" si="22"/>
        <v>0</v>
      </c>
      <c r="X31" s="149">
        <v>2.2076123E7</v>
      </c>
    </row>
    <row r="32">
      <c r="A32" s="1" t="s">
        <v>64</v>
      </c>
      <c r="B32" s="40">
        <f>B31/B25</f>
        <v>1.034273815</v>
      </c>
      <c r="C32" s="13">
        <f t="shared" si="12"/>
        <v>0.07788766949</v>
      </c>
      <c r="D32" s="40">
        <f>D31/D25</f>
        <v>1.114830992</v>
      </c>
      <c r="E32" s="13">
        <f t="shared" si="13"/>
        <v>0.1364927166</v>
      </c>
      <c r="F32" s="13">
        <f>F31/F25</f>
        <v>1.266997303</v>
      </c>
      <c r="G32" s="13">
        <f t="shared" si="14"/>
        <v>-0.1134205884</v>
      </c>
      <c r="H32" s="13">
        <f>H31/H25</f>
        <v>1.123293723</v>
      </c>
      <c r="I32" s="13">
        <f t="shared" si="15"/>
        <v>0.06134928176</v>
      </c>
      <c r="J32" s="13">
        <f>J31/J25</f>
        <v>1.192206987</v>
      </c>
      <c r="K32" s="13">
        <f t="shared" si="16"/>
        <v>-0.1078082609</v>
      </c>
      <c r="L32" s="13">
        <f>L31/L25</f>
        <v>1.063677225</v>
      </c>
      <c r="M32" s="13">
        <f t="shared" si="17"/>
        <v>-0.3462303993</v>
      </c>
      <c r="N32" s="13">
        <f>N31/N25</f>
        <v>0.6953998345</v>
      </c>
      <c r="O32" s="13">
        <f t="shared" si="18"/>
        <v>0.6463267207</v>
      </c>
      <c r="P32" s="13">
        <f>P31/P25</f>
        <v>1.144855329</v>
      </c>
      <c r="Q32" s="13">
        <f t="shared" si="19"/>
        <v>0.1066876931</v>
      </c>
      <c r="R32" s="13">
        <f>R31/R25</f>
        <v>1.266997303</v>
      </c>
      <c r="S32" s="13">
        <f t="shared" si="20"/>
        <v>0</v>
      </c>
      <c r="T32" s="13">
        <f>T31/T25</f>
        <v>1.266997303</v>
      </c>
      <c r="U32" s="13">
        <f t="shared" si="21"/>
        <v>0</v>
      </c>
      <c r="V32" s="13">
        <f>V31/V25</f>
        <v>1.266997303</v>
      </c>
      <c r="W32" s="13">
        <f t="shared" si="22"/>
        <v>0</v>
      </c>
      <c r="X32" s="13">
        <f>X31/X25</f>
        <v>1.266997303</v>
      </c>
    </row>
    <row r="33">
      <c r="A33" s="44" t="s">
        <v>65</v>
      </c>
      <c r="B33" s="45">
        <v>2.3238024E7</v>
      </c>
      <c r="C33" s="12">
        <f t="shared" si="12"/>
        <v>0</v>
      </c>
      <c r="D33" s="45">
        <v>2.3238024E7</v>
      </c>
      <c r="E33" s="12">
        <f t="shared" si="13"/>
        <v>0</v>
      </c>
      <c r="F33" s="150">
        <v>2.3238024E7</v>
      </c>
      <c r="G33" s="12">
        <f t="shared" si="14"/>
        <v>0</v>
      </c>
      <c r="H33" s="150">
        <v>2.3238024E7</v>
      </c>
      <c r="I33" s="12">
        <f t="shared" si="15"/>
        <v>0</v>
      </c>
      <c r="J33" s="150">
        <v>2.3238024E7</v>
      </c>
      <c r="K33" s="12">
        <f t="shared" si="16"/>
        <v>0</v>
      </c>
      <c r="L33" s="150">
        <v>2.3238024E7</v>
      </c>
      <c r="M33" s="12">
        <f t="shared" si="17"/>
        <v>0</v>
      </c>
      <c r="N33" s="150">
        <v>2.3238024E7</v>
      </c>
      <c r="O33" s="12">
        <f t="shared" si="18"/>
        <v>0.0686882934</v>
      </c>
      <c r="P33" s="151">
        <v>2.48342042105E7</v>
      </c>
      <c r="Q33" s="12">
        <f t="shared" si="19"/>
        <v>-0.06427345918</v>
      </c>
      <c r="R33" s="150">
        <v>2.3238024E7</v>
      </c>
      <c r="S33" s="12">
        <f t="shared" si="20"/>
        <v>0</v>
      </c>
      <c r="T33" s="150">
        <v>2.3238024E7</v>
      </c>
      <c r="U33" s="12">
        <f t="shared" si="21"/>
        <v>0</v>
      </c>
      <c r="V33" s="150">
        <v>2.3238024E7</v>
      </c>
      <c r="W33" s="12">
        <f t="shared" si="22"/>
        <v>0</v>
      </c>
      <c r="X33" s="150">
        <v>2.3238024E7</v>
      </c>
    </row>
    <row r="34">
      <c r="A34" s="28" t="s">
        <v>66</v>
      </c>
      <c r="B34" s="46">
        <f>B31/B33</f>
        <v>1.450000009</v>
      </c>
      <c r="C34" s="12">
        <f t="shared" si="12"/>
        <v>-0.3448275842</v>
      </c>
      <c r="D34" s="46">
        <f>D31/D33</f>
        <v>0.9500000086</v>
      </c>
      <c r="E34" s="12">
        <f t="shared" si="13"/>
        <v>0</v>
      </c>
      <c r="F34" s="152">
        <f>F31/F33</f>
        <v>0.9500000086</v>
      </c>
      <c r="G34" s="12">
        <f t="shared" si="14"/>
        <v>0</v>
      </c>
      <c r="H34" s="152">
        <f>H31/H33</f>
        <v>0.9500000086</v>
      </c>
      <c r="I34" s="12">
        <f t="shared" si="15"/>
        <v>0</v>
      </c>
      <c r="J34" s="152">
        <f>J31/J33</f>
        <v>0.9500000086</v>
      </c>
      <c r="K34" s="12">
        <f t="shared" si="16"/>
        <v>0</v>
      </c>
      <c r="L34" s="152">
        <f>L31/L33</f>
        <v>0.9500000086</v>
      </c>
      <c r="M34" s="12">
        <f t="shared" si="17"/>
        <v>0.0009210856453</v>
      </c>
      <c r="N34" s="152">
        <f>N31/N33</f>
        <v>0.95087504</v>
      </c>
      <c r="O34" s="12">
        <f t="shared" si="18"/>
        <v>-0.0009202470775</v>
      </c>
      <c r="P34" s="152">
        <f>P31/P33</f>
        <v>0.95</v>
      </c>
      <c r="Q34" s="12">
        <f t="shared" si="19"/>
        <v>0.000000009058502171</v>
      </c>
      <c r="R34" s="152">
        <f>R31/R33</f>
        <v>0.9500000086</v>
      </c>
      <c r="S34" s="12">
        <f t="shared" si="20"/>
        <v>0</v>
      </c>
      <c r="T34" s="152">
        <f>T31/T33</f>
        <v>0.9500000086</v>
      </c>
      <c r="U34" s="12">
        <f t="shared" si="21"/>
        <v>0</v>
      </c>
      <c r="V34" s="152">
        <f>V31/V33</f>
        <v>0.9500000086</v>
      </c>
      <c r="W34" s="12">
        <f t="shared" si="22"/>
        <v>0</v>
      </c>
      <c r="X34" s="152">
        <f>X31/X33</f>
        <v>0.9500000086</v>
      </c>
    </row>
    <row r="35">
      <c r="A35" s="28" t="s">
        <v>67</v>
      </c>
      <c r="B35" s="24">
        <f>B25/B33</f>
        <v>1.401949839</v>
      </c>
      <c r="C35" s="13">
        <f t="shared" si="12"/>
        <v>-0.392170043</v>
      </c>
      <c r="D35" s="24">
        <f>D25/D33</f>
        <v>0.8521471103</v>
      </c>
      <c r="E35" s="13">
        <f t="shared" si="13"/>
        <v>-0.1200999484</v>
      </c>
      <c r="F35" s="22">
        <f>F25/F33</f>
        <v>0.7498042863</v>
      </c>
      <c r="G35" s="13">
        <f t="shared" si="14"/>
        <v>0.1279305463</v>
      </c>
      <c r="H35" s="22">
        <f>H25/H33</f>
        <v>0.8457271582</v>
      </c>
      <c r="I35" s="13">
        <f t="shared" si="15"/>
        <v>-0.05780310291</v>
      </c>
      <c r="J35" s="22">
        <f>J25/J33</f>
        <v>0.7968415043</v>
      </c>
      <c r="K35" s="13">
        <f t="shared" si="16"/>
        <v>0.1208353049</v>
      </c>
      <c r="L35" s="22">
        <f>L25/L33</f>
        <v>0.8931280904</v>
      </c>
      <c r="M35" s="13">
        <f t="shared" si="17"/>
        <v>0.5309997354</v>
      </c>
      <c r="N35" s="22">
        <f>N25/N33</f>
        <v>1.36737887</v>
      </c>
      <c r="O35" s="13">
        <f t="shared" si="18"/>
        <v>-0.3931461232</v>
      </c>
      <c r="P35" s="22">
        <f>P25/P33</f>
        <v>0.8297991683</v>
      </c>
      <c r="Q35" s="13">
        <f t="shared" si="19"/>
        <v>-0.09640270212</v>
      </c>
      <c r="R35" s="22">
        <f>R25/R33</f>
        <v>0.7498042863</v>
      </c>
      <c r="S35" s="13">
        <f t="shared" si="20"/>
        <v>0</v>
      </c>
      <c r="T35" s="22">
        <f>T25/T33</f>
        <v>0.7498042863</v>
      </c>
      <c r="U35" s="13">
        <f t="shared" si="21"/>
        <v>0</v>
      </c>
      <c r="V35" s="22">
        <f>V25/V33</f>
        <v>0.7498042863</v>
      </c>
      <c r="W35" s="13">
        <f t="shared" si="22"/>
        <v>0</v>
      </c>
      <c r="X35" s="22">
        <f>X25/X33</f>
        <v>0.7498042863</v>
      </c>
    </row>
    <row r="36">
      <c r="A36" s="4" t="s">
        <v>68</v>
      </c>
      <c r="B36" s="51">
        <f>B26/B33</f>
        <v>0.8546157797</v>
      </c>
      <c r="C36" s="13">
        <f t="shared" si="12"/>
        <v>-0.01975419221</v>
      </c>
      <c r="D36" s="51">
        <f>D26/D33</f>
        <v>0.8377335353</v>
      </c>
      <c r="E36" s="13">
        <f t="shared" si="13"/>
        <v>-0.10496088</v>
      </c>
      <c r="F36" s="153">
        <f>F26/F33</f>
        <v>0.7498042863</v>
      </c>
      <c r="G36" s="13">
        <f t="shared" si="14"/>
        <v>0.0493722154</v>
      </c>
      <c r="H36" s="153">
        <f>H26/H33</f>
        <v>0.786823785</v>
      </c>
      <c r="I36" s="13">
        <f t="shared" si="15"/>
        <v>0.0003588338147</v>
      </c>
      <c r="J36" s="153">
        <f>J26/J33</f>
        <v>0.787106124</v>
      </c>
      <c r="K36" s="13">
        <f t="shared" si="16"/>
        <v>0.02057620143</v>
      </c>
      <c r="L36" s="153">
        <f>L26/L33</f>
        <v>0.8033017782</v>
      </c>
      <c r="M36" s="13">
        <f t="shared" si="17"/>
        <v>0.04514803709</v>
      </c>
      <c r="N36" s="153">
        <f>N26/N33</f>
        <v>0.8395692766</v>
      </c>
      <c r="O36" s="13">
        <f t="shared" si="18"/>
        <v>-0.01684154808</v>
      </c>
      <c r="P36" s="153">
        <f>P26/P33</f>
        <v>0.8254296303</v>
      </c>
      <c r="Q36" s="13">
        <f t="shared" si="19"/>
        <v>-0.09161937157</v>
      </c>
      <c r="R36" s="153">
        <f>R26/R33</f>
        <v>0.7498042863</v>
      </c>
      <c r="S36" s="13">
        <f t="shared" si="20"/>
        <v>0</v>
      </c>
      <c r="T36" s="153">
        <f>T26/T33</f>
        <v>0.7498042863</v>
      </c>
      <c r="U36" s="13">
        <f t="shared" si="21"/>
        <v>0</v>
      </c>
      <c r="V36" s="153">
        <f>V26/V33</f>
        <v>0.7498042863</v>
      </c>
      <c r="W36" s="13">
        <f t="shared" si="22"/>
        <v>0</v>
      </c>
      <c r="X36" s="153">
        <f>X26/X33</f>
        <v>0.7498042863</v>
      </c>
    </row>
    <row r="37">
      <c r="A37" s="52"/>
      <c r="B37" s="2" t="s">
        <v>1</v>
      </c>
      <c r="C37" s="3">
        <v>46037.0</v>
      </c>
      <c r="D37" s="2" t="s">
        <v>1</v>
      </c>
      <c r="E37" s="3">
        <v>46066.0</v>
      </c>
      <c r="F37" s="2" t="s">
        <v>1</v>
      </c>
      <c r="G37" s="3">
        <v>46094.0</v>
      </c>
      <c r="H37" s="2" t="s">
        <v>1</v>
      </c>
      <c r="I37" s="3">
        <v>46127.0</v>
      </c>
      <c r="J37" s="2" t="s">
        <v>1</v>
      </c>
      <c r="K37" s="3">
        <v>46157.0</v>
      </c>
      <c r="L37" s="2" t="s">
        <v>1</v>
      </c>
      <c r="M37" s="3">
        <v>46188.0</v>
      </c>
      <c r="N37" s="2" t="s">
        <v>1</v>
      </c>
      <c r="O37" s="3">
        <v>46218.0</v>
      </c>
      <c r="P37" s="2" t="s">
        <v>2</v>
      </c>
      <c r="Q37" s="3">
        <v>46195.0</v>
      </c>
      <c r="R37" s="2" t="s">
        <v>3</v>
      </c>
      <c r="S37" s="3">
        <v>46195.0</v>
      </c>
      <c r="T37" s="2" t="s">
        <v>3</v>
      </c>
      <c r="U37" s="3">
        <v>46195.0</v>
      </c>
      <c r="V37" s="2" t="s">
        <v>3</v>
      </c>
      <c r="W37" s="3">
        <v>46195.0</v>
      </c>
      <c r="X37" s="2" t="s">
        <v>3</v>
      </c>
      <c r="Y37" s="3">
        <v>46195.0</v>
      </c>
    </row>
    <row r="38">
      <c r="A38" s="1" t="s">
        <v>69</v>
      </c>
      <c r="B38" s="1" t="s">
        <v>5</v>
      </c>
      <c r="C38" s="53"/>
      <c r="D38" s="54" t="s">
        <v>6</v>
      </c>
      <c r="E38" s="55"/>
      <c r="F38" s="54" t="s">
        <v>7</v>
      </c>
      <c r="G38" s="55"/>
      <c r="H38" s="54" t="s">
        <v>8</v>
      </c>
      <c r="I38" s="55"/>
      <c r="J38" s="54" t="s">
        <v>9</v>
      </c>
      <c r="K38" s="55"/>
      <c r="L38" s="54" t="s">
        <v>10</v>
      </c>
      <c r="M38" s="55"/>
      <c r="N38" s="54" t="s">
        <v>11</v>
      </c>
      <c r="O38" s="55"/>
      <c r="P38" s="1" t="s">
        <v>12</v>
      </c>
      <c r="Q38" s="53"/>
      <c r="R38" s="1" t="s">
        <v>13</v>
      </c>
      <c r="S38" s="53"/>
      <c r="T38" s="1" t="s">
        <v>14</v>
      </c>
      <c r="U38" s="53"/>
      <c r="V38" s="1" t="s">
        <v>15</v>
      </c>
      <c r="W38" s="53"/>
      <c r="X38" s="1" t="s">
        <v>16</v>
      </c>
    </row>
    <row r="39">
      <c r="A39" s="4" t="s">
        <v>61</v>
      </c>
      <c r="B39" s="56">
        <v>2.50461366E7</v>
      </c>
      <c r="C39" s="13">
        <f t="shared" ref="C39:C42" si="23">IFERROR(SUM((D39/B39)-1),0)</f>
        <v>-0.2743926019</v>
      </c>
      <c r="D39" s="56">
        <v>1.817366201E7</v>
      </c>
      <c r="E39" s="13">
        <f t="shared" ref="E39:E42" si="24">IFERROR(SUM((F39/D39)-1),0)</f>
        <v>-0.350074654</v>
      </c>
      <c r="F39" s="56">
        <v>1.181152357E7</v>
      </c>
      <c r="G39" s="13">
        <f t="shared" ref="G39:G42" si="25">IFERROR(SUM((H39/F39)-1),0)</f>
        <v>0.9392758956</v>
      </c>
      <c r="H39" s="56">
        <v>2.290580295E7</v>
      </c>
      <c r="I39" s="13">
        <f t="shared" ref="I39:I42" si="26">IFERROR(SUM((J39/H39)-1),0)</f>
        <v>0.2560975868</v>
      </c>
      <c r="J39" s="56">
        <v>2.877192381E7</v>
      </c>
      <c r="K39" s="13">
        <f t="shared" ref="K39:K42" si="27">IFERROR(SUM((L39/J39)-1),0)</f>
        <v>0.1402671749</v>
      </c>
      <c r="L39" s="56">
        <v>3.280768028E7</v>
      </c>
      <c r="M39" s="13">
        <f t="shared" ref="M39:M42" si="28">IFERROR(SUM((N39/L39)-1),0)</f>
        <v>2.512121254</v>
      </c>
      <c r="N39" s="56">
        <v>1.1522455119E8</v>
      </c>
      <c r="O39" s="13">
        <f t="shared" ref="O39:O42" si="29">IFERROR(SUM((P39/N39)-1),0)</f>
        <v>-0.1293096582</v>
      </c>
      <c r="P39" s="56">
        <v>1.0032490386E8</v>
      </c>
      <c r="Q39" s="13">
        <f t="shared" ref="Q39:Q42" si="30">IFERROR(SUM((R39/P39)-1),0)</f>
        <v>0</v>
      </c>
      <c r="R39" s="56">
        <v>1.0032490386E8</v>
      </c>
      <c r="S39" s="13">
        <f t="shared" ref="S39:S42" si="31">IFERROR(SUM((T39/R39)-1),0)</f>
        <v>0</v>
      </c>
      <c r="T39" s="56">
        <v>1.0032490386E8</v>
      </c>
      <c r="U39" s="13">
        <f t="shared" ref="U39:U42" si="32">IFERROR(SUM((V39/T39)-1),0)</f>
        <v>0</v>
      </c>
      <c r="V39" s="56">
        <v>1.0032490386E8</v>
      </c>
      <c r="W39" s="13">
        <f t="shared" ref="W39:W42" si="33">IFERROR(SUM((X39/V39)-1),0)</f>
        <v>-0.6729856794</v>
      </c>
      <c r="X39" s="56">
        <v>3.280768028E7</v>
      </c>
    </row>
    <row r="40">
      <c r="A40" s="4" t="s">
        <v>70</v>
      </c>
      <c r="B40" s="58">
        <v>3.1906505135E9</v>
      </c>
      <c r="C40" s="13">
        <f t="shared" si="23"/>
        <v>-0.003199779245</v>
      </c>
      <c r="D40" s="58">
        <v>3.18044113621E9</v>
      </c>
      <c r="E40" s="13">
        <f t="shared" si="24"/>
        <v>0.0002466755605</v>
      </c>
      <c r="F40" s="58">
        <v>3.18122567331E9</v>
      </c>
      <c r="G40" s="13">
        <f t="shared" si="25"/>
        <v>-0.007354917916</v>
      </c>
      <c r="H40" s="58">
        <v>3.15782801961E9</v>
      </c>
      <c r="I40" s="13">
        <f t="shared" si="26"/>
        <v>-0.002988164302</v>
      </c>
      <c r="J40" s="58">
        <v>3.14839191065E9</v>
      </c>
      <c r="K40" s="13">
        <f t="shared" si="27"/>
        <v>-0.003571736496</v>
      </c>
      <c r="L40" s="58">
        <v>3.13714668436E9</v>
      </c>
      <c r="M40" s="13">
        <f t="shared" si="28"/>
        <v>-0.0009595498499</v>
      </c>
      <c r="N40" s="58">
        <v>3.13413643573E9</v>
      </c>
      <c r="O40" s="13">
        <f t="shared" si="29"/>
        <v>0.04709379206</v>
      </c>
      <c r="P40" s="58">
        <v>3.28173480531E9</v>
      </c>
      <c r="Q40" s="13">
        <f t="shared" si="30"/>
        <v>0</v>
      </c>
      <c r="R40" s="58">
        <v>3.28173480531E9</v>
      </c>
      <c r="S40" s="13">
        <f t="shared" si="31"/>
        <v>0</v>
      </c>
      <c r="T40" s="58">
        <v>3.28173480531E9</v>
      </c>
      <c r="U40" s="13">
        <f t="shared" si="32"/>
        <v>0</v>
      </c>
      <c r="V40" s="58">
        <v>3.28173480531E9</v>
      </c>
      <c r="W40" s="13">
        <f t="shared" si="33"/>
        <v>-0.0440584415</v>
      </c>
      <c r="X40" s="58">
        <v>3.13714668436E9</v>
      </c>
    </row>
    <row r="41">
      <c r="A41" s="4" t="s">
        <v>71</v>
      </c>
      <c r="B41" s="58">
        <v>1.7282211762E8</v>
      </c>
      <c r="C41" s="13">
        <f t="shared" si="23"/>
        <v>0.0106350942</v>
      </c>
      <c r="D41" s="58">
        <v>1.7466009712E8</v>
      </c>
      <c r="E41" s="13">
        <f t="shared" si="24"/>
        <v>0.003947002042</v>
      </c>
      <c r="F41" s="58">
        <v>1.7534948088E8</v>
      </c>
      <c r="G41" s="13">
        <f t="shared" si="25"/>
        <v>0.005808774938</v>
      </c>
      <c r="H41" s="58">
        <v>1.7636804655E8</v>
      </c>
      <c r="I41" s="13">
        <f t="shared" si="26"/>
        <v>0.01126260623</v>
      </c>
      <c r="J41" s="58">
        <v>1.7835441041E8</v>
      </c>
      <c r="K41" s="13">
        <f t="shared" si="27"/>
        <v>0.02241216397</v>
      </c>
      <c r="L41" s="58">
        <v>1.823517187E8</v>
      </c>
      <c r="M41" s="13">
        <f t="shared" si="28"/>
        <v>-0.131845205</v>
      </c>
      <c r="N41" s="58">
        <v>1.5830951896E8</v>
      </c>
      <c r="O41" s="13">
        <f t="shared" si="29"/>
        <v>0.01318401884</v>
      </c>
      <c r="P41" s="58">
        <v>1.6039667464E8</v>
      </c>
      <c r="Q41" s="13">
        <f t="shared" si="30"/>
        <v>0</v>
      </c>
      <c r="R41" s="58">
        <v>1.6039667464E8</v>
      </c>
      <c r="S41" s="13">
        <f t="shared" si="31"/>
        <v>0</v>
      </c>
      <c r="T41" s="58">
        <v>1.6039667464E8</v>
      </c>
      <c r="U41" s="13">
        <f t="shared" si="32"/>
        <v>0</v>
      </c>
      <c r="V41" s="58">
        <v>1.6039667464E8</v>
      </c>
      <c r="W41" s="13">
        <f t="shared" si="33"/>
        <v>0.136879671</v>
      </c>
      <c r="X41" s="58">
        <v>1.823517187E8</v>
      </c>
    </row>
    <row r="42">
      <c r="A42" s="59" t="s">
        <v>72</v>
      </c>
      <c r="B42" s="24">
        <f>SUM(B39:B41)</f>
        <v>3388518768</v>
      </c>
      <c r="C42" s="13">
        <f t="shared" si="23"/>
        <v>-0.004498683178</v>
      </c>
      <c r="D42" s="24">
        <f>SUM(D39:D41)</f>
        <v>3373274895</v>
      </c>
      <c r="E42" s="13">
        <f t="shared" si="24"/>
        <v>-0.001449101461</v>
      </c>
      <c r="F42" s="24">
        <f>SUM(F39:F41)</f>
        <v>3368386678</v>
      </c>
      <c r="G42" s="13">
        <f t="shared" si="25"/>
        <v>-0.003350211757</v>
      </c>
      <c r="H42" s="24">
        <f>SUM(H39:H41)</f>
        <v>3357101869</v>
      </c>
      <c r="I42" s="13">
        <f t="shared" si="26"/>
        <v>-0.0004717236181</v>
      </c>
      <c r="J42" s="24">
        <f>SUM(J39:J41)</f>
        <v>3355518245</v>
      </c>
      <c r="K42" s="13">
        <f t="shared" si="27"/>
        <v>-0.0009572773252</v>
      </c>
      <c r="L42" s="24">
        <f>SUM(L39:L41)</f>
        <v>3352306083</v>
      </c>
      <c r="M42" s="13">
        <f t="shared" si="28"/>
        <v>0.01651532443</v>
      </c>
      <c r="N42" s="24">
        <f>SUM(N39:N41)</f>
        <v>3407670506</v>
      </c>
      <c r="O42" s="13">
        <f t="shared" si="29"/>
        <v>0.03955367096</v>
      </c>
      <c r="P42" s="24">
        <f>SUM(P39:P41)</f>
        <v>3542456384</v>
      </c>
      <c r="Q42" s="13">
        <f t="shared" si="30"/>
        <v>0</v>
      </c>
      <c r="R42" s="24">
        <f>SUM(R39:R41)</f>
        <v>3542456384</v>
      </c>
      <c r="S42" s="13">
        <f t="shared" si="31"/>
        <v>0</v>
      </c>
      <c r="T42" s="24">
        <f>SUM(T39:T41)</f>
        <v>3542456384</v>
      </c>
      <c r="U42" s="13">
        <f t="shared" si="32"/>
        <v>0</v>
      </c>
      <c r="V42" s="24">
        <f>SUM(V39:V41)</f>
        <v>3542456384</v>
      </c>
      <c r="W42" s="13">
        <f t="shared" si="33"/>
        <v>-0.05367752764</v>
      </c>
      <c r="X42" s="24">
        <f>SUM(X39:X41)</f>
        <v>3352306083</v>
      </c>
    </row>
    <row r="44">
      <c r="A44" s="25" t="s">
        <v>73</v>
      </c>
      <c r="B44" s="15">
        <v>2.1440389012E8</v>
      </c>
      <c r="C44" s="13">
        <f t="shared" ref="C44:C55" si="34">IFERROR(SUM((D44/B44)-1),0)</f>
        <v>-0.0002481349101</v>
      </c>
      <c r="D44" s="15">
        <v>2.1435068903E8</v>
      </c>
      <c r="E44" s="13">
        <f t="shared" ref="E44:E55" si="35">IFERROR(SUM((F44/D44)-1),0)</f>
        <v>-0.007930972826</v>
      </c>
      <c r="F44" s="15">
        <v>2.1265067954E8</v>
      </c>
      <c r="G44" s="13">
        <f t="shared" ref="G44:G55" si="36">IFERROR(SUM((H44/F44)-1),0)</f>
        <v>-0.0110624429</v>
      </c>
      <c r="H44" s="15">
        <v>2.1029824354E8</v>
      </c>
      <c r="I44" s="13">
        <f t="shared" ref="I44:I55" si="37">IFERROR(SUM((J44/H44)-1),0)</f>
        <v>-0.006269897588</v>
      </c>
      <c r="J44" s="15">
        <v>2.0897969509E8</v>
      </c>
      <c r="K44" s="13">
        <f t="shared" ref="K44:K55" si="38">IFERROR(SUM((L44/J44)-1),0)</f>
        <v>-0.009637792749</v>
      </c>
      <c r="L44" s="15">
        <v>2.069655921E8</v>
      </c>
      <c r="M44" s="13">
        <f t="shared" ref="M44:M55" si="39">IFERROR(SUM((N44/L44)-1),0)</f>
        <v>-0.009780662425</v>
      </c>
      <c r="N44" s="15">
        <v>2.0494133151E8</v>
      </c>
      <c r="O44" s="13">
        <f t="shared" ref="O44:O55" si="40">IFERROR(SUM((P44/N44)-1),0)</f>
        <v>-0.009172497496</v>
      </c>
      <c r="P44" s="15">
        <v>2.0306150766E8</v>
      </c>
      <c r="Q44" s="13">
        <f t="shared" ref="Q44:Q55" si="41">IFERROR(SUM((R44/P44)-1),0)</f>
        <v>0</v>
      </c>
      <c r="R44" s="15">
        <v>2.0306150766E8</v>
      </c>
      <c r="S44" s="13">
        <f t="shared" ref="S44:S55" si="42">IFERROR(SUM((T44/R44)-1),0)</f>
        <v>0</v>
      </c>
      <c r="T44" s="15">
        <v>2.0306150766E8</v>
      </c>
      <c r="U44" s="13">
        <f t="shared" ref="U44:U55" si="43">IFERROR(SUM((V44/T44)-1),0)</f>
        <v>0</v>
      </c>
      <c r="V44" s="15">
        <v>2.0306150766E8</v>
      </c>
      <c r="W44" s="13">
        <f t="shared" ref="W44:W51" si="44">IFERROR(SUM((X44/V44)-1),0)</f>
        <v>0.01922611767</v>
      </c>
      <c r="X44" s="15">
        <v>2.069655921E8</v>
      </c>
    </row>
    <row r="45">
      <c r="A45" s="25" t="s">
        <v>74</v>
      </c>
      <c r="B45" s="15">
        <v>9.02869777E7</v>
      </c>
      <c r="C45" s="13">
        <f t="shared" si="34"/>
        <v>0.0002480079694</v>
      </c>
      <c r="D45" s="15">
        <v>9.030936959E7</v>
      </c>
      <c r="E45" s="13">
        <f t="shared" si="35"/>
        <v>0.000455316322</v>
      </c>
      <c r="F45" s="15">
        <v>9.035048892E7</v>
      </c>
      <c r="G45" s="13">
        <f t="shared" si="36"/>
        <v>0.000456604502</v>
      </c>
      <c r="H45" s="15">
        <v>9.039174336E7</v>
      </c>
      <c r="I45" s="13">
        <f t="shared" si="37"/>
        <v>0.0009712660331</v>
      </c>
      <c r="J45" s="15">
        <v>9.047953779E7</v>
      </c>
      <c r="K45" s="13">
        <f t="shared" si="38"/>
        <v>0.001228441952</v>
      </c>
      <c r="L45" s="15">
        <v>9.059068665E7</v>
      </c>
      <c r="M45" s="13">
        <f t="shared" si="39"/>
        <v>0.0009424767949</v>
      </c>
      <c r="N45" s="15">
        <v>9.067606627E7</v>
      </c>
      <c r="O45" s="13">
        <f t="shared" si="40"/>
        <v>0.0008224072026</v>
      </c>
      <c r="P45" s="15">
        <v>9.075063892E7</v>
      </c>
      <c r="Q45" s="13">
        <f t="shared" si="41"/>
        <v>0</v>
      </c>
      <c r="R45" s="15">
        <v>9.075063892E7</v>
      </c>
      <c r="S45" s="13">
        <f t="shared" si="42"/>
        <v>0</v>
      </c>
      <c r="T45" s="15">
        <v>9.075063892E7</v>
      </c>
      <c r="U45" s="13">
        <f t="shared" si="43"/>
        <v>0</v>
      </c>
      <c r="V45" s="15">
        <v>9.075063892E7</v>
      </c>
      <c r="W45" s="13">
        <f t="shared" si="44"/>
        <v>-0.00176254704</v>
      </c>
      <c r="X45" s="15">
        <v>9.059068665E7</v>
      </c>
    </row>
    <row r="46">
      <c r="A46" s="60" t="s">
        <v>75</v>
      </c>
      <c r="B46" s="61">
        <f>SUM(B44:B45)</f>
        <v>304690867.8</v>
      </c>
      <c r="C46" s="27">
        <f t="shared" si="34"/>
        <v>-0.0001011162567</v>
      </c>
      <c r="D46" s="61">
        <f>SUM(D44:D45)</f>
        <v>304660058.6</v>
      </c>
      <c r="E46" s="27">
        <f t="shared" si="35"/>
        <v>-0.00544505298</v>
      </c>
      <c r="F46" s="61">
        <f>SUM(F44:F45)</f>
        <v>303001168.5</v>
      </c>
      <c r="G46" s="27">
        <f t="shared" si="36"/>
        <v>-0.0076276325</v>
      </c>
      <c r="H46" s="61">
        <f>SUM(H44:H45)</f>
        <v>300689986.9</v>
      </c>
      <c r="I46" s="27">
        <f t="shared" si="37"/>
        <v>-0.00409309945</v>
      </c>
      <c r="J46" s="61">
        <f>SUM(J44:J45)</f>
        <v>299459232.9</v>
      </c>
      <c r="K46" s="27">
        <f t="shared" si="38"/>
        <v>-0.006354635026</v>
      </c>
      <c r="L46" s="61">
        <f>SUM(L44:L45)</f>
        <v>297556278.8</v>
      </c>
      <c r="M46" s="27">
        <f t="shared" si="39"/>
        <v>-0.006516014309</v>
      </c>
      <c r="N46" s="61">
        <f>SUM(N44:N45)</f>
        <v>295617397.8</v>
      </c>
      <c r="O46" s="27">
        <f t="shared" si="40"/>
        <v>-0.006106715009</v>
      </c>
      <c r="P46" s="61">
        <f>SUM(P44:P45)</f>
        <v>293812146.6</v>
      </c>
      <c r="Q46" s="27">
        <f t="shared" si="41"/>
        <v>0</v>
      </c>
      <c r="R46" s="61">
        <f>SUM(R44:R45)</f>
        <v>293812146.6</v>
      </c>
      <c r="S46" s="27">
        <f t="shared" si="42"/>
        <v>0</v>
      </c>
      <c r="T46" s="61">
        <f>SUM(T44:T45)</f>
        <v>293812146.6</v>
      </c>
      <c r="U46" s="27">
        <f t="shared" si="43"/>
        <v>0</v>
      </c>
      <c r="V46" s="61">
        <f>SUM(V44:V45)</f>
        <v>293812146.6</v>
      </c>
      <c r="W46" s="27">
        <f t="shared" si="44"/>
        <v>0.01274328585</v>
      </c>
      <c r="X46" s="61">
        <f>SUM(X44:X45)</f>
        <v>297556278.8</v>
      </c>
    </row>
    <row r="47">
      <c r="A47" s="1" t="s">
        <v>76</v>
      </c>
      <c r="B47" s="62">
        <f>ABS(B18)/B60</f>
        <v>0.0005179382537</v>
      </c>
      <c r="C47" s="31">
        <f t="shared" si="34"/>
        <v>-0.01033726484</v>
      </c>
      <c r="D47" s="62">
        <f>ABS(D18)/D60</f>
        <v>0.0005125841888</v>
      </c>
      <c r="E47" s="31">
        <f t="shared" si="35"/>
        <v>-0.5761479496</v>
      </c>
      <c r="F47" s="62">
        <f>ABS(F18)/F60</f>
        <v>0.0002172598594</v>
      </c>
      <c r="G47" s="31">
        <f t="shared" si="36"/>
        <v>2.716550356</v>
      </c>
      <c r="H47" s="62">
        <f>ABS(H18)/H60</f>
        <v>0.0008074572078</v>
      </c>
      <c r="I47" s="31">
        <f t="shared" si="37"/>
        <v>-0.3625725537</v>
      </c>
      <c r="J47" s="62">
        <f>ABS(J18)/J60</f>
        <v>0.0005146953859</v>
      </c>
      <c r="K47" s="31">
        <f t="shared" si="38"/>
        <v>-0.1585531759</v>
      </c>
      <c r="L47" s="62">
        <f>ABS(L18)/L60</f>
        <v>0.0004330887979</v>
      </c>
      <c r="M47" s="31">
        <f t="shared" si="39"/>
        <v>0.288277281</v>
      </c>
      <c r="N47" s="62">
        <f>ABS(N18)/N60</f>
        <v>0.000557938459</v>
      </c>
      <c r="O47" s="31">
        <f t="shared" si="40"/>
        <v>-0.1437150997</v>
      </c>
      <c r="P47" s="62">
        <f>ABS(P18)/P60</f>
        <v>0.0004777542778</v>
      </c>
      <c r="Q47" s="31">
        <f t="shared" si="41"/>
        <v>-0.5716321984</v>
      </c>
      <c r="R47" s="62">
        <f>ABS(R18)/R60</f>
        <v>0.0002046545497</v>
      </c>
      <c r="S47" s="31">
        <f t="shared" si="42"/>
        <v>0</v>
      </c>
      <c r="T47" s="62">
        <f>ABS(T18)/T60</f>
        <v>0.0002046545497</v>
      </c>
      <c r="U47" s="31">
        <f t="shared" si="43"/>
        <v>0</v>
      </c>
      <c r="V47" s="62">
        <f>ABS(V18)/V60</f>
        <v>0.0002046545497</v>
      </c>
      <c r="W47" s="31">
        <f t="shared" si="44"/>
        <v>0.063460479</v>
      </c>
      <c r="X47" s="62">
        <f>ABS(X18)/X60</f>
        <v>0.0002176420254</v>
      </c>
      <c r="Y47" s="13"/>
    </row>
    <row r="48">
      <c r="A48" s="1" t="s">
        <v>77</v>
      </c>
      <c r="B48" s="31">
        <f>B46/B42</f>
        <v>0.08991860123</v>
      </c>
      <c r="C48" s="31">
        <f t="shared" si="34"/>
        <v>0.004417439583</v>
      </c>
      <c r="D48" s="31">
        <f>D46/D42</f>
        <v>0.09031581121</v>
      </c>
      <c r="E48" s="31">
        <f t="shared" si="35"/>
        <v>-0.004001750461</v>
      </c>
      <c r="F48" s="31">
        <f>F46/F42</f>
        <v>0.08995438987</v>
      </c>
      <c r="G48" s="31">
        <f t="shared" si="36"/>
        <v>-0.004291799179</v>
      </c>
      <c r="H48" s="31">
        <f>H46/H42</f>
        <v>0.0895683237</v>
      </c>
      <c r="I48" s="31">
        <f t="shared" si="37"/>
        <v>-0.003623084927</v>
      </c>
      <c r="J48" s="31">
        <f>J46/J42</f>
        <v>0.08924381005</v>
      </c>
      <c r="K48" s="31">
        <f t="shared" si="38"/>
        <v>-0.005402529419</v>
      </c>
      <c r="L48" s="31">
        <f>L46/L42</f>
        <v>0.08876166775</v>
      </c>
      <c r="M48" s="31">
        <f t="shared" si="39"/>
        <v>-0.02265714858</v>
      </c>
      <c r="N48" s="31">
        <f>N46/N42</f>
        <v>0.08675058145</v>
      </c>
      <c r="O48" s="31">
        <f t="shared" si="40"/>
        <v>-0.04392306741</v>
      </c>
      <c r="P48" s="31">
        <f>P46/P42</f>
        <v>0.08294022981</v>
      </c>
      <c r="Q48" s="31">
        <f t="shared" si="41"/>
        <v>0</v>
      </c>
      <c r="R48" s="31">
        <f>R46/R42</f>
        <v>0.08294022981</v>
      </c>
      <c r="S48" s="31">
        <f t="shared" si="42"/>
        <v>0</v>
      </c>
      <c r="T48" s="31">
        <f>T46/T42</f>
        <v>0.08294022981</v>
      </c>
      <c r="U48" s="31">
        <f t="shared" si="43"/>
        <v>0</v>
      </c>
      <c r="V48" s="31">
        <f>V46/V42</f>
        <v>0.08294022981</v>
      </c>
      <c r="W48" s="31">
        <f t="shared" si="44"/>
        <v>0.07018835062</v>
      </c>
      <c r="X48" s="31">
        <f>X46/X42</f>
        <v>0.08876166775</v>
      </c>
    </row>
    <row r="49">
      <c r="A49" s="1" t="s">
        <v>78</v>
      </c>
      <c r="B49" s="31">
        <f>B46/B60</f>
        <v>0.1013082199</v>
      </c>
      <c r="C49" s="31">
        <f t="shared" si="34"/>
        <v>0.00114920009</v>
      </c>
      <c r="D49" s="31">
        <f>D46/D60</f>
        <v>0.1014246433</v>
      </c>
      <c r="E49" s="31">
        <f t="shared" si="35"/>
        <v>-0.004397442438</v>
      </c>
      <c r="F49" s="31">
        <f>F46/F60</f>
        <v>0.1009786343</v>
      </c>
      <c r="G49" s="31">
        <f t="shared" si="36"/>
        <v>-0.006059940792</v>
      </c>
      <c r="H49" s="31">
        <f>H46/H60</f>
        <v>0.1003667097</v>
      </c>
      <c r="I49" s="31">
        <f t="shared" si="37"/>
        <v>-0.003638924822</v>
      </c>
      <c r="J49" s="31">
        <f>J46/J60</f>
        <v>0.1000014828</v>
      </c>
      <c r="K49" s="31">
        <f t="shared" si="38"/>
        <v>-0.006644803971</v>
      </c>
      <c r="L49" s="31">
        <f>L46/L60</f>
        <v>0.09933699257</v>
      </c>
      <c r="M49" s="31">
        <f t="shared" si="39"/>
        <v>-0.003579385922</v>
      </c>
      <c r="N49" s="31">
        <f>N46/N60</f>
        <v>0.09898142714</v>
      </c>
      <c r="O49" s="31">
        <f t="shared" si="40"/>
        <v>-0.06821816029</v>
      </c>
      <c r="P49" s="31">
        <f>P46/P60</f>
        <v>0.09222909627</v>
      </c>
      <c r="Q49" s="31">
        <f t="shared" si="41"/>
        <v>0.00006652873887</v>
      </c>
      <c r="R49" s="31">
        <f>R46/R60</f>
        <v>0.09223523216</v>
      </c>
      <c r="S49" s="31">
        <f t="shared" si="42"/>
        <v>0</v>
      </c>
      <c r="T49" s="31">
        <f>T46/T60</f>
        <v>0.09223523216</v>
      </c>
      <c r="U49" s="31">
        <f t="shared" si="43"/>
        <v>0</v>
      </c>
      <c r="V49" s="31">
        <f>V46/V60</f>
        <v>0.09223523216</v>
      </c>
      <c r="W49" s="31">
        <f t="shared" si="44"/>
        <v>0.07701245988</v>
      </c>
      <c r="X49" s="31">
        <f>X46/X60</f>
        <v>0.09933849428</v>
      </c>
    </row>
    <row r="50">
      <c r="A50" s="44" t="s">
        <v>79</v>
      </c>
      <c r="B50" s="43">
        <f>B31</f>
        <v>33695135</v>
      </c>
      <c r="C50" s="12">
        <f t="shared" si="34"/>
        <v>-0.3448275842</v>
      </c>
      <c r="D50" s="43">
        <f>D31</f>
        <v>22076123</v>
      </c>
      <c r="E50" s="12">
        <f t="shared" si="35"/>
        <v>0</v>
      </c>
      <c r="F50" s="43">
        <f>F31</f>
        <v>22076123</v>
      </c>
      <c r="G50" s="12">
        <f t="shared" si="36"/>
        <v>0</v>
      </c>
      <c r="H50" s="43">
        <f>H31</f>
        <v>22076123</v>
      </c>
      <c r="I50" s="12">
        <f t="shared" si="37"/>
        <v>0</v>
      </c>
      <c r="J50" s="43">
        <f>J31</f>
        <v>22076123</v>
      </c>
      <c r="K50" s="12">
        <f t="shared" si="38"/>
        <v>0</v>
      </c>
      <c r="L50" s="43">
        <f>L31</f>
        <v>22076123</v>
      </c>
      <c r="M50" s="12">
        <f t="shared" si="39"/>
        <v>0.0009210856453</v>
      </c>
      <c r="N50" s="43">
        <f>N31</f>
        <v>22096457</v>
      </c>
      <c r="O50" s="12">
        <f t="shared" si="40"/>
        <v>0.06770483612</v>
      </c>
      <c r="P50" s="43">
        <f>P31</f>
        <v>23592494</v>
      </c>
      <c r="Q50" s="12">
        <f t="shared" si="41"/>
        <v>-0.0642734507</v>
      </c>
      <c r="R50" s="43">
        <f>R31</f>
        <v>22076123</v>
      </c>
      <c r="S50" s="12">
        <f t="shared" si="42"/>
        <v>0</v>
      </c>
      <c r="T50" s="43">
        <f>T31</f>
        <v>22076123</v>
      </c>
      <c r="U50" s="12">
        <f t="shared" si="43"/>
        <v>0</v>
      </c>
      <c r="V50" s="43">
        <f>V31</f>
        <v>22076123</v>
      </c>
      <c r="W50" s="12">
        <f t="shared" si="44"/>
        <v>0</v>
      </c>
      <c r="X50" s="43">
        <f>X31</f>
        <v>22076123</v>
      </c>
    </row>
    <row r="51">
      <c r="A51" s="44" t="s">
        <v>80</v>
      </c>
      <c r="B51" s="39">
        <f>ABS(B20)</f>
        <v>1552003</v>
      </c>
      <c r="C51" s="12">
        <f t="shared" si="34"/>
        <v>0.1582761116</v>
      </c>
      <c r="D51" s="39">
        <f>ABS(D20)</f>
        <v>1797648</v>
      </c>
      <c r="E51" s="12">
        <f t="shared" si="35"/>
        <v>-0.03857929917</v>
      </c>
      <c r="F51" s="39">
        <f>ABS(F20)</f>
        <v>1728296</v>
      </c>
      <c r="G51" s="12">
        <f t="shared" si="36"/>
        <v>-0.1462995922</v>
      </c>
      <c r="H51" s="39">
        <f>ABS(H20)</f>
        <v>1475447</v>
      </c>
      <c r="I51" s="12">
        <f t="shared" si="37"/>
        <v>0.2430937878</v>
      </c>
      <c r="J51" s="39">
        <f>ABS(J20)</f>
        <v>1834119</v>
      </c>
      <c r="K51" s="12">
        <f t="shared" si="38"/>
        <v>-0.08238560312</v>
      </c>
      <c r="L51" s="39">
        <f>ABS(L20)</f>
        <v>1683014</v>
      </c>
      <c r="M51" s="12">
        <f t="shared" si="39"/>
        <v>-0.001330945554</v>
      </c>
      <c r="N51" s="39">
        <f>ABS(N20)</f>
        <v>1680774</v>
      </c>
      <c r="O51" s="12">
        <f t="shared" si="40"/>
        <v>-1</v>
      </c>
      <c r="P51" s="39">
        <f>ABS(P20)</f>
        <v>0</v>
      </c>
      <c r="Q51" s="12">
        <f t="shared" si="41"/>
        <v>0</v>
      </c>
      <c r="R51" s="39">
        <f>ABS(R20)</f>
        <v>1728296</v>
      </c>
      <c r="S51" s="12">
        <f t="shared" si="42"/>
        <v>0</v>
      </c>
      <c r="T51" s="39">
        <f>ABS(T20)</f>
        <v>1728296</v>
      </c>
      <c r="U51" s="12">
        <f t="shared" si="43"/>
        <v>0</v>
      </c>
      <c r="V51" s="39">
        <f>ABS(V20)</f>
        <v>1728296</v>
      </c>
      <c r="W51" s="12">
        <f t="shared" si="44"/>
        <v>0</v>
      </c>
      <c r="X51" s="39">
        <f>ABS(X20)</f>
        <v>1728296</v>
      </c>
    </row>
    <row r="52">
      <c r="A52" s="25" t="s">
        <v>180</v>
      </c>
      <c r="B52" s="67">
        <v>9510349.57</v>
      </c>
      <c r="C52" s="68">
        <f t="shared" si="34"/>
        <v>-0.03696176859</v>
      </c>
      <c r="D52" s="67">
        <v>9158830.23</v>
      </c>
      <c r="E52" s="68">
        <f t="shared" si="35"/>
        <v>-0.000005062873624</v>
      </c>
      <c r="F52" s="67">
        <v>9158783.86</v>
      </c>
      <c r="G52" s="68">
        <f t="shared" si="36"/>
        <v>-0.03020089067</v>
      </c>
      <c r="H52" s="67">
        <v>8882180.43</v>
      </c>
      <c r="I52" s="68">
        <f t="shared" si="37"/>
        <v>-0.01770955018</v>
      </c>
      <c r="J52" s="67">
        <v>8724881.01</v>
      </c>
      <c r="K52" s="68">
        <f t="shared" si="38"/>
        <v>-0.5255367431</v>
      </c>
      <c r="L52" s="67">
        <v>4139635.46</v>
      </c>
      <c r="M52" s="68">
        <f t="shared" si="39"/>
        <v>1.023356685</v>
      </c>
      <c r="N52" s="67">
        <v>8375959.08</v>
      </c>
      <c r="O52" s="68">
        <f t="shared" si="40"/>
        <v>-0.1666666667</v>
      </c>
      <c r="P52" s="67">
        <v>6979965.9</v>
      </c>
      <c r="Q52" s="68">
        <f t="shared" si="41"/>
        <v>0</v>
      </c>
      <c r="R52" s="67">
        <v>6979965.9</v>
      </c>
      <c r="S52" s="68">
        <f t="shared" si="42"/>
        <v>0</v>
      </c>
      <c r="T52" s="67">
        <v>6979965.9</v>
      </c>
      <c r="U52" s="68">
        <f t="shared" si="43"/>
        <v>0</v>
      </c>
      <c r="V52" s="67">
        <v>6979965.9</v>
      </c>
      <c r="W52" s="68">
        <f>IFERROR(SUM((X52/V56)-1),0)</f>
        <v>0</v>
      </c>
      <c r="X52" s="67">
        <v>4139635.46</v>
      </c>
    </row>
    <row r="53">
      <c r="A53" s="1" t="s">
        <v>81</v>
      </c>
      <c r="B53" s="62">
        <f>IFERROR(SUM(B51:B52)/B26,0)</f>
        <v>0.5570284697</v>
      </c>
      <c r="C53" s="31">
        <f t="shared" si="34"/>
        <v>0.0103887237</v>
      </c>
      <c r="D53" s="62">
        <f>IFERROR(SUM(D51:D52)/D26,0)</f>
        <v>0.5628152845</v>
      </c>
      <c r="E53" s="31">
        <f t="shared" si="35"/>
        <v>0.110192811</v>
      </c>
      <c r="F53" s="62">
        <f>IFERROR(SUM(F51:F52)/F26,0)</f>
        <v>0.6248334828</v>
      </c>
      <c r="G53" s="31">
        <f t="shared" si="36"/>
        <v>-0.09339248332</v>
      </c>
      <c r="H53" s="62">
        <f>IFERROR(SUM(H51:H52)/H26,0)</f>
        <v>0.5664787322</v>
      </c>
      <c r="I53" s="31">
        <f t="shared" si="37"/>
        <v>0.01907628115</v>
      </c>
      <c r="J53" s="62">
        <f>IFERROR(SUM(J51:J52)/J26,0)</f>
        <v>0.5772850398</v>
      </c>
      <c r="K53" s="31">
        <f t="shared" si="38"/>
        <v>-0.4596782898</v>
      </c>
      <c r="L53" s="62">
        <f>IFERROR(SUM(L51:L52)/L26,0)</f>
        <v>0.31191964</v>
      </c>
      <c r="M53" s="31">
        <f t="shared" si="39"/>
        <v>0.6525646903</v>
      </c>
      <c r="N53" s="62">
        <f>IFERROR(SUM(N51:N52)/N26,0)</f>
        <v>0.5154673833</v>
      </c>
      <c r="O53" s="31">
        <f t="shared" si="40"/>
        <v>-0.3394254946</v>
      </c>
      <c r="P53" s="62">
        <f>IFERROR(SUM(P51:P52)/P26,0)</f>
        <v>0.3405046118</v>
      </c>
      <c r="Q53" s="31">
        <f t="shared" si="41"/>
        <v>0.4677813628</v>
      </c>
      <c r="R53" s="62">
        <f>IFERROR(SUM(R51:R52)/R26,0)</f>
        <v>0.4997863231</v>
      </c>
      <c r="S53" s="31">
        <f t="shared" si="42"/>
        <v>0</v>
      </c>
      <c r="T53" s="62">
        <f>IFERROR(SUM(T51:T52)/T26,0)</f>
        <v>0.4997863231</v>
      </c>
      <c r="U53" s="31">
        <f t="shared" si="43"/>
        <v>0</v>
      </c>
      <c r="V53" s="62">
        <f>IFERROR(SUM(V51:V52)/V26,0)</f>
        <v>0.4997863231</v>
      </c>
      <c r="W53" s="31">
        <f>IFERROR(SUM((X53/V53)-1),0)</f>
        <v>-0.3261650227</v>
      </c>
      <c r="X53" s="62">
        <f>IFERROR(SUM(X51:X52)/X26,0)</f>
        <v>0.3367735057</v>
      </c>
      <c r="Y53" s="13"/>
    </row>
    <row r="54">
      <c r="A54" s="25" t="s">
        <v>82</v>
      </c>
      <c r="B54" s="63">
        <f>IFERROR(SUM(B51:B52)/(B78*B33),0)*12</f>
        <v>0.04529810356</v>
      </c>
      <c r="C54" s="27">
        <f t="shared" si="34"/>
        <v>-0.03213451867</v>
      </c>
      <c r="D54" s="63">
        <f>IFERROR(SUM(D51:D52)/(D78*D33),0)*12</f>
        <v>0.0438424708</v>
      </c>
      <c r="E54" s="27">
        <f t="shared" si="35"/>
        <v>-0.02187187746</v>
      </c>
      <c r="F54" s="63">
        <f>IFERROR(SUM(F51:F52)/(F78*F33),0)*12</f>
        <v>0.04288355365</v>
      </c>
      <c r="G54" s="27">
        <f t="shared" si="36"/>
        <v>-0.04050741142</v>
      </c>
      <c r="H54" s="63">
        <f>IFERROR(SUM(H51:H52)/(H78*H33),0)*12</f>
        <v>0.0411464519</v>
      </c>
      <c r="I54" s="27">
        <f t="shared" si="37"/>
        <v>-0.00009612613651</v>
      </c>
      <c r="J54" s="63">
        <f>IFERROR(SUM(J51:J52)/(J78*J33),0)*12</f>
        <v>0.04114249665</v>
      </c>
      <c r="K54" s="27">
        <f t="shared" si="38"/>
        <v>-0.4375257901</v>
      </c>
      <c r="L54" s="63">
        <f>IFERROR(SUM(L51:L52)/(L78*L33),0)*12</f>
        <v>0.0231415933</v>
      </c>
      <c r="M54" s="27">
        <f t="shared" si="39"/>
        <v>0.7066835064</v>
      </c>
      <c r="N54" s="63">
        <f>IFERROR(SUM(N51:N52)/(N78*N33),0)*12</f>
        <v>0.0394953756</v>
      </c>
      <c r="O54" s="27">
        <f t="shared" si="40"/>
        <v>-0.318194789</v>
      </c>
      <c r="P54" s="63">
        <f>IFERROR(SUM(P51:P52)/(P78*P33),0)*12</f>
        <v>0.02692815289</v>
      </c>
      <c r="Q54" s="27">
        <f t="shared" si="41"/>
        <v>0.3242117646</v>
      </c>
      <c r="R54" s="63">
        <f>IFERROR(SUM(R51:R52)/(R78*R33),0)*12</f>
        <v>0.03565857686</v>
      </c>
      <c r="S54" s="27">
        <f t="shared" si="42"/>
        <v>0</v>
      </c>
      <c r="T54" s="63">
        <f>IFERROR(SUM(T51:T52)/(T78*T33),0)*12</f>
        <v>0.03565857686</v>
      </c>
      <c r="U54" s="27">
        <f t="shared" si="43"/>
        <v>0</v>
      </c>
      <c r="V54" s="63">
        <f>IFERROR(SUM(V51:V52)/(V78*V33),0)*12</f>
        <v>0.03565857686</v>
      </c>
      <c r="W54" s="27">
        <f>IFERROR(SUM((X54/V58)-1),0)</f>
        <v>-0.7855958005</v>
      </c>
      <c r="X54" s="63">
        <f>IFERROR(SUM(X51:X52)/(X78*X33),0)*12</f>
        <v>0.02402799633</v>
      </c>
    </row>
    <row r="55">
      <c r="A55" s="4" t="s">
        <v>83</v>
      </c>
      <c r="B55" s="15">
        <v>3.150727335E7</v>
      </c>
      <c r="C55" s="13">
        <f t="shared" si="34"/>
        <v>0.008503180108</v>
      </c>
      <c r="D55" s="15">
        <v>3.177518537E7</v>
      </c>
      <c r="E55" s="13">
        <f t="shared" si="35"/>
        <v>0.00002486090925</v>
      </c>
      <c r="F55" s="15">
        <v>3.177597533E7</v>
      </c>
      <c r="G55" s="13">
        <f t="shared" si="36"/>
        <v>-0.1167991211</v>
      </c>
      <c r="H55" s="15">
        <v>2.806456934E7</v>
      </c>
      <c r="I55" s="13">
        <f t="shared" si="37"/>
        <v>0.02891170608</v>
      </c>
      <c r="J55" s="15">
        <v>2.887596392E7</v>
      </c>
      <c r="K55" s="13">
        <f t="shared" si="38"/>
        <v>0.08839205808</v>
      </c>
      <c r="L55" s="15">
        <v>3.14283698E7</v>
      </c>
      <c r="M55" s="13">
        <f t="shared" si="39"/>
        <v>1.968823979</v>
      </c>
      <c r="N55" s="15">
        <v>9.330529788E7</v>
      </c>
      <c r="O55" s="13">
        <f t="shared" si="40"/>
        <v>-0.6528129765</v>
      </c>
      <c r="P55" s="15">
        <v>3.239438865E7</v>
      </c>
      <c r="Q55" s="13">
        <f t="shared" si="41"/>
        <v>0</v>
      </c>
      <c r="R55" s="15">
        <v>3.239438865E7</v>
      </c>
      <c r="S55" s="13">
        <f t="shared" si="42"/>
        <v>0</v>
      </c>
      <c r="T55" s="15">
        <v>3.239438865E7</v>
      </c>
      <c r="U55" s="13">
        <f t="shared" si="43"/>
        <v>0</v>
      </c>
      <c r="V55" s="15">
        <v>3.239438865E7</v>
      </c>
      <c r="W55" s="13">
        <f>IFERROR(SUM((X55/V55)-1),0)</f>
        <v>-0.02982056122</v>
      </c>
      <c r="X55" s="15">
        <v>3.14283698E7</v>
      </c>
    </row>
    <row r="56">
      <c r="B56" s="64"/>
      <c r="C56" s="13"/>
      <c r="D56" s="64"/>
      <c r="E56" s="13"/>
      <c r="F56" s="64"/>
      <c r="G56" s="13"/>
      <c r="H56" s="64"/>
      <c r="I56" s="13"/>
      <c r="J56" s="64"/>
      <c r="K56" s="13"/>
      <c r="L56" s="64"/>
      <c r="M56" s="13"/>
      <c r="N56" s="64"/>
      <c r="O56" s="13"/>
      <c r="P56" s="64"/>
      <c r="Q56" s="13"/>
      <c r="R56" s="64"/>
      <c r="S56" s="13"/>
      <c r="T56" s="64"/>
      <c r="U56" s="13"/>
      <c r="V56" s="64"/>
      <c r="W56" s="13"/>
      <c r="X56" s="64"/>
    </row>
    <row r="57">
      <c r="A57" s="66" t="s">
        <v>84</v>
      </c>
      <c r="B57" s="61">
        <f>SUM(B50,B46,B51,B55,B52)</f>
        <v>380955628.7</v>
      </c>
      <c r="C57" s="27">
        <f t="shared" ref="C57:C60" si="45">IFERROR(SUM((D57/B57)-1),0)</f>
        <v>-0.03015517465</v>
      </c>
      <c r="D57" s="61">
        <f>SUM(D50,D46,D51,D55,D52)</f>
        <v>369467845.2</v>
      </c>
      <c r="E57" s="27">
        <f t="shared" ref="E57:E60" si="46">IFERROR(SUM((F57/D57)-1),0)</f>
        <v>-0.004675639822</v>
      </c>
      <c r="F57" s="61">
        <f>SUM(F50,F46,F51,F55,F52)</f>
        <v>367740346.7</v>
      </c>
      <c r="G57" s="27">
        <f t="shared" ref="G57:G60" si="47">IFERROR(SUM((H57/F57)-1),0)</f>
        <v>-0.0178170278</v>
      </c>
      <c r="H57" s="61">
        <f>SUM(H50,H46,H51,H55,H52)</f>
        <v>361188306.7</v>
      </c>
      <c r="I57" s="27">
        <f t="shared" ref="I57:I60" si="48">IFERROR(SUM((J57/H57)-1),0)</f>
        <v>-0.0006035269027</v>
      </c>
      <c r="J57" s="61">
        <f>SUM(J50,J46,J51,J55,J52)</f>
        <v>360970319.8</v>
      </c>
      <c r="K57" s="27">
        <f t="shared" ref="K57:K60" si="49">IFERROR(SUM((L57/J57)-1),0)</f>
        <v>-0.01132198016</v>
      </c>
      <c r="L57" s="61">
        <f>SUM(L50,L46,L51,L55,L52)</f>
        <v>356883421</v>
      </c>
      <c r="M57" s="27">
        <f t="shared" ref="M57:M60" si="50">IFERROR(SUM((N57/L57)-1),0)</f>
        <v>0.1798695623</v>
      </c>
      <c r="N57" s="61">
        <f>SUM(N50,N46,N51,N55,N52)</f>
        <v>421075885.7</v>
      </c>
      <c r="O57" s="27">
        <f t="shared" ref="O57:O60" si="51">IFERROR(SUM((P57/N57)-1),0)</f>
        <v>-0.152696682</v>
      </c>
      <c r="P57" s="61">
        <f>SUM(P50,P46,P51,P55,P52)</f>
        <v>356778995.1</v>
      </c>
      <c r="Q57" s="27">
        <f t="shared" ref="Q57:Q60" si="52">IFERROR(SUM((R57/P57)-1),0)</f>
        <v>0.0005939951704</v>
      </c>
      <c r="R57" s="61">
        <f>SUM(R50,R46,R51,R55,R52)</f>
        <v>356990920.1</v>
      </c>
      <c r="S57" s="27">
        <f t="shared" ref="S57:S60" si="53">IFERROR(SUM((T57/R57)-1),0)</f>
        <v>0</v>
      </c>
      <c r="T57" s="61">
        <f>SUM(T50,T46,T51,T55,T52)</f>
        <v>356990920.1</v>
      </c>
      <c r="U57" s="27">
        <f t="shared" ref="U57:U60" si="54">IFERROR(SUM((V57/T57)-1),0)</f>
        <v>0</v>
      </c>
      <c r="V57" s="61">
        <f>SUM(V50,V46,V51,V55,V52)</f>
        <v>356990920.1</v>
      </c>
      <c r="W57" s="27">
        <f t="shared" ref="W57:W60" si="55">IFERROR(SUM((X57/V57)-1),0)</f>
        <v>-0.0001742820797</v>
      </c>
      <c r="X57" s="61">
        <f>SUM(X50,X46,X51,X55,X52)</f>
        <v>356928703</v>
      </c>
    </row>
    <row r="58">
      <c r="A58" s="4" t="s">
        <v>85</v>
      </c>
      <c r="B58" s="13">
        <f>(B42/B60)-1</f>
        <v>0.126665879</v>
      </c>
      <c r="C58" s="13">
        <f t="shared" si="45"/>
        <v>-0.02894243919</v>
      </c>
      <c r="D58" s="13">
        <f>(D42/D60)-1</f>
        <v>0.1229998595</v>
      </c>
      <c r="E58" s="13">
        <f t="shared" si="46"/>
        <v>-0.003627218822</v>
      </c>
      <c r="F58" s="13">
        <f>(F42/F60)-1</f>
        <v>0.1225537121</v>
      </c>
      <c r="G58" s="13">
        <f t="shared" si="47"/>
        <v>-0.0162654327</v>
      </c>
      <c r="H58" s="13">
        <f>(H42/H60)-1</f>
        <v>0.120560323</v>
      </c>
      <c r="I58" s="13">
        <f t="shared" si="48"/>
        <v>-0.0001477608855</v>
      </c>
      <c r="J58" s="13">
        <f>(J42/J60)-1</f>
        <v>0.1205425089</v>
      </c>
      <c r="K58" s="13">
        <f t="shared" si="49"/>
        <v>-0.01161069852</v>
      </c>
      <c r="L58" s="13">
        <f>(L42/L60)-1</f>
        <v>0.1191429261</v>
      </c>
      <c r="M58" s="13">
        <f t="shared" si="50"/>
        <v>0.1833571258</v>
      </c>
      <c r="N58" s="13">
        <f>(N42/N60)-1</f>
        <v>0.1409886306</v>
      </c>
      <c r="O58" s="13">
        <f t="shared" si="51"/>
        <v>-0.2056472698</v>
      </c>
      <c r="P58" s="13">
        <f>(P42/P60)-1</f>
        <v>0.1119947037</v>
      </c>
      <c r="Q58" s="13">
        <f t="shared" si="52"/>
        <v>0.000660563427</v>
      </c>
      <c r="R58" s="13">
        <f>(R42/R60)-1</f>
        <v>0.1120686833</v>
      </c>
      <c r="S58" s="13">
        <f t="shared" si="53"/>
        <v>0</v>
      </c>
      <c r="T58" s="13">
        <f>(T42/T60)-1</f>
        <v>0.1120686833</v>
      </c>
      <c r="U58" s="13">
        <f t="shared" si="54"/>
        <v>0</v>
      </c>
      <c r="V58" s="13">
        <f>(V42/V60)-1</f>
        <v>0.1120686833</v>
      </c>
      <c r="W58" s="13">
        <f t="shared" si="55"/>
        <v>0.0632751369</v>
      </c>
      <c r="X58" s="13">
        <f>(X42/X60)-1</f>
        <v>0.1191598446</v>
      </c>
    </row>
    <row r="59">
      <c r="A59" s="1" t="s">
        <v>86</v>
      </c>
      <c r="B59" s="69">
        <f>B26/ABS(B18)</f>
        <v>12.74903642</v>
      </c>
      <c r="C59" s="13">
        <f t="shared" si="45"/>
        <v>-0.00827674497</v>
      </c>
      <c r="D59" s="69">
        <f>D26/ABS(D18)</f>
        <v>12.6435159</v>
      </c>
      <c r="E59" s="13">
        <f t="shared" si="46"/>
        <v>1.113902493</v>
      </c>
      <c r="F59" s="69">
        <f>F26/ABS(F18)</f>
        <v>26.72715977</v>
      </c>
      <c r="G59" s="13">
        <f t="shared" si="47"/>
        <v>-0.7172028221</v>
      </c>
      <c r="H59" s="69">
        <f>H26/ABS(H18)</f>
        <v>7.558365357</v>
      </c>
      <c r="I59" s="13">
        <f t="shared" si="48"/>
        <v>0.5700846341</v>
      </c>
      <c r="J59" s="69">
        <f>J26/ABS(J18)</f>
        <v>11.86727331</v>
      </c>
      <c r="K59" s="13">
        <f t="shared" si="49"/>
        <v>0.2125283961</v>
      </c>
      <c r="L59" s="69">
        <f>L26/ABS(L18)</f>
        <v>14.38940587</v>
      </c>
      <c r="M59" s="13">
        <f t="shared" si="50"/>
        <v>-0.1863262714</v>
      </c>
      <c r="N59" s="69">
        <f>N26/ABS(N18)</f>
        <v>11.70828152</v>
      </c>
      <c r="O59" s="13">
        <f t="shared" si="51"/>
        <v>0.1503520449</v>
      </c>
      <c r="P59" s="69">
        <f>P26/ABS(P18)</f>
        <v>13.46864559</v>
      </c>
      <c r="Q59" s="13">
        <f t="shared" si="52"/>
        <v>0.9843984751</v>
      </c>
      <c r="R59" s="69">
        <f>R26/ABS(R18)</f>
        <v>26.72715977</v>
      </c>
      <c r="S59" s="13">
        <f t="shared" si="53"/>
        <v>0</v>
      </c>
      <c r="T59" s="69">
        <f>T26/ABS(T18)</f>
        <v>26.72715977</v>
      </c>
      <c r="U59" s="13">
        <f t="shared" si="54"/>
        <v>0</v>
      </c>
      <c r="V59" s="69">
        <f>V26/ABS(V18)</f>
        <v>26.72715977</v>
      </c>
      <c r="W59" s="13">
        <f t="shared" si="55"/>
        <v>0</v>
      </c>
      <c r="X59" s="69">
        <f>X26/ABS(X18)</f>
        <v>26.72715977</v>
      </c>
    </row>
    <row r="60">
      <c r="A60" s="28" t="s">
        <v>87</v>
      </c>
      <c r="B60" s="22">
        <f>SUM(B42-B57)</f>
        <v>3007563139</v>
      </c>
      <c r="C60" s="13">
        <f t="shared" si="45"/>
        <v>-0.001248881133</v>
      </c>
      <c r="D60" s="22">
        <f>SUM(D42-D57)</f>
        <v>3003807050</v>
      </c>
      <c r="E60" s="13">
        <f t="shared" si="46"/>
        <v>-0.001052237696</v>
      </c>
      <c r="F60" s="22">
        <f>SUM(F42-F57)</f>
        <v>3000646331</v>
      </c>
      <c r="G60" s="13">
        <f t="shared" si="47"/>
        <v>-0.001577249748</v>
      </c>
      <c r="H60" s="22">
        <f>SUM(H42-H57)</f>
        <v>2995913562</v>
      </c>
      <c r="I60" s="13">
        <f t="shared" si="48"/>
        <v>-0.0004558333715</v>
      </c>
      <c r="J60" s="22">
        <f>SUM(J42-J57)</f>
        <v>2994547925</v>
      </c>
      <c r="K60" s="13">
        <f t="shared" si="49"/>
        <v>0.0002921099585</v>
      </c>
      <c r="L60" s="22">
        <f>SUM(L42-L57)</f>
        <v>2995422662</v>
      </c>
      <c r="M60" s="13">
        <f t="shared" si="50"/>
        <v>-0.002947177472</v>
      </c>
      <c r="N60" s="22">
        <f>SUM(N42-N57)</f>
        <v>2986594620</v>
      </c>
      <c r="O60" s="13">
        <f t="shared" si="51"/>
        <v>0.06665878496</v>
      </c>
      <c r="P60" s="22">
        <f>SUM(P42-P57)</f>
        <v>3185677389</v>
      </c>
      <c r="Q60" s="13">
        <f t="shared" si="52"/>
        <v>-0.00006652431309</v>
      </c>
      <c r="R60" s="22">
        <f>SUM(R42-R57)</f>
        <v>3185465464</v>
      </c>
      <c r="S60" s="13">
        <f t="shared" si="53"/>
        <v>0</v>
      </c>
      <c r="T60" s="22">
        <f>SUM(T42-T57)</f>
        <v>3185465464</v>
      </c>
      <c r="U60" s="13">
        <f t="shared" si="54"/>
        <v>0</v>
      </c>
      <c r="V60" s="22">
        <f>SUM(V42-V57)</f>
        <v>3185465464</v>
      </c>
      <c r="W60" s="13">
        <f t="shared" si="55"/>
        <v>-0.05967356593</v>
      </c>
      <c r="X60" s="22">
        <f>SUM(X42-X57)</f>
        <v>2995377380</v>
      </c>
    </row>
    <row r="61">
      <c r="A61" s="52"/>
      <c r="B61" s="2" t="s">
        <v>1</v>
      </c>
      <c r="C61" s="3">
        <f>$C$1</f>
        <v>46064</v>
      </c>
      <c r="D61" s="2" t="s">
        <v>1</v>
      </c>
      <c r="E61" s="3">
        <f>$E$1</f>
        <v>46073</v>
      </c>
      <c r="F61" s="2" t="s">
        <v>1</v>
      </c>
      <c r="G61" s="3">
        <f>$G$1</f>
        <v>46094</v>
      </c>
      <c r="H61" s="2" t="s">
        <v>1</v>
      </c>
      <c r="I61" s="3">
        <f>$I$1</f>
        <v>46129</v>
      </c>
      <c r="J61" s="2" t="s">
        <v>1</v>
      </c>
      <c r="K61" s="3">
        <f>$K$1</f>
        <v>46155</v>
      </c>
      <c r="L61" s="2" t="s">
        <v>1</v>
      </c>
      <c r="M61" s="3">
        <f>$M$1</f>
        <v>46184</v>
      </c>
      <c r="N61" s="2" t="s">
        <v>1</v>
      </c>
      <c r="O61" s="3">
        <f>$O$1</f>
        <v>46216</v>
      </c>
      <c r="P61" s="2" t="s">
        <v>2</v>
      </c>
      <c r="Q61" s="3">
        <f>$Q$1</f>
        <v>46246</v>
      </c>
      <c r="R61" s="2" t="s">
        <v>3</v>
      </c>
      <c r="S61" s="3">
        <f>$S$1</f>
        <v>46195</v>
      </c>
      <c r="T61" s="2" t="s">
        <v>3</v>
      </c>
      <c r="U61" s="3">
        <f>$U$1</f>
        <v>46195</v>
      </c>
      <c r="V61" s="2" t="s">
        <v>3</v>
      </c>
      <c r="W61" s="3">
        <f>$W$1</f>
        <v>46195</v>
      </c>
      <c r="X61" s="2" t="s">
        <v>3</v>
      </c>
      <c r="Y61" s="3">
        <f>$Y$1</f>
        <v>46195</v>
      </c>
      <c r="Z61" s="70"/>
    </row>
    <row r="62">
      <c r="A62" s="1" t="s">
        <v>88</v>
      </c>
      <c r="B62" s="1" t="s">
        <v>5</v>
      </c>
      <c r="C62" s="53"/>
      <c r="D62" s="54" t="s">
        <v>6</v>
      </c>
      <c r="E62" s="55"/>
      <c r="F62" s="54" t="s">
        <v>7</v>
      </c>
      <c r="G62" s="55"/>
      <c r="H62" s="54" t="s">
        <v>8</v>
      </c>
      <c r="I62" s="55"/>
      <c r="J62" s="54" t="s">
        <v>9</v>
      </c>
      <c r="K62" s="55"/>
      <c r="L62" s="54" t="s">
        <v>10</v>
      </c>
      <c r="M62" s="55"/>
      <c r="N62" s="54" t="s">
        <v>11</v>
      </c>
      <c r="O62" s="55"/>
      <c r="P62" s="1" t="s">
        <v>12</v>
      </c>
      <c r="Q62" s="53"/>
      <c r="R62" s="1" t="s">
        <v>13</v>
      </c>
      <c r="S62" s="53"/>
      <c r="T62" s="1" t="s">
        <v>14</v>
      </c>
      <c r="U62" s="53"/>
      <c r="V62" s="1" t="s">
        <v>15</v>
      </c>
      <c r="W62" s="53"/>
      <c r="X62" s="1" t="s">
        <v>16</v>
      </c>
      <c r="Y62" s="15"/>
    </row>
    <row r="63">
      <c r="A63" s="4" t="s">
        <v>89</v>
      </c>
      <c r="B63" s="4">
        <v>100.0</v>
      </c>
      <c r="C63" s="13">
        <f t="shared" ref="C63:C68" si="56">IFERROR(SUM((D63/B63)-1),0)</f>
        <v>0</v>
      </c>
      <c r="D63" s="4">
        <v>100.0</v>
      </c>
      <c r="E63" s="13">
        <f t="shared" ref="E63:E68" si="57">IFERROR(SUM((F63/D63)-1),0)</f>
        <v>0</v>
      </c>
      <c r="F63" s="4">
        <v>100.0</v>
      </c>
      <c r="G63" s="13">
        <f t="shared" ref="G63:G68" si="58">IFERROR(SUM((H63/F63)-1),0)</f>
        <v>0</v>
      </c>
      <c r="H63" s="4">
        <v>100.0</v>
      </c>
      <c r="I63" s="13">
        <f t="shared" ref="I63:I68" si="59">IFERROR(SUM((J63/H63)-1),0)</f>
        <v>0</v>
      </c>
      <c r="J63" s="4">
        <v>100.0</v>
      </c>
      <c r="K63" s="13">
        <f t="shared" ref="K63:K68" si="60">IFERROR(SUM((L63/J63)-1),0)</f>
        <v>-0.02</v>
      </c>
      <c r="L63" s="4">
        <v>98.0</v>
      </c>
      <c r="M63" s="13">
        <f t="shared" ref="M63:M68" si="61">IFERROR(SUM((N63/L63)-1),0)</f>
        <v>0</v>
      </c>
      <c r="N63" s="4">
        <v>98.0</v>
      </c>
      <c r="O63" s="13">
        <f t="shared" ref="O63:O68" si="62">IFERROR(SUM((P63/N63)-1),0)</f>
        <v>0.0612244898</v>
      </c>
      <c r="P63" s="4">
        <v>104.0</v>
      </c>
      <c r="Q63" s="13">
        <f t="shared" ref="Q63:Q68" si="63">IFERROR(SUM((R63/P63)-1),0)</f>
        <v>-0.03846153846</v>
      </c>
      <c r="R63" s="4">
        <v>100.0</v>
      </c>
      <c r="S63" s="13">
        <f t="shared" ref="S63:S68" si="64">IFERROR(SUM((T63/R63)-1),0)</f>
        <v>0</v>
      </c>
      <c r="T63" s="4">
        <v>100.0</v>
      </c>
      <c r="U63" s="13">
        <f t="shared" ref="U63:U68" si="65">IFERROR(SUM((V63/T63)-1),0)</f>
        <v>0</v>
      </c>
      <c r="V63" s="4">
        <v>100.0</v>
      </c>
      <c r="W63" s="13">
        <f t="shared" ref="W63:W68" si="66">IFERROR(SUM((X63/V63)-1),0)</f>
        <v>0</v>
      </c>
      <c r="X63" s="4">
        <v>100.0</v>
      </c>
      <c r="Y63" s="13"/>
    </row>
    <row r="64">
      <c r="A64" s="4" t="s">
        <v>90</v>
      </c>
      <c r="B64" s="15">
        <v>24.0</v>
      </c>
      <c r="C64" s="13">
        <f t="shared" si="56"/>
        <v>0</v>
      </c>
      <c r="D64" s="15">
        <v>24.0</v>
      </c>
      <c r="E64" s="13">
        <f t="shared" si="57"/>
        <v>0.04166666667</v>
      </c>
      <c r="F64" s="15">
        <v>25.0</v>
      </c>
      <c r="G64" s="13">
        <f t="shared" si="58"/>
        <v>0</v>
      </c>
      <c r="H64" s="15">
        <v>25.0</v>
      </c>
      <c r="I64" s="13">
        <f t="shared" si="59"/>
        <v>0</v>
      </c>
      <c r="J64" s="15">
        <v>25.0</v>
      </c>
      <c r="K64" s="13">
        <f t="shared" si="60"/>
        <v>-0.04</v>
      </c>
      <c r="L64" s="15">
        <v>24.0</v>
      </c>
      <c r="M64" s="13">
        <f t="shared" si="61"/>
        <v>0</v>
      </c>
      <c r="N64" s="15">
        <v>24.0</v>
      </c>
      <c r="O64" s="13">
        <f t="shared" si="62"/>
        <v>0.08333333333</v>
      </c>
      <c r="P64" s="15">
        <v>26.0</v>
      </c>
      <c r="Q64" s="13">
        <f t="shared" si="63"/>
        <v>-0.07692307692</v>
      </c>
      <c r="R64" s="15">
        <v>24.0</v>
      </c>
      <c r="S64" s="13">
        <f t="shared" si="64"/>
        <v>0</v>
      </c>
      <c r="T64" s="15">
        <v>24.0</v>
      </c>
      <c r="U64" s="13">
        <f t="shared" si="65"/>
        <v>0</v>
      </c>
      <c r="V64" s="15">
        <v>24.0</v>
      </c>
      <c r="W64" s="13">
        <f t="shared" si="66"/>
        <v>0</v>
      </c>
      <c r="X64" s="15">
        <v>24.0</v>
      </c>
      <c r="Y64" s="13"/>
    </row>
    <row r="65">
      <c r="A65" s="4" t="s">
        <v>91</v>
      </c>
      <c r="B65" s="58">
        <v>600276.0</v>
      </c>
      <c r="C65" s="13">
        <f t="shared" si="56"/>
        <v>0</v>
      </c>
      <c r="D65" s="58">
        <v>600276.0</v>
      </c>
      <c r="E65" s="13">
        <f t="shared" si="57"/>
        <v>0</v>
      </c>
      <c r="F65" s="58">
        <v>600276.0</v>
      </c>
      <c r="G65" s="13">
        <f t="shared" si="58"/>
        <v>0</v>
      </c>
      <c r="H65" s="58">
        <v>600276.0</v>
      </c>
      <c r="I65" s="13">
        <f t="shared" si="59"/>
        <v>0</v>
      </c>
      <c r="J65" s="58">
        <v>600276.0</v>
      </c>
      <c r="K65" s="13">
        <f t="shared" si="60"/>
        <v>-0.00255049344</v>
      </c>
      <c r="L65" s="58">
        <v>598745.0</v>
      </c>
      <c r="M65" s="13">
        <f t="shared" si="61"/>
        <v>0</v>
      </c>
      <c r="N65" s="58">
        <v>598745.0</v>
      </c>
      <c r="O65" s="13">
        <f t="shared" si="62"/>
        <v>0.02452129037</v>
      </c>
      <c r="P65" s="58">
        <v>613427.0</v>
      </c>
      <c r="Q65" s="13">
        <f t="shared" si="63"/>
        <v>-0.02143857378</v>
      </c>
      <c r="R65" s="58">
        <v>600276.0</v>
      </c>
      <c r="S65" s="13">
        <f t="shared" si="64"/>
        <v>0</v>
      </c>
      <c r="T65" s="58">
        <v>600276.0</v>
      </c>
      <c r="U65" s="13">
        <f t="shared" si="65"/>
        <v>0</v>
      </c>
      <c r="V65" s="58">
        <v>600276.0</v>
      </c>
      <c r="W65" s="13">
        <f t="shared" si="66"/>
        <v>0</v>
      </c>
      <c r="X65" s="58">
        <v>600276.0</v>
      </c>
      <c r="Y65" s="13"/>
    </row>
    <row r="66">
      <c r="A66" s="4" t="s">
        <v>92</v>
      </c>
      <c r="B66" s="15">
        <v>9.5</v>
      </c>
      <c r="C66" s="13">
        <f t="shared" si="56"/>
        <v>-0.01052631579</v>
      </c>
      <c r="D66" s="15">
        <v>9.4</v>
      </c>
      <c r="E66" s="13">
        <f t="shared" si="57"/>
        <v>0</v>
      </c>
      <c r="F66" s="15">
        <v>9.4</v>
      </c>
      <c r="G66" s="13">
        <f t="shared" si="58"/>
        <v>-0.01063829787</v>
      </c>
      <c r="H66" s="15">
        <v>9.3</v>
      </c>
      <c r="I66" s="13">
        <f t="shared" si="59"/>
        <v>-0.01075268817</v>
      </c>
      <c r="J66" s="15">
        <v>9.2</v>
      </c>
      <c r="K66" s="13">
        <f t="shared" si="60"/>
        <v>0.02173913043</v>
      </c>
      <c r="L66" s="15">
        <v>9.4</v>
      </c>
      <c r="M66" s="13">
        <f t="shared" si="61"/>
        <v>-0.01063829787</v>
      </c>
      <c r="N66" s="15">
        <v>9.3</v>
      </c>
      <c r="O66" s="13">
        <f t="shared" si="62"/>
        <v>-0.02150537634</v>
      </c>
      <c r="P66" s="15">
        <v>9.1</v>
      </c>
      <c r="Q66" s="13">
        <f t="shared" si="63"/>
        <v>0.04395604396</v>
      </c>
      <c r="R66" s="15">
        <v>9.5</v>
      </c>
      <c r="S66" s="13">
        <f t="shared" si="64"/>
        <v>0</v>
      </c>
      <c r="T66" s="15">
        <v>9.5</v>
      </c>
      <c r="U66" s="13">
        <f t="shared" si="65"/>
        <v>0</v>
      </c>
      <c r="V66" s="15">
        <v>9.5</v>
      </c>
      <c r="W66" s="13">
        <f t="shared" si="66"/>
        <v>0</v>
      </c>
      <c r="X66" s="15">
        <v>9.5</v>
      </c>
      <c r="Y66" s="13"/>
    </row>
    <row r="67">
      <c r="A67" s="71" t="s">
        <v>93</v>
      </c>
      <c r="B67" s="72">
        <f>B4</f>
        <v>0.008</v>
      </c>
      <c r="C67" s="12">
        <f t="shared" si="56"/>
        <v>0</v>
      </c>
      <c r="D67" s="72">
        <f>D4</f>
        <v>0.008</v>
      </c>
      <c r="E67" s="12">
        <f t="shared" si="57"/>
        <v>0</v>
      </c>
      <c r="F67" s="72">
        <f>F4</f>
        <v>0.008</v>
      </c>
      <c r="G67" s="12">
        <f t="shared" si="58"/>
        <v>0</v>
      </c>
      <c r="H67" s="72">
        <f>H4</f>
        <v>0.008</v>
      </c>
      <c r="I67" s="12">
        <f t="shared" si="59"/>
        <v>0</v>
      </c>
      <c r="J67" s="72">
        <f>J4</f>
        <v>0.008</v>
      </c>
      <c r="K67" s="12">
        <f t="shared" si="60"/>
        <v>0</v>
      </c>
      <c r="L67" s="72">
        <f>L4</f>
        <v>0.008</v>
      </c>
      <c r="M67" s="12">
        <f t="shared" si="61"/>
        <v>0</v>
      </c>
      <c r="N67" s="72">
        <f>N4</f>
        <v>0.008</v>
      </c>
      <c r="O67" s="12">
        <f t="shared" si="62"/>
        <v>0</v>
      </c>
      <c r="P67" s="72">
        <f>P4</f>
        <v>0.008</v>
      </c>
      <c r="Q67" s="12">
        <f t="shared" si="63"/>
        <v>0</v>
      </c>
      <c r="R67" s="72">
        <f>R4</f>
        <v>0.008</v>
      </c>
      <c r="S67" s="12">
        <f t="shared" si="64"/>
        <v>0</v>
      </c>
      <c r="T67" s="72">
        <f>T4</f>
        <v>0.008</v>
      </c>
      <c r="U67" s="12">
        <f t="shared" si="65"/>
        <v>0</v>
      </c>
      <c r="V67" s="72">
        <f>V4</f>
        <v>0.008</v>
      </c>
      <c r="W67" s="12">
        <f t="shared" si="66"/>
        <v>0</v>
      </c>
      <c r="X67" s="72">
        <f>X4</f>
        <v>0.008</v>
      </c>
      <c r="Y67" s="13"/>
    </row>
    <row r="68">
      <c r="A68" s="5" t="s">
        <v>96</v>
      </c>
      <c r="B68" s="4">
        <v>0.8</v>
      </c>
      <c r="C68" s="13">
        <f t="shared" si="56"/>
        <v>0</v>
      </c>
      <c r="D68" s="4">
        <v>0.8</v>
      </c>
      <c r="E68" s="13">
        <f t="shared" si="57"/>
        <v>0</v>
      </c>
      <c r="F68" s="4">
        <v>0.8</v>
      </c>
      <c r="G68" s="13">
        <f t="shared" si="58"/>
        <v>0</v>
      </c>
      <c r="H68" s="4">
        <v>0.8</v>
      </c>
      <c r="I68" s="13">
        <f t="shared" si="59"/>
        <v>0</v>
      </c>
      <c r="J68" s="4">
        <v>0.8</v>
      </c>
      <c r="K68" s="13">
        <f t="shared" si="60"/>
        <v>0</v>
      </c>
      <c r="L68" s="4">
        <v>0.8</v>
      </c>
      <c r="M68" s="13">
        <f t="shared" si="61"/>
        <v>0</v>
      </c>
      <c r="N68" s="4">
        <v>0.8</v>
      </c>
      <c r="O68" s="13">
        <f t="shared" si="62"/>
        <v>0</v>
      </c>
      <c r="P68" s="4">
        <v>0.8</v>
      </c>
      <c r="Q68" s="13">
        <f t="shared" si="63"/>
        <v>0</v>
      </c>
      <c r="R68" s="4">
        <v>0.8</v>
      </c>
      <c r="S68" s="13">
        <f t="shared" si="64"/>
        <v>0</v>
      </c>
      <c r="T68" s="4">
        <v>0.8</v>
      </c>
      <c r="U68" s="13">
        <f t="shared" si="65"/>
        <v>0</v>
      </c>
      <c r="V68" s="4">
        <v>0.8</v>
      </c>
      <c r="W68" s="13">
        <f t="shared" si="66"/>
        <v>0</v>
      </c>
      <c r="X68" s="4">
        <v>0.8</v>
      </c>
      <c r="Y68" s="13"/>
    </row>
    <row r="69">
      <c r="A69" s="1" t="s">
        <v>99</v>
      </c>
      <c r="B69" s="53"/>
      <c r="C69" s="31"/>
      <c r="D69" s="53"/>
      <c r="E69" s="53"/>
      <c r="F69" s="53"/>
      <c r="G69" s="79"/>
      <c r="H69" s="53"/>
      <c r="I69" s="79"/>
      <c r="J69" s="53"/>
      <c r="K69" s="79"/>
      <c r="L69" s="53"/>
      <c r="M69" s="79"/>
      <c r="N69" s="53"/>
      <c r="O69" s="79"/>
      <c r="P69" s="53"/>
      <c r="Q69" s="79"/>
      <c r="R69" s="53"/>
      <c r="S69" s="79"/>
      <c r="T69" s="53"/>
      <c r="U69" s="79"/>
      <c r="V69" s="53"/>
      <c r="W69" s="79"/>
      <c r="X69" s="53"/>
      <c r="Y69" s="15"/>
    </row>
    <row r="70">
      <c r="A70" s="65" t="s">
        <v>101</v>
      </c>
      <c r="B70" s="81">
        <v>0.81</v>
      </c>
      <c r="C70" s="68">
        <f t="shared" ref="C70:C80" si="67">IFERROR(SUM((D70/B70)-1),0)</f>
        <v>0</v>
      </c>
      <c r="D70" s="81">
        <v>0.81</v>
      </c>
      <c r="E70" s="68">
        <f t="shared" ref="E70:E80" si="68">IFERROR(SUM((F70/D70)-1),0)</f>
        <v>0</v>
      </c>
      <c r="F70" s="81">
        <v>0.81</v>
      </c>
      <c r="G70" s="68">
        <f t="shared" ref="G70:G80" si="69">IFERROR(SUM((H70/F70)-1),0)</f>
        <v>0</v>
      </c>
      <c r="H70" s="81">
        <v>0.81</v>
      </c>
      <c r="I70" s="68">
        <f t="shared" ref="I70:I80" si="70">IFERROR(SUM((J70/H70)-1),0)</f>
        <v>0</v>
      </c>
      <c r="J70" s="81">
        <v>0.81</v>
      </c>
      <c r="K70" s="68">
        <f t="shared" ref="K70:K80" si="71">IFERROR(SUM((L70/J70)-1),0)</f>
        <v>0</v>
      </c>
      <c r="L70" s="81">
        <v>0.81</v>
      </c>
      <c r="M70" s="68">
        <f t="shared" ref="M70:M80" si="72">IFERROR(SUM((N70/L70)-1),0)</f>
        <v>0</v>
      </c>
      <c r="N70" s="81">
        <v>0.81</v>
      </c>
      <c r="O70" s="68">
        <f t="shared" ref="O70:O80" si="73">IFERROR(SUM((P70/N70)-1),0)</f>
        <v>-0.01234567901</v>
      </c>
      <c r="P70" s="81">
        <v>0.8</v>
      </c>
      <c r="Q70" s="68">
        <f t="shared" ref="Q70:Q80" si="74">IFERROR(SUM((R70/P70)-1),0)</f>
        <v>0.0125</v>
      </c>
      <c r="R70" s="81">
        <v>0.81</v>
      </c>
      <c r="S70" s="68">
        <f t="shared" ref="S70:S80" si="75">IFERROR(SUM((T70/R70)-1),0)</f>
        <v>0</v>
      </c>
      <c r="T70" s="81">
        <v>0.81</v>
      </c>
      <c r="U70" s="68">
        <f t="shared" ref="U70:U80" si="76">IFERROR(SUM((V70/T70)-1),0)</f>
        <v>0</v>
      </c>
      <c r="V70" s="81">
        <v>0.81</v>
      </c>
      <c r="W70" s="68">
        <f t="shared" ref="W70:W80" si="77">IFERROR(SUM((X70/V70)-1),0)</f>
        <v>0</v>
      </c>
      <c r="X70" s="81">
        <v>0.81</v>
      </c>
      <c r="Y70" s="13"/>
    </row>
    <row r="71">
      <c r="A71" s="65" t="s">
        <v>102</v>
      </c>
      <c r="B71" s="81">
        <f>(1-B70)</f>
        <v>0.19</v>
      </c>
      <c r="C71" s="68">
        <f t="shared" si="67"/>
        <v>0</v>
      </c>
      <c r="D71" s="81">
        <f>(1-D70)</f>
        <v>0.19</v>
      </c>
      <c r="E71" s="68">
        <f t="shared" si="68"/>
        <v>0</v>
      </c>
      <c r="F71" s="81">
        <f>(1-F70)</f>
        <v>0.19</v>
      </c>
      <c r="G71" s="68">
        <f t="shared" si="69"/>
        <v>0</v>
      </c>
      <c r="H71" s="81">
        <f>(1-H70)</f>
        <v>0.19</v>
      </c>
      <c r="I71" s="68">
        <f t="shared" si="70"/>
        <v>0</v>
      </c>
      <c r="J71" s="81">
        <f>(1-J70)</f>
        <v>0.19</v>
      </c>
      <c r="K71" s="68">
        <f t="shared" si="71"/>
        <v>0</v>
      </c>
      <c r="L71" s="81">
        <f>(1-L70)</f>
        <v>0.19</v>
      </c>
      <c r="M71" s="68">
        <f t="shared" si="72"/>
        <v>0</v>
      </c>
      <c r="N71" s="81">
        <f>(1-N70)</f>
        <v>0.19</v>
      </c>
      <c r="O71" s="68">
        <f t="shared" si="73"/>
        <v>0.05263157895</v>
      </c>
      <c r="P71" s="81">
        <f>(1-P70)</f>
        <v>0.2</v>
      </c>
      <c r="Q71" s="68">
        <f t="shared" si="74"/>
        <v>-0.05</v>
      </c>
      <c r="R71" s="81">
        <f>(1-R70)</f>
        <v>0.19</v>
      </c>
      <c r="S71" s="68">
        <f t="shared" si="75"/>
        <v>0</v>
      </c>
      <c r="T71" s="81">
        <f>(1-T70)</f>
        <v>0.19</v>
      </c>
      <c r="U71" s="68">
        <f t="shared" si="76"/>
        <v>0</v>
      </c>
      <c r="V71" s="81">
        <f>(1-V70)</f>
        <v>0.19</v>
      </c>
      <c r="W71" s="68">
        <f t="shared" si="77"/>
        <v>0</v>
      </c>
      <c r="X71" s="81">
        <f>(1-X70)</f>
        <v>0.19</v>
      </c>
      <c r="Y71" s="13"/>
    </row>
    <row r="72">
      <c r="A72" s="4" t="s">
        <v>111</v>
      </c>
      <c r="B72" s="64">
        <v>0.99</v>
      </c>
      <c r="C72" s="13">
        <f t="shared" si="67"/>
        <v>0</v>
      </c>
      <c r="D72" s="64">
        <v>0.99</v>
      </c>
      <c r="E72" s="13">
        <f t="shared" si="68"/>
        <v>0</v>
      </c>
      <c r="F72" s="64">
        <v>0.99</v>
      </c>
      <c r="G72" s="13">
        <f t="shared" si="69"/>
        <v>0</v>
      </c>
      <c r="H72" s="64">
        <v>0.99</v>
      </c>
      <c r="I72" s="13">
        <f t="shared" si="70"/>
        <v>0</v>
      </c>
      <c r="J72" s="64">
        <v>0.99</v>
      </c>
      <c r="K72" s="13">
        <f t="shared" si="71"/>
        <v>0</v>
      </c>
      <c r="L72" s="64">
        <v>0.99</v>
      </c>
      <c r="M72" s="13">
        <f t="shared" si="72"/>
        <v>0</v>
      </c>
      <c r="N72" s="64">
        <v>0.99</v>
      </c>
      <c r="O72" s="13">
        <f t="shared" si="73"/>
        <v>0</v>
      </c>
      <c r="P72" s="64">
        <v>0.99</v>
      </c>
      <c r="Q72" s="13">
        <f t="shared" si="74"/>
        <v>0</v>
      </c>
      <c r="R72" s="64">
        <v>0.99</v>
      </c>
      <c r="S72" s="13">
        <f t="shared" si="75"/>
        <v>0</v>
      </c>
      <c r="T72" s="64">
        <v>0.99</v>
      </c>
      <c r="U72" s="13">
        <f t="shared" si="76"/>
        <v>0</v>
      </c>
      <c r="V72" s="64">
        <v>0.99</v>
      </c>
      <c r="W72" s="13">
        <f t="shared" si="77"/>
        <v>0</v>
      </c>
      <c r="X72" s="64">
        <v>0.99</v>
      </c>
      <c r="Y72" s="13"/>
    </row>
    <row r="73">
      <c r="A73" s="4" t="s">
        <v>106</v>
      </c>
      <c r="B73" s="64">
        <f>(1-B72)</f>
        <v>0.01</v>
      </c>
      <c r="C73" s="13">
        <f t="shared" si="67"/>
        <v>0</v>
      </c>
      <c r="D73" s="64">
        <f>(1-D72)</f>
        <v>0.01</v>
      </c>
      <c r="E73" s="13">
        <f t="shared" si="68"/>
        <v>0</v>
      </c>
      <c r="F73" s="64">
        <f>(1-F72)</f>
        <v>0.01</v>
      </c>
      <c r="G73" s="13">
        <f t="shared" si="69"/>
        <v>0</v>
      </c>
      <c r="H73" s="64">
        <f>(1-H72)</f>
        <v>0.01</v>
      </c>
      <c r="I73" s="13">
        <f t="shared" si="70"/>
        <v>0</v>
      </c>
      <c r="J73" s="64">
        <f>(1-J72)</f>
        <v>0.01</v>
      </c>
      <c r="K73" s="13">
        <f t="shared" si="71"/>
        <v>0</v>
      </c>
      <c r="L73" s="64">
        <f>(1-L72)</f>
        <v>0.01</v>
      </c>
      <c r="M73" s="13">
        <f t="shared" si="72"/>
        <v>0</v>
      </c>
      <c r="N73" s="64">
        <f>(1-N72)</f>
        <v>0.01</v>
      </c>
      <c r="O73" s="13">
        <f t="shared" si="73"/>
        <v>0</v>
      </c>
      <c r="P73" s="64">
        <f>(1-P72)</f>
        <v>0.01</v>
      </c>
      <c r="Q73" s="13">
        <f t="shared" si="74"/>
        <v>0</v>
      </c>
      <c r="R73" s="64">
        <f>(1-R72)</f>
        <v>0.01</v>
      </c>
      <c r="S73" s="13">
        <f t="shared" si="75"/>
        <v>0</v>
      </c>
      <c r="T73" s="64">
        <f>(1-T72)</f>
        <v>0.01</v>
      </c>
      <c r="U73" s="13">
        <f t="shared" si="76"/>
        <v>0</v>
      </c>
      <c r="V73" s="64">
        <f>(1-V72)</f>
        <v>0.01</v>
      </c>
      <c r="W73" s="13">
        <f t="shared" si="77"/>
        <v>0</v>
      </c>
      <c r="X73" s="64">
        <f>(1-X72)</f>
        <v>0.01</v>
      </c>
      <c r="Y73" s="13"/>
    </row>
    <row r="74">
      <c r="A74" s="65" t="s">
        <v>183</v>
      </c>
      <c r="B74" s="81">
        <v>0.55</v>
      </c>
      <c r="C74" s="68">
        <f t="shared" si="67"/>
        <v>0</v>
      </c>
      <c r="D74" s="81">
        <v>0.55</v>
      </c>
      <c r="E74" s="68">
        <f t="shared" si="68"/>
        <v>0</v>
      </c>
      <c r="F74" s="81">
        <v>0.55</v>
      </c>
      <c r="G74" s="68">
        <f t="shared" si="69"/>
        <v>0</v>
      </c>
      <c r="H74" s="81">
        <v>0.55</v>
      </c>
      <c r="I74" s="68">
        <f t="shared" si="70"/>
        <v>0</v>
      </c>
      <c r="J74" s="81">
        <v>0.55</v>
      </c>
      <c r="K74" s="68">
        <f t="shared" si="71"/>
        <v>0</v>
      </c>
      <c r="L74" s="81">
        <v>0.55</v>
      </c>
      <c r="M74" s="68">
        <f t="shared" si="72"/>
        <v>0</v>
      </c>
      <c r="N74" s="81">
        <v>0.55</v>
      </c>
      <c r="O74" s="68">
        <f t="shared" si="73"/>
        <v>-0.05454545455</v>
      </c>
      <c r="P74" s="81">
        <v>0.52</v>
      </c>
      <c r="Q74" s="68">
        <f t="shared" si="74"/>
        <v>0.05769230769</v>
      </c>
      <c r="R74" s="81">
        <v>0.55</v>
      </c>
      <c r="S74" s="68">
        <f t="shared" si="75"/>
        <v>0</v>
      </c>
      <c r="T74" s="81">
        <v>0.55</v>
      </c>
      <c r="U74" s="68">
        <f t="shared" si="76"/>
        <v>0</v>
      </c>
      <c r="V74" s="81">
        <v>0.55</v>
      </c>
      <c r="W74" s="68">
        <f t="shared" si="77"/>
        <v>0</v>
      </c>
      <c r="X74" s="81">
        <v>0.55</v>
      </c>
      <c r="Y74" s="13"/>
      <c r="Z74" s="83"/>
    </row>
    <row r="75">
      <c r="A75" s="65" t="s">
        <v>184</v>
      </c>
      <c r="B75" s="81">
        <v>0.25</v>
      </c>
      <c r="C75" s="68">
        <f t="shared" si="67"/>
        <v>0</v>
      </c>
      <c r="D75" s="81">
        <v>0.25</v>
      </c>
      <c r="E75" s="68">
        <f t="shared" si="68"/>
        <v>0</v>
      </c>
      <c r="F75" s="81">
        <v>0.25</v>
      </c>
      <c r="G75" s="68">
        <f t="shared" si="69"/>
        <v>0</v>
      </c>
      <c r="H75" s="81">
        <v>0.25</v>
      </c>
      <c r="I75" s="68">
        <f t="shared" si="70"/>
        <v>0</v>
      </c>
      <c r="J75" s="81">
        <v>0.25</v>
      </c>
      <c r="K75" s="68">
        <f t="shared" si="71"/>
        <v>0</v>
      </c>
      <c r="L75" s="81">
        <v>0.25</v>
      </c>
      <c r="M75" s="68">
        <f t="shared" si="72"/>
        <v>0</v>
      </c>
      <c r="N75" s="81">
        <v>0.25</v>
      </c>
      <c r="O75" s="68">
        <f t="shared" si="73"/>
        <v>0.04</v>
      </c>
      <c r="P75" s="81">
        <v>0.26</v>
      </c>
      <c r="Q75" s="68">
        <f t="shared" si="74"/>
        <v>-0.03846153846</v>
      </c>
      <c r="R75" s="81">
        <v>0.25</v>
      </c>
      <c r="S75" s="68">
        <f t="shared" si="75"/>
        <v>0</v>
      </c>
      <c r="T75" s="81">
        <v>0.25</v>
      </c>
      <c r="U75" s="68">
        <f t="shared" si="76"/>
        <v>0</v>
      </c>
      <c r="V75" s="81">
        <v>0.25</v>
      </c>
      <c r="W75" s="68">
        <f t="shared" si="77"/>
        <v>0</v>
      </c>
      <c r="X75" s="81">
        <v>0.25</v>
      </c>
      <c r="Y75" s="13"/>
      <c r="Z75" s="83"/>
    </row>
    <row r="76">
      <c r="A76" s="65" t="s">
        <v>186</v>
      </c>
      <c r="B76" s="81">
        <v>0.17</v>
      </c>
      <c r="C76" s="68">
        <f t="shared" si="67"/>
        <v>0</v>
      </c>
      <c r="D76" s="81">
        <v>0.17</v>
      </c>
      <c r="E76" s="68">
        <f t="shared" si="68"/>
        <v>0</v>
      </c>
      <c r="F76" s="81">
        <v>0.17</v>
      </c>
      <c r="G76" s="68">
        <f t="shared" si="69"/>
        <v>0</v>
      </c>
      <c r="H76" s="81">
        <v>0.17</v>
      </c>
      <c r="I76" s="68">
        <f t="shared" si="70"/>
        <v>0</v>
      </c>
      <c r="J76" s="81">
        <v>0.17</v>
      </c>
      <c r="K76" s="68">
        <f t="shared" si="71"/>
        <v>0</v>
      </c>
      <c r="L76" s="81">
        <v>0.17</v>
      </c>
      <c r="M76" s="68">
        <f t="shared" si="72"/>
        <v>0</v>
      </c>
      <c r="N76" s="81">
        <v>0.17</v>
      </c>
      <c r="O76" s="68">
        <f t="shared" si="73"/>
        <v>-0.05882352941</v>
      </c>
      <c r="P76" s="81">
        <v>0.16</v>
      </c>
      <c r="Q76" s="68">
        <f t="shared" si="74"/>
        <v>0.0625</v>
      </c>
      <c r="R76" s="81">
        <v>0.17</v>
      </c>
      <c r="S76" s="68">
        <f t="shared" si="75"/>
        <v>0</v>
      </c>
      <c r="T76" s="81">
        <v>0.17</v>
      </c>
      <c r="U76" s="68">
        <f t="shared" si="76"/>
        <v>0</v>
      </c>
      <c r="V76" s="81">
        <v>0.17</v>
      </c>
      <c r="W76" s="68">
        <f t="shared" si="77"/>
        <v>0</v>
      </c>
      <c r="X76" s="81">
        <v>0.17</v>
      </c>
      <c r="Y76" s="13"/>
      <c r="Z76" s="22"/>
    </row>
    <row r="77">
      <c r="A77" s="65" t="s">
        <v>115</v>
      </c>
      <c r="B77" s="81">
        <v>0.03</v>
      </c>
      <c r="C77" s="68">
        <f t="shared" si="67"/>
        <v>0</v>
      </c>
      <c r="D77" s="81">
        <v>0.03</v>
      </c>
      <c r="E77" s="68">
        <f t="shared" si="68"/>
        <v>0</v>
      </c>
      <c r="F77" s="81">
        <v>0.03</v>
      </c>
      <c r="G77" s="68">
        <f t="shared" si="69"/>
        <v>0</v>
      </c>
      <c r="H77" s="81">
        <v>0.03</v>
      </c>
      <c r="I77" s="68">
        <f t="shared" si="70"/>
        <v>0</v>
      </c>
      <c r="J77" s="81">
        <v>0.03</v>
      </c>
      <c r="K77" s="68">
        <f t="shared" si="71"/>
        <v>0</v>
      </c>
      <c r="L77" s="81">
        <v>0.03</v>
      </c>
      <c r="M77" s="68">
        <f t="shared" si="72"/>
        <v>0</v>
      </c>
      <c r="N77" s="81">
        <v>0.03</v>
      </c>
      <c r="O77" s="68">
        <f t="shared" si="73"/>
        <v>1</v>
      </c>
      <c r="P77" s="81">
        <v>0.06</v>
      </c>
      <c r="Q77" s="68">
        <f t="shared" si="74"/>
        <v>-0.5</v>
      </c>
      <c r="R77" s="81">
        <v>0.03</v>
      </c>
      <c r="S77" s="68">
        <f t="shared" si="75"/>
        <v>0</v>
      </c>
      <c r="T77" s="81">
        <v>0.03</v>
      </c>
      <c r="U77" s="68">
        <f t="shared" si="76"/>
        <v>0</v>
      </c>
      <c r="V77" s="81">
        <v>0.03</v>
      </c>
      <c r="W77" s="68">
        <f t="shared" si="77"/>
        <v>0</v>
      </c>
      <c r="X77" s="81">
        <v>0.03</v>
      </c>
    </row>
    <row r="78">
      <c r="A78" s="4" t="s">
        <v>113</v>
      </c>
      <c r="B78" s="75">
        <v>126.11</v>
      </c>
      <c r="C78" s="13">
        <f t="shared" si="67"/>
        <v>0.02331298073</v>
      </c>
      <c r="D78" s="75">
        <v>129.05</v>
      </c>
      <c r="E78" s="13">
        <f t="shared" si="68"/>
        <v>0.01588531577</v>
      </c>
      <c r="F78" s="75">
        <v>131.1</v>
      </c>
      <c r="G78" s="13">
        <f t="shared" si="69"/>
        <v>-0.008466819222</v>
      </c>
      <c r="H78" s="75">
        <v>129.99</v>
      </c>
      <c r="I78" s="13">
        <f t="shared" si="70"/>
        <v>0.01953996461</v>
      </c>
      <c r="J78" s="75">
        <v>132.53</v>
      </c>
      <c r="K78" s="13">
        <f t="shared" si="71"/>
        <v>-0.01961819965</v>
      </c>
      <c r="L78" s="75">
        <v>129.93</v>
      </c>
      <c r="M78" s="13">
        <f t="shared" si="72"/>
        <v>0.01200646502</v>
      </c>
      <c r="N78" s="75">
        <v>131.49</v>
      </c>
      <c r="O78" s="13">
        <f t="shared" si="73"/>
        <v>-0.04745608031</v>
      </c>
      <c r="P78" s="75">
        <v>125.25</v>
      </c>
      <c r="Q78" s="13">
        <f t="shared" si="74"/>
        <v>0.006866267465</v>
      </c>
      <c r="R78" s="75">
        <v>126.11</v>
      </c>
      <c r="S78" s="13">
        <f t="shared" si="75"/>
        <v>0</v>
      </c>
      <c r="T78" s="75">
        <v>126.11</v>
      </c>
      <c r="U78" s="13">
        <f t="shared" si="76"/>
        <v>0</v>
      </c>
      <c r="V78" s="75">
        <v>126.11</v>
      </c>
      <c r="W78" s="13">
        <f t="shared" si="77"/>
        <v>0</v>
      </c>
      <c r="X78" s="75">
        <v>126.11</v>
      </c>
    </row>
    <row r="79">
      <c r="A79" s="4" t="s">
        <v>116</v>
      </c>
      <c r="B79" s="75">
        <v>129.41</v>
      </c>
      <c r="C79" s="13">
        <f t="shared" si="67"/>
        <v>-0.001081832934</v>
      </c>
      <c r="D79" s="75">
        <v>129.27</v>
      </c>
      <c r="E79" s="13">
        <f t="shared" si="68"/>
        <v>-0.001005647095</v>
      </c>
      <c r="F79" s="75">
        <v>129.14</v>
      </c>
      <c r="G79" s="13">
        <f t="shared" si="69"/>
        <v>-0.001781012854</v>
      </c>
      <c r="H79" s="75">
        <v>128.91</v>
      </c>
      <c r="I79" s="13">
        <f t="shared" si="70"/>
        <v>-0.0003102940036</v>
      </c>
      <c r="J79" s="75">
        <v>128.87</v>
      </c>
      <c r="K79" s="13">
        <f t="shared" si="71"/>
        <v>0.0001551951579</v>
      </c>
      <c r="L79" s="75">
        <v>128.89</v>
      </c>
      <c r="M79" s="13">
        <f t="shared" si="72"/>
        <v>-0.002870664908</v>
      </c>
      <c r="N79" s="75">
        <v>128.52</v>
      </c>
      <c r="O79" s="13">
        <f t="shared" si="73"/>
        <v>-0.002489884843</v>
      </c>
      <c r="P79" s="75">
        <v>128.2</v>
      </c>
      <c r="Q79" s="13">
        <f t="shared" si="74"/>
        <v>0.009438377535</v>
      </c>
      <c r="R79" s="75">
        <v>129.41</v>
      </c>
      <c r="S79" s="13">
        <f t="shared" si="75"/>
        <v>0</v>
      </c>
      <c r="T79" s="75">
        <v>129.41</v>
      </c>
      <c r="U79" s="13">
        <f t="shared" si="76"/>
        <v>0</v>
      </c>
      <c r="V79" s="75">
        <v>129.41</v>
      </c>
      <c r="W79" s="13">
        <f t="shared" si="77"/>
        <v>0</v>
      </c>
      <c r="X79" s="75">
        <v>129.41</v>
      </c>
    </row>
    <row r="80">
      <c r="A80" s="4" t="s">
        <v>119</v>
      </c>
      <c r="B80" s="24">
        <f>B78/B79</f>
        <v>0.9744996523</v>
      </c>
      <c r="C80" s="13">
        <f t="shared" si="67"/>
        <v>0.02442123336</v>
      </c>
      <c r="D80" s="24">
        <f>D78/D79</f>
        <v>0.9982981357</v>
      </c>
      <c r="E80" s="13">
        <f t="shared" si="68"/>
        <v>0.01690796631</v>
      </c>
      <c r="F80" s="24">
        <f>F78/F79</f>
        <v>1.015177327</v>
      </c>
      <c r="G80" s="13">
        <f t="shared" si="69"/>
        <v>-0.00669773512</v>
      </c>
      <c r="H80" s="24">
        <f>H78/H79</f>
        <v>1.008377938</v>
      </c>
      <c r="I80" s="13">
        <f t="shared" si="70"/>
        <v>0.01985641994</v>
      </c>
      <c r="J80" s="24">
        <f>J78/J79</f>
        <v>1.028400714</v>
      </c>
      <c r="K80" s="13">
        <f t="shared" si="71"/>
        <v>-0.01977032655</v>
      </c>
      <c r="L80" s="24">
        <f>L78/L79</f>
        <v>1.008068896</v>
      </c>
      <c r="M80" s="13">
        <f t="shared" si="72"/>
        <v>0.01491996013</v>
      </c>
      <c r="N80" s="24">
        <f>N78/N79</f>
        <v>1.023109244</v>
      </c>
      <c r="O80" s="13">
        <f t="shared" si="73"/>
        <v>-0.04507843558</v>
      </c>
      <c r="P80" s="24">
        <f>P78/P79</f>
        <v>0.9769890796</v>
      </c>
      <c r="Q80" s="13">
        <f t="shared" si="74"/>
        <v>-0.002548060513</v>
      </c>
      <c r="R80" s="24">
        <f>R78/R79</f>
        <v>0.9744996523</v>
      </c>
      <c r="S80" s="13">
        <f t="shared" si="75"/>
        <v>0</v>
      </c>
      <c r="T80" s="24">
        <f>T78/T79</f>
        <v>0.9744996523</v>
      </c>
      <c r="U80" s="13">
        <f t="shared" si="76"/>
        <v>0</v>
      </c>
      <c r="V80" s="24">
        <f>V78/V79</f>
        <v>0.9744996523</v>
      </c>
      <c r="W80" s="13">
        <f t="shared" si="77"/>
        <v>0</v>
      </c>
      <c r="X80" s="24">
        <f>X78/X79</f>
        <v>0.9744996523</v>
      </c>
    </row>
    <row r="81">
      <c r="A81" s="4" t="s">
        <v>121</v>
      </c>
      <c r="B81" s="4" t="s">
        <v>187</v>
      </c>
      <c r="D81" s="64"/>
    </row>
    <row r="82">
      <c r="A82" s="5" t="s">
        <v>123</v>
      </c>
      <c r="B82" s="64">
        <v>0.007</v>
      </c>
    </row>
    <row r="83">
      <c r="A83" s="4" t="s">
        <v>125</v>
      </c>
      <c r="B83" s="4" t="s">
        <v>188</v>
      </c>
    </row>
    <row r="84" ht="22.5" customHeight="1">
      <c r="A84" s="4" t="s">
        <v>126</v>
      </c>
      <c r="B84" s="83">
        <f>SUM(B25,D25,F25,H25,J25,L25,N25,P25,R25,T25,V25,X25)</f>
        <v>250807776</v>
      </c>
      <c r="D84" s="85" t="s">
        <v>128</v>
      </c>
      <c r="E84" s="85" t="s">
        <v>113</v>
      </c>
      <c r="F84" s="85" t="s">
        <v>116</v>
      </c>
      <c r="G84" s="85" t="s">
        <v>119</v>
      </c>
      <c r="H84" s="86" t="s">
        <v>129</v>
      </c>
      <c r="I84" s="87" t="s">
        <v>131</v>
      </c>
      <c r="J84" s="87" t="s">
        <v>132</v>
      </c>
      <c r="K84" s="87" t="s">
        <v>133</v>
      </c>
      <c r="L84" s="87" t="s">
        <v>134</v>
      </c>
    </row>
    <row r="85" ht="22.5" customHeight="1">
      <c r="A85" s="4" t="s">
        <v>135</v>
      </c>
      <c r="B85" s="83">
        <f>SUM(B51,D51,F51,H51,J51,L51,N51,P51,R51,T51,V51,X51,B52,D52,F52,H52,J52,L52,N52,P52,R52,T52,V52,X52)</f>
        <v>108674603.7</v>
      </c>
      <c r="D85" s="118" t="s">
        <v>189</v>
      </c>
      <c r="E85" s="91">
        <f t="array" ref="E85">IFERROR(INDEX(FCD[], MATCH(D85, FCD[FIIs], 0), MATCH(FCD[[#HEADERS],[V/Mercado]], FCD[#HEADERS], 0)),"")</f>
        <v>8.4</v>
      </c>
      <c r="F85" s="91">
        <f t="array" ref="F85">IFERROR(INDEX(Indicador_Fii[], MATCH(D85, Indicador_Fii[Fii], 0), MATCH(Indicador_Fii[[#HEADERS],[VP/Cota]], Indicador_Fii[#HEADERS], 0)),"")</f>
        <v>9.27</v>
      </c>
      <c r="G85" s="93">
        <f t="shared" ref="G85:G86" si="78">E85/F85</f>
        <v>0.9061488673</v>
      </c>
      <c r="H85" s="94">
        <f t="shared" ref="H85:H86" si="79">I85/F85</f>
        <v>0.9290130395</v>
      </c>
      <c r="I85" s="97">
        <f t="array" ref="I85">IFERROR(INDEX(FCD[], MATCH(D85, FCD[FIIs], 0), MATCH(FCD[[#HEADERS],[Preço_Justo]], FCD[#HEADERS], 0)),"")</f>
        <v>8.611950876</v>
      </c>
      <c r="J85" s="98">
        <f t="array" ref="J85">IFERROR(INDEX(Indicador_Fii[], MATCH(D85, Indicador_Fii[Fii], 0), MATCH(Indicador_Fii[[#HEADERS],[FFO_Yield]], Indicador_Fii[#HEADERS], 0)),"")</f>
        <v>5.11</v>
      </c>
      <c r="K85" s="98">
        <f t="array" ref="K85">IFERROR(INDEX(Indicador_Fii[], MATCH(D85, Indicador_Fii[Fii], 0), MATCH(Indicador_Fii[[#HEADERS],[DIV_Yield]], Indicador_Fii[#HEADERS], 0)),"")</f>
        <v>9.6</v>
      </c>
      <c r="L85" s="100">
        <f>IFERROR(__xludf.DUMMYFUNCTION("GOOGLEFINANCE(D85, ""volumeavg"")"),958345.0)</f>
        <v>958345</v>
      </c>
      <c r="M85" s="6"/>
      <c r="N85" s="6"/>
    </row>
    <row r="86" ht="22.5" customHeight="1">
      <c r="A86" s="4" t="s">
        <v>144</v>
      </c>
      <c r="B86" s="13">
        <f>B85/B84</f>
        <v>0.4332983827</v>
      </c>
      <c r="D86" s="118" t="s">
        <v>187</v>
      </c>
      <c r="E86" s="91">
        <f t="array" ref="E86">IFERROR(INDEX(FCD[], MATCH(D86, FCD[FIIs], 0), MATCH(FCD[[#HEADERS],[V/Mercado]], FCD[#HEADERS], 0)),"")</f>
        <v>114.31</v>
      </c>
      <c r="F86" s="91">
        <f t="array" ref="F86">IFERROR(INDEX(Indicador_Fii[], MATCH(D86, Indicador_Fii[Fii], 0), MATCH(Indicador_Fii[[#HEADERS],[VP/Cota]], Indicador_Fii[#HEADERS], 0)),"")</f>
        <v>128.9</v>
      </c>
      <c r="G86" s="93">
        <f t="shared" si="78"/>
        <v>0.8868114818</v>
      </c>
      <c r="H86" s="94">
        <f t="shared" si="79"/>
        <v>0.9174531802</v>
      </c>
      <c r="I86" s="97">
        <f t="array" ref="I86">IFERROR(INDEX(FCD[], MATCH(D86, FCD[FIIs], 0), MATCH(FCD[[#HEADERS],[Preço_Justo]], FCD[#HEADERS], 0)),"")</f>
        <v>118.2597149</v>
      </c>
      <c r="J86" s="98">
        <f t="array" ref="J86">IFERROR(INDEX(Indicador_Fii[], MATCH(D86, Indicador_Fii[Fii], 0), MATCH(Indicador_Fii[[#HEADERS],[FFO_Yield]], Indicador_Fii[#HEADERS], 0)),"")</f>
        <v>8.65</v>
      </c>
      <c r="K86" s="98">
        <f t="array" ref="K86">IFERROR(INDEX(Indicador_Fii[], MATCH(D86, Indicador_Fii[Fii], 0), MATCH(Indicador_Fii[[#HEADERS],[DIV_Yield]], Indicador_Fii[#HEADERS], 0)),"")</f>
        <v>8.5</v>
      </c>
      <c r="L86" s="100">
        <f>IFERROR(__xludf.DUMMYFUNCTION("GOOGLEFINANCE(D86, ""volumeavg"")"),75067.0)</f>
        <v>75067</v>
      </c>
      <c r="M86" s="83"/>
      <c r="N86" s="6"/>
      <c r="O86" s="6"/>
    </row>
    <row r="87">
      <c r="A87" s="4" t="s">
        <v>146</v>
      </c>
      <c r="B87" s="83">
        <f>IFERROR(__xludf.DUMMYFUNCTION("GOOGLEFINANCE(B81)*B89"),2.65633852344E9)</f>
        <v>2656338523</v>
      </c>
      <c r="N87" s="83"/>
      <c r="O87" s="6"/>
      <c r="P87" s="6"/>
    </row>
    <row r="88">
      <c r="A88" s="4" t="s">
        <v>147</v>
      </c>
      <c r="B88" s="13">
        <f>B85/B87</f>
        <v>0.04091142855</v>
      </c>
      <c r="M88" s="6"/>
      <c r="N88" s="127"/>
      <c r="O88" s="6"/>
      <c r="P88" s="6"/>
    </row>
    <row r="89">
      <c r="A89" s="4" t="s">
        <v>149</v>
      </c>
      <c r="B89" s="22">
        <f t="array" ref="B89">IFERROR(INDEX(Indicador_Fii[], MATCH(B81, Indicador_Fii[Fii], 0), MATCH(Indicador_Fii[[#HEADERS],[Qtd_Cotas]], Indicador_Fii[#HEADERS], 0)),"")</f>
        <v>23238024</v>
      </c>
      <c r="M89" s="6"/>
      <c r="N89" s="6"/>
      <c r="O89" s="6"/>
      <c r="P89" s="5"/>
    </row>
    <row r="90">
      <c r="A90" s="4" t="s">
        <v>150</v>
      </c>
      <c r="B90" s="24">
        <f t="array" ref="B90">IFERROR(INDEX(Indicador_Fii[], MATCH(B81, Indicador_Fii[Fii], 0), MATCH(Indicador_Fii[[#HEADERS],[Patrimonio_Liq]], Indicador_Fii[#HEADERS], 0)),"")</f>
        <v>2995420000</v>
      </c>
      <c r="M90" s="6"/>
      <c r="N90" s="83"/>
      <c r="O90" s="6"/>
      <c r="P90" s="129"/>
    </row>
    <row r="91">
      <c r="A91" s="4" t="s">
        <v>151</v>
      </c>
      <c r="B91" s="40">
        <f>B84/B90</f>
        <v>0.08373042044</v>
      </c>
      <c r="M91" s="6"/>
      <c r="N91" s="6"/>
      <c r="O91" s="83"/>
      <c r="P91" s="129"/>
    </row>
    <row r="92">
      <c r="A92" s="4" t="s">
        <v>63</v>
      </c>
      <c r="B92" s="24">
        <f>SUM(B31,D31,F31,H31,J31,L31,N31,P31,R31,T31,V31,X31)</f>
        <v>278069193</v>
      </c>
      <c r="M92" s="6"/>
      <c r="N92" s="83"/>
      <c r="O92" s="6"/>
      <c r="P92" s="6"/>
    </row>
    <row r="93">
      <c r="A93" s="4" t="s">
        <v>152</v>
      </c>
      <c r="B93" s="40">
        <f>B92/B84</f>
        <v>1.108694465</v>
      </c>
      <c r="M93" s="6"/>
      <c r="N93" s="83"/>
      <c r="O93" s="13"/>
      <c r="P93" s="6"/>
    </row>
    <row r="94">
      <c r="A94" s="4" t="s">
        <v>153</v>
      </c>
      <c r="B94" s="4" t="s">
        <v>154</v>
      </c>
    </row>
    <row r="95">
      <c r="A95" s="4" t="s">
        <v>155</v>
      </c>
      <c r="B95" s="4" t="s">
        <v>3</v>
      </c>
    </row>
    <row r="96">
      <c r="A96" s="4" t="s">
        <v>156</v>
      </c>
      <c r="B96" s="4" t="s">
        <v>3</v>
      </c>
    </row>
    <row r="97">
      <c r="B97" s="124" t="s">
        <v>195</v>
      </c>
    </row>
  </sheetData>
  <mergeCells count="2">
    <mergeCell ref="B83:C83"/>
    <mergeCell ref="B97:G102"/>
  </mergeCells>
  <dataValidations>
    <dataValidation type="list" allowBlank="1" showErrorMessage="1" sqref="B1 D1 F1 H1 J1 L1 N1 P1 R1 T1 V1 X1 B37 D37 F37 H37 J37 L37 N37 P37 R37 T37 V37 X37 B61 D61 F61 H61 J61 L61 N61 P61 R61 T61 V61 X61">
      <formula1>"Feito,Não,Atual"</formula1>
    </dataValidation>
    <dataValidation type="list" allowBlank="1" showErrorMessage="1" sqref="B94">
      <formula1>"Bom,Normal,Cuidado_Ver_DRE"</formula1>
    </dataValidation>
    <dataValidation type="list" allowBlank="1" showErrorMessage="1" sqref="B95:B96">
      <formula1>"Feito,Não"</formula1>
    </dataValidation>
    <dataValidation type="custom" allowBlank="1" showDropDown="1" sqref="E85:G86 I85:I86 L85:L86">
      <formula1>AND(ISNUMBER(E85),(NOT(OR(NOT(ISERROR(DATEVALUE(E85))), AND(ISNUMBER(E85), LEFT(CELL("format", E85))="D")))))</formula1>
    </dataValidation>
  </dataValidations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4" width="15.25"/>
    <col customWidth="1" min="5" max="5" width="16.25"/>
    <col customWidth="1" min="6" max="6" width="15.88"/>
    <col customWidth="1" min="7" max="7" width="17.75"/>
    <col customWidth="1" min="8" max="8" width="16.38"/>
    <col customWidth="1" min="9" max="9" width="16.13"/>
    <col customWidth="1" min="10" max="10" width="15.63"/>
    <col customWidth="1" min="11" max="11" width="16.0"/>
    <col customWidth="1" min="12" max="12" width="17.38"/>
    <col customWidth="1" min="13" max="13" width="16.5"/>
    <col customWidth="1" min="14" max="14" width="16.38"/>
    <col customWidth="1" min="15" max="15" width="15.38"/>
    <col customWidth="1" min="16" max="16" width="18.38"/>
    <col customWidth="1" min="17" max="17" width="15.63"/>
    <col customWidth="1" min="18" max="18" width="19.0"/>
    <col customWidth="1" min="19" max="19" width="15.5"/>
    <col customWidth="1" min="20" max="20" width="17.5"/>
    <col customWidth="1" min="21" max="21" width="15.13"/>
    <col customWidth="1" min="22" max="22" width="17.5"/>
    <col customWidth="1" min="23" max="23" width="15.38"/>
    <col customWidth="1" min="24" max="24" width="16.88"/>
    <col customWidth="1" min="25" max="25" width="15.63"/>
  </cols>
  <sheetData>
    <row r="1">
      <c r="A1" s="1" t="s">
        <v>0</v>
      </c>
      <c r="B1" s="2" t="s">
        <v>1</v>
      </c>
      <c r="C1" s="3">
        <v>46065.0</v>
      </c>
      <c r="D1" s="2" t="s">
        <v>1</v>
      </c>
      <c r="E1" s="3">
        <v>46080.0</v>
      </c>
      <c r="F1" s="2" t="s">
        <v>1</v>
      </c>
      <c r="G1" s="3">
        <v>46114.0</v>
      </c>
      <c r="H1" s="2" t="s">
        <v>1</v>
      </c>
      <c r="I1" s="3">
        <v>46150.0</v>
      </c>
      <c r="J1" s="2" t="s">
        <v>1</v>
      </c>
      <c r="K1" s="3">
        <v>46176.0</v>
      </c>
      <c r="L1" s="2" t="s">
        <v>2</v>
      </c>
      <c r="M1" s="3">
        <v>46205.0</v>
      </c>
      <c r="N1" s="2" t="s">
        <v>3</v>
      </c>
      <c r="O1" s="3">
        <v>46195.0</v>
      </c>
      <c r="P1" s="2" t="s">
        <v>3</v>
      </c>
      <c r="Q1" s="3">
        <v>46195.0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4" t="s">
        <v>4</v>
      </c>
      <c r="B2" s="4" t="s">
        <v>5</v>
      </c>
      <c r="D2" s="5" t="s">
        <v>6</v>
      </c>
      <c r="E2" s="6"/>
      <c r="F2" s="5" t="s">
        <v>7</v>
      </c>
      <c r="G2" s="6"/>
      <c r="H2" s="5" t="s">
        <v>8</v>
      </c>
      <c r="I2" s="6"/>
      <c r="J2" s="5" t="s">
        <v>9</v>
      </c>
      <c r="K2" s="6"/>
      <c r="L2" s="5" t="s">
        <v>10</v>
      </c>
      <c r="M2" s="6"/>
      <c r="N2" s="5" t="s">
        <v>11</v>
      </c>
      <c r="O2" s="6"/>
      <c r="P2" s="4" t="s">
        <v>12</v>
      </c>
      <c r="R2" s="4" t="s">
        <v>13</v>
      </c>
      <c r="T2" s="4" t="s">
        <v>14</v>
      </c>
      <c r="V2" s="4" t="s">
        <v>15</v>
      </c>
      <c r="X2" s="4" t="s">
        <v>16</v>
      </c>
    </row>
    <row r="3">
      <c r="A3" s="7" t="s">
        <v>17</v>
      </c>
      <c r="B3" s="8">
        <f>SUM(B6,B12,B14,B16)-B20</f>
        <v>21856</v>
      </c>
      <c r="C3" s="9">
        <f t="shared" ref="C3:C19" si="1">IFERROR(SUM((D3/B3)-1),0)</f>
        <v>0.2397053441</v>
      </c>
      <c r="D3" s="8">
        <f>SUM(D6,D12,D14,D16)-D20</f>
        <v>27095</v>
      </c>
      <c r="E3" s="9">
        <f t="shared" ref="E3:E19" si="2">IFERROR(SUM((F3/D3)-1),0)</f>
        <v>0.02727440487</v>
      </c>
      <c r="F3" s="8">
        <f>SUM(F6,F12,F14,F16)-F20</f>
        <v>27834</v>
      </c>
      <c r="G3" s="9">
        <f t="shared" ref="G3:G19" si="3">IFERROR(SUM((H3/F3)-1),0)</f>
        <v>-0.02116116979</v>
      </c>
      <c r="H3" s="8">
        <f>SUM(H6,H12,H14,H16)-H20</f>
        <v>27245</v>
      </c>
      <c r="I3" s="9">
        <f t="shared" ref="I3:I19" si="4">IFERROR(SUM((J3/H3)-1),0)</f>
        <v>-0.005652413287</v>
      </c>
      <c r="J3" s="8">
        <f>SUM(J6,J12,J14,J16)-J20</f>
        <v>27091</v>
      </c>
      <c r="K3" s="9">
        <f t="shared" ref="K3:K19" si="5">IFERROR(SUM((L3/J3)-1),0)</f>
        <v>0.005684544683</v>
      </c>
      <c r="L3" s="8">
        <f>SUM(L6,L12,L14,L16)-L20</f>
        <v>27245</v>
      </c>
      <c r="M3" s="9">
        <f t="shared" ref="M3:M19" si="6">IFERROR(SUM((N3/L3)-1),0)</f>
        <v>-0.003340062397</v>
      </c>
      <c r="N3" s="8">
        <f>SUM(N6,N12,N14,N16)-N20</f>
        <v>27154</v>
      </c>
      <c r="O3" s="9">
        <f t="shared" ref="O3:O19" si="7">IFERROR(SUM((P3/N3)-1),0)</f>
        <v>0</v>
      </c>
      <c r="P3" s="8">
        <f>SUM(P6,P12,P14,P16)-P20</f>
        <v>27154</v>
      </c>
      <c r="Q3" s="9">
        <f t="shared" ref="Q3:Q19" si="8">IFERROR(SUM((R3/P3)-1),0)</f>
        <v>0</v>
      </c>
      <c r="R3" s="8">
        <f>SUM(R6,R12,R14,R16)-R20</f>
        <v>27154</v>
      </c>
      <c r="S3" s="9">
        <f t="shared" ref="S3:S19" si="9">IFERROR(SUM((T3/R3)-1),0)</f>
        <v>0</v>
      </c>
      <c r="T3" s="8">
        <f>SUM(T6,T12,T14,T16)-T20</f>
        <v>27154</v>
      </c>
      <c r="U3" s="9">
        <f t="shared" ref="U3:U19" si="10">IFERROR(SUM((V3/T3)-1),0)</f>
        <v>0</v>
      </c>
      <c r="V3" s="8">
        <f>SUM(V6,V12,V14,V16)-V20</f>
        <v>27154</v>
      </c>
      <c r="W3" s="9">
        <f t="shared" ref="W3:W19" si="11">IFERROR(SUM((X3/V3)-1),0)</f>
        <v>0</v>
      </c>
      <c r="X3" s="8">
        <f>SUM(X6,X12,X14,X16)-X20</f>
        <v>27154</v>
      </c>
      <c r="Y3" s="10"/>
      <c r="Z3" s="10"/>
      <c r="AA3" s="10"/>
    </row>
    <row r="4">
      <c r="A4" s="1" t="s">
        <v>18</v>
      </c>
      <c r="B4" s="139">
        <v>0.0</v>
      </c>
      <c r="C4" s="12">
        <f t="shared" si="1"/>
        <v>0</v>
      </c>
      <c r="D4" s="139">
        <v>0.0</v>
      </c>
      <c r="E4" s="12">
        <f t="shared" si="2"/>
        <v>0</v>
      </c>
      <c r="F4" s="139">
        <v>0.0</v>
      </c>
      <c r="G4" s="12">
        <f t="shared" si="3"/>
        <v>0</v>
      </c>
      <c r="H4" s="139">
        <v>0.0</v>
      </c>
      <c r="I4" s="12">
        <f t="shared" si="4"/>
        <v>0</v>
      </c>
      <c r="J4" s="139">
        <v>0.0</v>
      </c>
      <c r="K4" s="12">
        <f t="shared" si="5"/>
        <v>0</v>
      </c>
      <c r="L4" s="139">
        <v>0.0</v>
      </c>
      <c r="M4" s="12">
        <f t="shared" si="6"/>
        <v>0</v>
      </c>
      <c r="N4" s="139">
        <v>0.0</v>
      </c>
      <c r="O4" s="12">
        <f t="shared" si="7"/>
        <v>0</v>
      </c>
      <c r="P4" s="139">
        <v>0.0</v>
      </c>
      <c r="Q4" s="12">
        <f t="shared" si="8"/>
        <v>0</v>
      </c>
      <c r="R4" s="139">
        <v>0.0</v>
      </c>
      <c r="S4" s="12">
        <f t="shared" si="9"/>
        <v>0</v>
      </c>
      <c r="T4" s="139">
        <v>0.0</v>
      </c>
      <c r="U4" s="12">
        <f t="shared" si="10"/>
        <v>0</v>
      </c>
      <c r="V4" s="139">
        <v>0.0</v>
      </c>
      <c r="W4" s="12">
        <f t="shared" si="11"/>
        <v>0</v>
      </c>
      <c r="X4" s="139">
        <v>0.0</v>
      </c>
      <c r="Y4" s="13"/>
    </row>
    <row r="5">
      <c r="A5" s="1" t="s">
        <v>19</v>
      </c>
      <c r="B5" s="14">
        <f>B6/(1-B4)</f>
        <v>16841</v>
      </c>
      <c r="C5" s="12">
        <f t="shared" si="1"/>
        <v>0.03212398314</v>
      </c>
      <c r="D5" s="14">
        <f>D6/(1-D4)</f>
        <v>17382</v>
      </c>
      <c r="E5" s="12">
        <f t="shared" si="2"/>
        <v>0.03066390519</v>
      </c>
      <c r="F5" s="39">
        <f>F6/(1-F4)</f>
        <v>17915</v>
      </c>
      <c r="G5" s="12">
        <f t="shared" si="3"/>
        <v>-0.01696902037</v>
      </c>
      <c r="H5" s="14">
        <f>H6/(1-H4)</f>
        <v>17611</v>
      </c>
      <c r="I5" s="12">
        <f t="shared" si="4"/>
        <v>-0.01981715973</v>
      </c>
      <c r="J5" s="14">
        <f>J6/(1-J4)</f>
        <v>17262</v>
      </c>
      <c r="K5" s="12">
        <f t="shared" si="5"/>
        <v>0.02850191171</v>
      </c>
      <c r="L5" s="14">
        <f>L6/(1-L4)</f>
        <v>17754</v>
      </c>
      <c r="M5" s="12">
        <f t="shared" si="6"/>
        <v>-0.02095302467</v>
      </c>
      <c r="N5" s="14">
        <f>N6/(1-N4)</f>
        <v>17382</v>
      </c>
      <c r="O5" s="12">
        <f t="shared" si="7"/>
        <v>0</v>
      </c>
      <c r="P5" s="14">
        <f>P6/(1-P4)</f>
        <v>17382</v>
      </c>
      <c r="Q5" s="12">
        <f t="shared" si="8"/>
        <v>0</v>
      </c>
      <c r="R5" s="14">
        <f>R6/(1-R4)</f>
        <v>17382</v>
      </c>
      <c r="S5" s="12">
        <f t="shared" si="9"/>
        <v>0</v>
      </c>
      <c r="T5" s="14">
        <f>T6/(1-T4)</f>
        <v>17382</v>
      </c>
      <c r="U5" s="12">
        <f t="shared" si="10"/>
        <v>0</v>
      </c>
      <c r="V5" s="14">
        <f>V6/(1-V4)</f>
        <v>17382</v>
      </c>
      <c r="W5" s="12">
        <f t="shared" si="11"/>
        <v>0</v>
      </c>
      <c r="X5" s="14">
        <f>X6/(1-X4)</f>
        <v>17382</v>
      </c>
      <c r="Y5" s="13"/>
    </row>
    <row r="6">
      <c r="A6" s="4" t="s">
        <v>20</v>
      </c>
      <c r="B6" s="15">
        <f>SUM(B7:B9)</f>
        <v>16841</v>
      </c>
      <c r="C6" s="13">
        <f t="shared" si="1"/>
        <v>0.03212398314</v>
      </c>
      <c r="D6" s="15">
        <f>SUM(D7:D9)</f>
        <v>17382</v>
      </c>
      <c r="E6" s="13">
        <f t="shared" si="2"/>
        <v>0.03066390519</v>
      </c>
      <c r="F6" s="15">
        <f>SUM(F7:F9)</f>
        <v>17915</v>
      </c>
      <c r="G6" s="13">
        <f t="shared" si="3"/>
        <v>-0.01696902037</v>
      </c>
      <c r="H6" s="15">
        <f>SUM(H7:H9)</f>
        <v>17611</v>
      </c>
      <c r="I6" s="13">
        <f t="shared" si="4"/>
        <v>-0.01981715973</v>
      </c>
      <c r="J6" s="15">
        <f>SUM(J7:J9)</f>
        <v>17262</v>
      </c>
      <c r="K6" s="13">
        <f t="shared" si="5"/>
        <v>0.02850191171</v>
      </c>
      <c r="L6" s="15">
        <f>SUM(L7:L9)</f>
        <v>17754</v>
      </c>
      <c r="M6" s="13">
        <f t="shared" si="6"/>
        <v>-0.02095302467</v>
      </c>
      <c r="N6" s="15">
        <f>SUM(N7:N9)</f>
        <v>17382</v>
      </c>
      <c r="O6" s="13">
        <f t="shared" si="7"/>
        <v>0</v>
      </c>
      <c r="P6" s="15">
        <f>SUM(P7:P9)</f>
        <v>17382</v>
      </c>
      <c r="Q6" s="13">
        <f t="shared" si="8"/>
        <v>0</v>
      </c>
      <c r="R6" s="15">
        <f>SUM(R7:R9)</f>
        <v>17382</v>
      </c>
      <c r="S6" s="13">
        <f t="shared" si="9"/>
        <v>0</v>
      </c>
      <c r="T6" s="15">
        <f>SUM(T7:T9)</f>
        <v>17382</v>
      </c>
      <c r="U6" s="13">
        <f t="shared" si="10"/>
        <v>0</v>
      </c>
      <c r="V6" s="15">
        <f>SUM(V7:V9)</f>
        <v>17382</v>
      </c>
      <c r="W6" s="13">
        <f t="shared" si="11"/>
        <v>0</v>
      </c>
      <c r="X6" s="15">
        <f>SUM(X7:X9)</f>
        <v>17382</v>
      </c>
      <c r="Y6" s="13"/>
    </row>
    <row r="7">
      <c r="A7" s="142" t="s">
        <v>171</v>
      </c>
      <c r="B7" s="143">
        <v>6136.0</v>
      </c>
      <c r="C7" s="145">
        <f t="shared" si="1"/>
        <v>-0.03617992177</v>
      </c>
      <c r="D7" s="143">
        <v>5914.0</v>
      </c>
      <c r="E7" s="145">
        <f t="shared" si="2"/>
        <v>-0.1315522489</v>
      </c>
      <c r="F7" s="143">
        <v>5136.0</v>
      </c>
      <c r="G7" s="145">
        <f t="shared" si="3"/>
        <v>-0.01947040498</v>
      </c>
      <c r="H7" s="143">
        <v>5036.0</v>
      </c>
      <c r="I7" s="145">
        <f t="shared" si="4"/>
        <v>0.005758538523</v>
      </c>
      <c r="J7" s="143">
        <v>5065.0</v>
      </c>
      <c r="K7" s="145">
        <f t="shared" si="5"/>
        <v>0.01559723593</v>
      </c>
      <c r="L7" s="143">
        <v>5144.0</v>
      </c>
      <c r="M7" s="145">
        <f t="shared" si="6"/>
        <v>0.149688958</v>
      </c>
      <c r="N7" s="143">
        <v>5914.0</v>
      </c>
      <c r="O7" s="145">
        <f t="shared" si="7"/>
        <v>0</v>
      </c>
      <c r="P7" s="143">
        <v>5914.0</v>
      </c>
      <c r="Q7" s="145">
        <f t="shared" si="8"/>
        <v>0</v>
      </c>
      <c r="R7" s="143">
        <v>5914.0</v>
      </c>
      <c r="S7" s="145">
        <f t="shared" si="9"/>
        <v>0</v>
      </c>
      <c r="T7" s="143">
        <v>5914.0</v>
      </c>
      <c r="U7" s="145">
        <f t="shared" si="10"/>
        <v>0</v>
      </c>
      <c r="V7" s="143">
        <v>5914.0</v>
      </c>
      <c r="W7" s="145">
        <f t="shared" si="11"/>
        <v>0</v>
      </c>
      <c r="X7" s="143">
        <v>5914.0</v>
      </c>
    </row>
    <row r="8">
      <c r="A8" s="142" t="s">
        <v>173</v>
      </c>
      <c r="B8" s="143">
        <v>10705.0</v>
      </c>
      <c r="C8" s="145">
        <f t="shared" si="1"/>
        <v>0.07127510509</v>
      </c>
      <c r="D8" s="143">
        <v>11468.0</v>
      </c>
      <c r="E8" s="145">
        <f t="shared" si="2"/>
        <v>0.009679107081</v>
      </c>
      <c r="F8" s="143">
        <v>11579.0</v>
      </c>
      <c r="G8" s="145">
        <f t="shared" si="3"/>
        <v>-0.008981777356</v>
      </c>
      <c r="H8" s="143">
        <v>11475.0</v>
      </c>
      <c r="I8" s="145">
        <f t="shared" si="4"/>
        <v>-0.03294117647</v>
      </c>
      <c r="J8" s="143">
        <v>11097.0</v>
      </c>
      <c r="K8" s="145">
        <f t="shared" si="5"/>
        <v>0.03721726593</v>
      </c>
      <c r="L8" s="143">
        <v>11510.0</v>
      </c>
      <c r="M8" s="145">
        <f t="shared" si="6"/>
        <v>-0.003649000869</v>
      </c>
      <c r="N8" s="143">
        <v>11468.0</v>
      </c>
      <c r="O8" s="145">
        <f t="shared" si="7"/>
        <v>0</v>
      </c>
      <c r="P8" s="143">
        <v>11468.0</v>
      </c>
      <c r="Q8" s="145">
        <f t="shared" si="8"/>
        <v>0</v>
      </c>
      <c r="R8" s="143">
        <v>11468.0</v>
      </c>
      <c r="S8" s="145">
        <f t="shared" si="9"/>
        <v>0</v>
      </c>
      <c r="T8" s="143">
        <v>11468.0</v>
      </c>
      <c r="U8" s="145">
        <f t="shared" si="10"/>
        <v>0</v>
      </c>
      <c r="V8" s="143">
        <v>11468.0</v>
      </c>
      <c r="W8" s="145">
        <f t="shared" si="11"/>
        <v>0</v>
      </c>
      <c r="X8" s="143">
        <v>11468.0</v>
      </c>
    </row>
    <row r="9">
      <c r="A9" s="142" t="s">
        <v>174</v>
      </c>
      <c r="B9" s="143">
        <v>0.0</v>
      </c>
      <c r="C9" s="145">
        <f t="shared" si="1"/>
        <v>0</v>
      </c>
      <c r="D9" s="143">
        <v>0.0</v>
      </c>
      <c r="E9" s="145">
        <f t="shared" si="2"/>
        <v>0</v>
      </c>
      <c r="F9" s="143">
        <v>1200.0</v>
      </c>
      <c r="G9" s="145">
        <f t="shared" si="3"/>
        <v>-0.08333333333</v>
      </c>
      <c r="H9" s="143">
        <v>1100.0</v>
      </c>
      <c r="I9" s="145">
        <f t="shared" si="4"/>
        <v>0</v>
      </c>
      <c r="J9" s="143">
        <v>1100.0</v>
      </c>
      <c r="K9" s="145">
        <f t="shared" si="5"/>
        <v>0</v>
      </c>
      <c r="L9" s="143">
        <v>1100.0</v>
      </c>
      <c r="M9" s="145">
        <f t="shared" si="6"/>
        <v>-1</v>
      </c>
      <c r="N9" s="143">
        <v>0.0</v>
      </c>
      <c r="O9" s="145">
        <f t="shared" si="7"/>
        <v>0</v>
      </c>
      <c r="P9" s="143">
        <v>0.0</v>
      </c>
      <c r="Q9" s="145">
        <f t="shared" si="8"/>
        <v>0</v>
      </c>
      <c r="R9" s="143">
        <v>0.0</v>
      </c>
      <c r="S9" s="145">
        <f t="shared" si="9"/>
        <v>0</v>
      </c>
      <c r="T9" s="143">
        <v>0.0</v>
      </c>
      <c r="U9" s="145">
        <f t="shared" si="10"/>
        <v>0</v>
      </c>
      <c r="V9" s="143">
        <v>0.0</v>
      </c>
      <c r="W9" s="145">
        <f t="shared" si="11"/>
        <v>0</v>
      </c>
      <c r="X9" s="143">
        <v>0.0</v>
      </c>
    </row>
    <row r="10">
      <c r="A10" s="4" t="s">
        <v>21</v>
      </c>
      <c r="B10" s="40">
        <f>B6/B3</f>
        <v>0.7705435578</v>
      </c>
      <c r="C10" s="13">
        <f t="shared" si="1"/>
        <v>-0.1674441124</v>
      </c>
      <c r="D10" s="40">
        <f>D6/D3</f>
        <v>0.6415205758</v>
      </c>
      <c r="E10" s="13">
        <f t="shared" si="2"/>
        <v>0.003299508195</v>
      </c>
      <c r="F10" s="13">
        <f>F6/F3</f>
        <v>0.6436372781</v>
      </c>
      <c r="G10" s="13">
        <f t="shared" si="3"/>
        <v>0.004282778011</v>
      </c>
      <c r="H10" s="40">
        <f>H6/H3</f>
        <v>0.6463938337</v>
      </c>
      <c r="I10" s="13">
        <f t="shared" si="4"/>
        <v>-0.01424526658</v>
      </c>
      <c r="J10" s="40">
        <f>J6/J3</f>
        <v>0.6371857813</v>
      </c>
      <c r="K10" s="13">
        <f t="shared" si="5"/>
        <v>0.02268839384</v>
      </c>
      <c r="L10" s="40">
        <f>L6/L3</f>
        <v>0.6516425032</v>
      </c>
      <c r="M10" s="13">
        <f t="shared" si="6"/>
        <v>-0.01767198782</v>
      </c>
      <c r="N10" s="40">
        <f>N6/N3</f>
        <v>0.6401266848</v>
      </c>
      <c r="O10" s="13">
        <f t="shared" si="7"/>
        <v>0</v>
      </c>
      <c r="P10" s="40">
        <f>P6/P3</f>
        <v>0.6401266848</v>
      </c>
      <c r="Q10" s="13">
        <f t="shared" si="8"/>
        <v>0</v>
      </c>
      <c r="R10" s="40">
        <f>R6/R3</f>
        <v>0.6401266848</v>
      </c>
      <c r="S10" s="13">
        <f t="shared" si="9"/>
        <v>0</v>
      </c>
      <c r="T10" s="40">
        <f>T6/T3</f>
        <v>0.6401266848</v>
      </c>
      <c r="U10" s="13">
        <f t="shared" si="10"/>
        <v>0</v>
      </c>
      <c r="V10" s="40">
        <f>V6/V3</f>
        <v>0.6401266848</v>
      </c>
      <c r="W10" s="13">
        <f t="shared" si="11"/>
        <v>0</v>
      </c>
      <c r="X10" s="40">
        <f>X6/X3</f>
        <v>0.6401266848</v>
      </c>
    </row>
    <row r="11">
      <c r="A11" s="1" t="s">
        <v>22</v>
      </c>
      <c r="B11" s="14">
        <f>B5-B6</f>
        <v>0</v>
      </c>
      <c r="C11" s="12">
        <f t="shared" si="1"/>
        <v>0</v>
      </c>
      <c r="D11" s="14">
        <f>D5-D6</f>
        <v>0</v>
      </c>
      <c r="E11" s="12">
        <f t="shared" si="2"/>
        <v>0</v>
      </c>
      <c r="F11" s="39">
        <f>F5-F6</f>
        <v>0</v>
      </c>
      <c r="G11" s="12">
        <f t="shared" si="3"/>
        <v>0</v>
      </c>
      <c r="H11" s="14">
        <f>H5-H6</f>
        <v>0</v>
      </c>
      <c r="I11" s="12">
        <f t="shared" si="4"/>
        <v>0</v>
      </c>
      <c r="J11" s="14">
        <f>J5-J6</f>
        <v>0</v>
      </c>
      <c r="K11" s="12">
        <f t="shared" si="5"/>
        <v>0</v>
      </c>
      <c r="L11" s="14">
        <f>L5-L6</f>
        <v>0</v>
      </c>
      <c r="M11" s="12">
        <f t="shared" si="6"/>
        <v>0</v>
      </c>
      <c r="N11" s="14">
        <f>N5-N6</f>
        <v>0</v>
      </c>
      <c r="O11" s="12">
        <f t="shared" si="7"/>
        <v>0</v>
      </c>
      <c r="P11" s="14">
        <f>P5-P6</f>
        <v>0</v>
      </c>
      <c r="Q11" s="12">
        <f t="shared" si="8"/>
        <v>0</v>
      </c>
      <c r="R11" s="14">
        <f>R5-R6</f>
        <v>0</v>
      </c>
      <c r="S11" s="12">
        <f t="shared" si="9"/>
        <v>0</v>
      </c>
      <c r="T11" s="14">
        <f>T5-T6</f>
        <v>0</v>
      </c>
      <c r="U11" s="12">
        <f t="shared" si="10"/>
        <v>0</v>
      </c>
      <c r="V11" s="14">
        <f>V5-V6</f>
        <v>0</v>
      </c>
      <c r="W11" s="12">
        <f t="shared" si="11"/>
        <v>0</v>
      </c>
      <c r="X11" s="14">
        <f>X5-X6</f>
        <v>0</v>
      </c>
    </row>
    <row r="12">
      <c r="A12" s="147" t="s">
        <v>23</v>
      </c>
      <c r="B12" s="15">
        <v>4312.0</v>
      </c>
      <c r="C12" s="148">
        <f t="shared" si="1"/>
        <v>1.166512059</v>
      </c>
      <c r="D12" s="15">
        <v>9342.0</v>
      </c>
      <c r="E12" s="148">
        <f t="shared" si="2"/>
        <v>0.03382573325</v>
      </c>
      <c r="F12" s="15">
        <v>9658.0</v>
      </c>
      <c r="G12" s="148">
        <f t="shared" si="3"/>
        <v>-0.0410022779</v>
      </c>
      <c r="H12" s="15">
        <v>9262.0</v>
      </c>
      <c r="I12" s="148">
        <f t="shared" si="4"/>
        <v>0.04858561866</v>
      </c>
      <c r="J12" s="15">
        <v>9712.0</v>
      </c>
      <c r="K12" s="148">
        <f t="shared" si="5"/>
        <v>-0.06600082372</v>
      </c>
      <c r="L12" s="15">
        <v>9071.0</v>
      </c>
      <c r="M12" s="148">
        <f t="shared" si="6"/>
        <v>0.03637967148</v>
      </c>
      <c r="N12" s="15">
        <v>9401.0</v>
      </c>
      <c r="O12" s="148">
        <f t="shared" si="7"/>
        <v>0</v>
      </c>
      <c r="P12" s="15">
        <v>9401.0</v>
      </c>
      <c r="Q12" s="148">
        <f t="shared" si="8"/>
        <v>0</v>
      </c>
      <c r="R12" s="15">
        <v>9401.0</v>
      </c>
      <c r="S12" s="148">
        <f t="shared" si="9"/>
        <v>0</v>
      </c>
      <c r="T12" s="15">
        <v>9401.0</v>
      </c>
      <c r="U12" s="148">
        <f t="shared" si="10"/>
        <v>0</v>
      </c>
      <c r="V12" s="15">
        <v>9401.0</v>
      </c>
      <c r="W12" s="148">
        <f t="shared" si="11"/>
        <v>0</v>
      </c>
      <c r="X12" s="15">
        <v>9401.0</v>
      </c>
    </row>
    <row r="13">
      <c r="A13" s="4" t="s">
        <v>24</v>
      </c>
      <c r="B13" s="40">
        <f>B12/B3</f>
        <v>0.1972913616</v>
      </c>
      <c r="C13" s="13">
        <f t="shared" si="1"/>
        <v>0.74760242</v>
      </c>
      <c r="D13" s="40">
        <f>D12/D3</f>
        <v>0.344786861</v>
      </c>
      <c r="E13" s="13">
        <f t="shared" si="2"/>
        <v>0.006377388889</v>
      </c>
      <c r="F13" s="13">
        <f>F12/F3</f>
        <v>0.3469857009</v>
      </c>
      <c r="G13" s="13">
        <f t="shared" si="3"/>
        <v>-0.020270046</v>
      </c>
      <c r="H13" s="40">
        <f>H12/H3</f>
        <v>0.3399522848</v>
      </c>
      <c r="I13" s="13">
        <f t="shared" si="4"/>
        <v>0.05454635046</v>
      </c>
      <c r="J13" s="40">
        <f>J12/J3</f>
        <v>0.3584954413</v>
      </c>
      <c r="K13" s="13">
        <f t="shared" si="5"/>
        <v>-0.07128017308</v>
      </c>
      <c r="L13" s="40">
        <f>L12/L3</f>
        <v>0.3329418242</v>
      </c>
      <c r="M13" s="13">
        <f t="shared" si="6"/>
        <v>0.03985284487</v>
      </c>
      <c r="N13" s="40">
        <f>N12/N3</f>
        <v>0.3462105031</v>
      </c>
      <c r="O13" s="13">
        <f t="shared" si="7"/>
        <v>0</v>
      </c>
      <c r="P13" s="40">
        <f>P12/P3</f>
        <v>0.3462105031</v>
      </c>
      <c r="Q13" s="13">
        <f t="shared" si="8"/>
        <v>0</v>
      </c>
      <c r="R13" s="40">
        <f>R12/R3</f>
        <v>0.3462105031</v>
      </c>
      <c r="S13" s="13">
        <f t="shared" si="9"/>
        <v>0</v>
      </c>
      <c r="T13" s="40">
        <f>T12/T3</f>
        <v>0.3462105031</v>
      </c>
      <c r="U13" s="13">
        <f t="shared" si="10"/>
        <v>0</v>
      </c>
      <c r="V13" s="40">
        <f>V12/V3</f>
        <v>0.3462105031</v>
      </c>
      <c r="W13" s="13">
        <f t="shared" si="11"/>
        <v>0</v>
      </c>
      <c r="X13" s="40">
        <f>X12/X3</f>
        <v>0.3462105031</v>
      </c>
    </row>
    <row r="14">
      <c r="A14" s="147" t="s">
        <v>37</v>
      </c>
      <c r="B14" s="15">
        <v>703.0</v>
      </c>
      <c r="C14" s="148">
        <f t="shared" si="1"/>
        <v>-0.4722617354</v>
      </c>
      <c r="D14" s="15">
        <v>371.0</v>
      </c>
      <c r="E14" s="148">
        <f t="shared" si="2"/>
        <v>-0.2964959569</v>
      </c>
      <c r="F14" s="15">
        <v>261.0</v>
      </c>
      <c r="G14" s="148">
        <f t="shared" si="3"/>
        <v>0.4252873563</v>
      </c>
      <c r="H14" s="15">
        <v>372.0</v>
      </c>
      <c r="I14" s="148">
        <f t="shared" si="4"/>
        <v>-0.685483871</v>
      </c>
      <c r="J14" s="15">
        <v>117.0</v>
      </c>
      <c r="K14" s="148">
        <f t="shared" si="5"/>
        <v>2.58974359</v>
      </c>
      <c r="L14" s="15">
        <v>420.0</v>
      </c>
      <c r="M14" s="148">
        <f t="shared" si="6"/>
        <v>-0.1166666667</v>
      </c>
      <c r="N14" s="15">
        <v>371.0</v>
      </c>
      <c r="O14" s="148">
        <f t="shared" si="7"/>
        <v>0</v>
      </c>
      <c r="P14" s="15">
        <v>371.0</v>
      </c>
      <c r="Q14" s="148">
        <f t="shared" si="8"/>
        <v>0</v>
      </c>
      <c r="R14" s="15">
        <v>371.0</v>
      </c>
      <c r="S14" s="148">
        <f t="shared" si="9"/>
        <v>0</v>
      </c>
      <c r="T14" s="15">
        <v>371.0</v>
      </c>
      <c r="U14" s="148">
        <f t="shared" si="10"/>
        <v>0</v>
      </c>
      <c r="V14" s="15">
        <v>371.0</v>
      </c>
      <c r="W14" s="148">
        <f t="shared" si="11"/>
        <v>0</v>
      </c>
      <c r="X14" s="15">
        <v>371.0</v>
      </c>
    </row>
    <row r="15">
      <c r="A15" s="4" t="s">
        <v>34</v>
      </c>
      <c r="B15" s="40">
        <f>B14/B3</f>
        <v>0.03216508053</v>
      </c>
      <c r="C15" s="13">
        <f t="shared" si="1"/>
        <v>-0.5743034689</v>
      </c>
      <c r="D15" s="40">
        <f>D14/D3</f>
        <v>0.0136925632</v>
      </c>
      <c r="E15" s="13">
        <f t="shared" si="2"/>
        <v>-0.3151741737</v>
      </c>
      <c r="F15" s="13">
        <f>F14/F3</f>
        <v>0.00937702091</v>
      </c>
      <c r="G15" s="13">
        <f t="shared" si="3"/>
        <v>0.4561001386</v>
      </c>
      <c r="H15" s="40">
        <f>H14/H3</f>
        <v>0.01365388145</v>
      </c>
      <c r="I15" s="13">
        <f t="shared" si="4"/>
        <v>-0.68369599</v>
      </c>
      <c r="J15" s="40">
        <f>J14/J3</f>
        <v>0.004318777454</v>
      </c>
      <c r="K15" s="13">
        <f t="shared" si="5"/>
        <v>2.569452875</v>
      </c>
      <c r="L15" s="40">
        <f>L14/L3</f>
        <v>0.0154156726</v>
      </c>
      <c r="M15" s="13">
        <f t="shared" si="6"/>
        <v>-0.1137063907</v>
      </c>
      <c r="N15" s="40">
        <f>N14/N3</f>
        <v>0.01366281211</v>
      </c>
      <c r="O15" s="13">
        <f t="shared" si="7"/>
        <v>0</v>
      </c>
      <c r="P15" s="40">
        <f>P14/P3</f>
        <v>0.01366281211</v>
      </c>
      <c r="Q15" s="13">
        <f t="shared" si="8"/>
        <v>0</v>
      </c>
      <c r="R15" s="40">
        <f>R14/R3</f>
        <v>0.01366281211</v>
      </c>
      <c r="S15" s="13">
        <f t="shared" si="9"/>
        <v>0</v>
      </c>
      <c r="T15" s="40">
        <f>T14/T3</f>
        <v>0.01366281211</v>
      </c>
      <c r="U15" s="13">
        <f t="shared" si="10"/>
        <v>0</v>
      </c>
      <c r="V15" s="40">
        <f>V14/V3</f>
        <v>0.01366281211</v>
      </c>
      <c r="W15" s="13">
        <f t="shared" si="11"/>
        <v>0</v>
      </c>
      <c r="X15" s="40">
        <f>X14/X3</f>
        <v>0.01366281211</v>
      </c>
      <c r="Y15" s="13"/>
    </row>
    <row r="16">
      <c r="A16" s="4" t="s">
        <v>45</v>
      </c>
      <c r="B16" s="15">
        <v>0.0</v>
      </c>
      <c r="C16" s="13">
        <f t="shared" si="1"/>
        <v>0</v>
      </c>
      <c r="D16" s="15">
        <v>0.0</v>
      </c>
      <c r="E16" s="13">
        <f t="shared" si="2"/>
        <v>0</v>
      </c>
      <c r="F16" s="22">
        <v>0.0</v>
      </c>
      <c r="G16" s="13">
        <f t="shared" si="3"/>
        <v>0</v>
      </c>
      <c r="H16" s="15">
        <v>0.0</v>
      </c>
      <c r="I16" s="13">
        <f t="shared" si="4"/>
        <v>0</v>
      </c>
      <c r="J16" s="15">
        <v>0.0</v>
      </c>
      <c r="K16" s="13">
        <f t="shared" si="5"/>
        <v>0</v>
      </c>
      <c r="L16" s="15">
        <v>0.0</v>
      </c>
      <c r="M16" s="13">
        <f t="shared" si="6"/>
        <v>0</v>
      </c>
      <c r="N16" s="15">
        <v>0.0</v>
      </c>
      <c r="O16" s="13">
        <f t="shared" si="7"/>
        <v>0</v>
      </c>
      <c r="P16" s="15">
        <v>0.0</v>
      </c>
      <c r="Q16" s="13">
        <f t="shared" si="8"/>
        <v>0</v>
      </c>
      <c r="R16" s="15">
        <v>0.0</v>
      </c>
      <c r="S16" s="13">
        <f t="shared" si="9"/>
        <v>0</v>
      </c>
      <c r="T16" s="15">
        <v>0.0</v>
      </c>
      <c r="U16" s="13">
        <f t="shared" si="10"/>
        <v>0</v>
      </c>
      <c r="V16" s="15">
        <v>0.0</v>
      </c>
      <c r="W16" s="13">
        <f t="shared" si="11"/>
        <v>0</v>
      </c>
      <c r="X16" s="15">
        <v>0.0</v>
      </c>
      <c r="Y16" s="13"/>
    </row>
    <row r="17">
      <c r="A17" s="4" t="s">
        <v>47</v>
      </c>
      <c r="B17" s="40">
        <f>B16/B3</f>
        <v>0</v>
      </c>
      <c r="C17" s="13">
        <f t="shared" si="1"/>
        <v>0</v>
      </c>
      <c r="D17" s="40">
        <f>D16/D3</f>
        <v>0</v>
      </c>
      <c r="E17" s="13">
        <f t="shared" si="2"/>
        <v>0</v>
      </c>
      <c r="F17" s="13">
        <f>F16/F3</f>
        <v>0</v>
      </c>
      <c r="G17" s="13">
        <f t="shared" si="3"/>
        <v>0</v>
      </c>
      <c r="H17" s="40">
        <f>H16/H3</f>
        <v>0</v>
      </c>
      <c r="I17" s="13">
        <f t="shared" si="4"/>
        <v>0</v>
      </c>
      <c r="J17" s="40">
        <f>J16/J3</f>
        <v>0</v>
      </c>
      <c r="K17" s="13">
        <f t="shared" si="5"/>
        <v>0</v>
      </c>
      <c r="L17" s="40">
        <f>L16/L3</f>
        <v>0</v>
      </c>
      <c r="M17" s="13">
        <f t="shared" si="6"/>
        <v>0</v>
      </c>
      <c r="N17" s="40">
        <f>N16/N3</f>
        <v>0</v>
      </c>
      <c r="O17" s="13">
        <f t="shared" si="7"/>
        <v>0</v>
      </c>
      <c r="P17" s="40">
        <f>P16/P3</f>
        <v>0</v>
      </c>
      <c r="Q17" s="13">
        <f t="shared" si="8"/>
        <v>0</v>
      </c>
      <c r="R17" s="40">
        <f>R16/R3</f>
        <v>0</v>
      </c>
      <c r="S17" s="13">
        <f t="shared" si="9"/>
        <v>0</v>
      </c>
      <c r="T17" s="40">
        <f>T16/T3</f>
        <v>0</v>
      </c>
      <c r="U17" s="13">
        <f t="shared" si="10"/>
        <v>0</v>
      </c>
      <c r="V17" s="40">
        <f>V16/V3</f>
        <v>0</v>
      </c>
      <c r="W17" s="13">
        <f t="shared" si="11"/>
        <v>0</v>
      </c>
      <c r="X17" s="40">
        <f>X16/X3</f>
        <v>0</v>
      </c>
    </row>
    <row r="18">
      <c r="A18" s="1" t="s">
        <v>36</v>
      </c>
      <c r="B18" s="24">
        <f>B12</f>
        <v>4312</v>
      </c>
      <c r="C18" s="13">
        <f t="shared" si="1"/>
        <v>1.166512059</v>
      </c>
      <c r="D18" s="24">
        <f>D12</f>
        <v>9342</v>
      </c>
      <c r="E18" s="13">
        <f t="shared" si="2"/>
        <v>0.03382573325</v>
      </c>
      <c r="F18" s="22">
        <f>F12</f>
        <v>9658</v>
      </c>
      <c r="G18" s="13">
        <f t="shared" si="3"/>
        <v>-0.0410022779</v>
      </c>
      <c r="H18" s="24">
        <f>H12</f>
        <v>9262</v>
      </c>
      <c r="I18" s="13">
        <f t="shared" si="4"/>
        <v>0.04858561866</v>
      </c>
      <c r="J18" s="24">
        <f>J12</f>
        <v>9712</v>
      </c>
      <c r="K18" s="13">
        <f t="shared" si="5"/>
        <v>-0.06600082372</v>
      </c>
      <c r="L18" s="24">
        <f>L12</f>
        <v>9071</v>
      </c>
      <c r="M18" s="13">
        <f t="shared" si="6"/>
        <v>0.03637967148</v>
      </c>
      <c r="N18" s="24">
        <f>N12</f>
        <v>9401</v>
      </c>
      <c r="O18" s="13">
        <f t="shared" si="7"/>
        <v>0</v>
      </c>
      <c r="P18" s="24">
        <f>P12</f>
        <v>9401</v>
      </c>
      <c r="Q18" s="13">
        <f t="shared" si="8"/>
        <v>0</v>
      </c>
      <c r="R18" s="24">
        <f>R12</f>
        <v>9401</v>
      </c>
      <c r="S18" s="13">
        <f t="shared" si="9"/>
        <v>0</v>
      </c>
      <c r="T18" s="24">
        <f>T12</f>
        <v>9401</v>
      </c>
      <c r="U18" s="13">
        <f t="shared" si="10"/>
        <v>0</v>
      </c>
      <c r="V18" s="24">
        <f>V12</f>
        <v>9401</v>
      </c>
      <c r="W18" s="13">
        <f t="shared" si="11"/>
        <v>0</v>
      </c>
      <c r="X18" s="24">
        <f>X12</f>
        <v>9401</v>
      </c>
    </row>
    <row r="19">
      <c r="A19" s="28" t="s">
        <v>39</v>
      </c>
      <c r="B19" s="24">
        <f>B3-ABS(B18)</f>
        <v>17544</v>
      </c>
      <c r="C19" s="13">
        <f t="shared" si="1"/>
        <v>0.0119129047</v>
      </c>
      <c r="D19" s="24">
        <f>D3-ABS(D18)</f>
        <v>17753</v>
      </c>
      <c r="E19" s="13">
        <f t="shared" si="2"/>
        <v>0.02382695882</v>
      </c>
      <c r="F19" s="24">
        <f>F3-ABS(F18)</f>
        <v>18176</v>
      </c>
      <c r="G19" s="13">
        <f t="shared" si="3"/>
        <v>-0.01061839789</v>
      </c>
      <c r="H19" s="24">
        <f>H3-ABS(H18)</f>
        <v>17983</v>
      </c>
      <c r="I19" s="13">
        <f t="shared" si="4"/>
        <v>-0.03358727687</v>
      </c>
      <c r="J19" s="24">
        <f>J3-ABS(J18)</f>
        <v>17379</v>
      </c>
      <c r="K19" s="13">
        <f t="shared" si="5"/>
        <v>0.04574486449</v>
      </c>
      <c r="L19" s="24">
        <f>L3-ABS(L18)</f>
        <v>18174</v>
      </c>
      <c r="M19" s="13">
        <f t="shared" si="6"/>
        <v>-0.02316496093</v>
      </c>
      <c r="N19" s="24">
        <f>N3-ABS(N18)</f>
        <v>17753</v>
      </c>
      <c r="O19" s="13">
        <f t="shared" si="7"/>
        <v>0</v>
      </c>
      <c r="P19" s="24">
        <f>P3-ABS(P18)</f>
        <v>17753</v>
      </c>
      <c r="Q19" s="13">
        <f t="shared" si="8"/>
        <v>0</v>
      </c>
      <c r="R19" s="24">
        <f>R3-ABS(R18)</f>
        <v>17753</v>
      </c>
      <c r="S19" s="13">
        <f t="shared" si="9"/>
        <v>0</v>
      </c>
      <c r="T19" s="24">
        <f>T3-ABS(T18)</f>
        <v>17753</v>
      </c>
      <c r="U19" s="13">
        <f t="shared" si="10"/>
        <v>0</v>
      </c>
      <c r="V19" s="24">
        <f>V3-ABS(V18)</f>
        <v>17753</v>
      </c>
      <c r="W19" s="13">
        <f t="shared" si="11"/>
        <v>0</v>
      </c>
      <c r="X19" s="24">
        <f>X3-ABS(X18)</f>
        <v>17753</v>
      </c>
    </row>
    <row r="20">
      <c r="A20" s="4" t="s">
        <v>178</v>
      </c>
      <c r="B20" s="15">
        <v>0.0</v>
      </c>
      <c r="D20" s="15">
        <v>0.0</v>
      </c>
      <c r="F20" s="15">
        <v>0.0</v>
      </c>
      <c r="H20" s="15">
        <v>0.0</v>
      </c>
      <c r="J20" s="15">
        <v>0.0</v>
      </c>
      <c r="L20" s="15">
        <v>0.0</v>
      </c>
      <c r="N20" s="15">
        <v>0.0</v>
      </c>
      <c r="P20" s="15">
        <v>0.0</v>
      </c>
      <c r="R20" s="15">
        <v>0.0</v>
      </c>
      <c r="T20" s="15">
        <v>0.0</v>
      </c>
      <c r="V20" s="15">
        <v>0.0</v>
      </c>
      <c r="X20" s="15">
        <v>0.0</v>
      </c>
    </row>
    <row r="21">
      <c r="A21" s="25" t="s">
        <v>44</v>
      </c>
      <c r="B21" s="26">
        <f>SUM(B20,B24,B26,B22,B25)</f>
        <v>2674</v>
      </c>
      <c r="C21" s="27">
        <f t="shared" ref="C21:C27" si="12">IFERROR(SUM((D21/B21)-1),0)</f>
        <v>0.05011219147</v>
      </c>
      <c r="D21" s="26">
        <f>SUM(D20,D24,D26,D22,D25)</f>
        <v>2808</v>
      </c>
      <c r="E21" s="27">
        <f t="shared" ref="E21:E27" si="13">IFERROR(SUM((F21/D21)-1),0)</f>
        <v>0.1826923077</v>
      </c>
      <c r="F21" s="26">
        <f>SUM(F20,F24,F26,F22,F25)</f>
        <v>3321</v>
      </c>
      <c r="G21" s="27">
        <f t="shared" ref="G21:G27" si="14">IFERROR(SUM((H21/F21)-1),0)</f>
        <v>-0.1623005119</v>
      </c>
      <c r="H21" s="26">
        <f>SUM(H20,H24,H26,H22,H25)</f>
        <v>2782</v>
      </c>
      <c r="I21" s="27">
        <f t="shared" ref="I21:I27" si="15">IFERROR(SUM((J21/H21)-1),0)</f>
        <v>0.1099928109</v>
      </c>
      <c r="J21" s="26">
        <f>SUM(J20,J24,J26,J22,J25)</f>
        <v>3088</v>
      </c>
      <c r="K21" s="27">
        <f t="shared" ref="K21:K27" si="16">IFERROR(SUM((L21/J21)-1),0)</f>
        <v>-0.02202072539</v>
      </c>
      <c r="L21" s="26">
        <f>SUM(L20,L24,L26,L22,L25)</f>
        <v>3020</v>
      </c>
      <c r="M21" s="27">
        <f t="shared" ref="M21:M27" si="17">IFERROR(SUM((N21/L21)-1),0)</f>
        <v>-0.0701986755</v>
      </c>
      <c r="N21" s="26">
        <f>SUM(N20,N24,N26,N22,N25)</f>
        <v>2808</v>
      </c>
      <c r="O21" s="27">
        <f t="shared" ref="O21:O27" si="18">IFERROR(SUM((P21/N21)-1),0)</f>
        <v>0</v>
      </c>
      <c r="P21" s="26">
        <f>SUM(P20,P24,P26,P22,P25)</f>
        <v>2808</v>
      </c>
      <c r="Q21" s="27">
        <f t="shared" ref="Q21:Q27" si="19">IFERROR(SUM((R21/P21)-1),0)</f>
        <v>0</v>
      </c>
      <c r="R21" s="26">
        <f>SUM(R20,R24,R26,R22,R25)</f>
        <v>2808</v>
      </c>
      <c r="S21" s="27">
        <f t="shared" ref="S21:S27" si="20">IFERROR(SUM((T21/R21)-1),0)</f>
        <v>0</v>
      </c>
      <c r="T21" s="26">
        <f>SUM(T20,T24,T26,T22,T25)</f>
        <v>2808</v>
      </c>
      <c r="U21" s="27">
        <f t="shared" ref="U21:U27" si="21">IFERROR(SUM((V21/T21)-1),0)</f>
        <v>0</v>
      </c>
      <c r="V21" s="26">
        <f>SUM(V20,V24,V26,V22,V25)</f>
        <v>2808</v>
      </c>
      <c r="W21" s="27">
        <f t="shared" ref="W21:W27" si="22">IFERROR(SUM((X21/V21)-1),0)</f>
        <v>0</v>
      </c>
      <c r="X21" s="26">
        <f>SUM(X20,X24,X26,X22,X25)</f>
        <v>2808</v>
      </c>
    </row>
    <row r="22">
      <c r="A22" s="4" t="s">
        <v>179</v>
      </c>
      <c r="B22" s="15">
        <v>1388.0</v>
      </c>
      <c r="C22" s="13">
        <f t="shared" si="12"/>
        <v>0.1080691643</v>
      </c>
      <c r="D22" s="15">
        <v>1538.0</v>
      </c>
      <c r="E22" s="13">
        <f t="shared" si="13"/>
        <v>0.255526658</v>
      </c>
      <c r="F22" s="15">
        <v>1931.0</v>
      </c>
      <c r="G22" s="13">
        <f t="shared" si="14"/>
        <v>-0.186949767</v>
      </c>
      <c r="H22" s="15">
        <v>1570.0</v>
      </c>
      <c r="I22" s="13">
        <f t="shared" si="15"/>
        <v>0.1949044586</v>
      </c>
      <c r="J22" s="15">
        <v>1876.0</v>
      </c>
      <c r="K22" s="13">
        <f t="shared" si="16"/>
        <v>-0.08955223881</v>
      </c>
      <c r="L22" s="15">
        <v>1708.0</v>
      </c>
      <c r="M22" s="13">
        <f t="shared" si="17"/>
        <v>-0.09953161593</v>
      </c>
      <c r="N22" s="15">
        <v>1538.0</v>
      </c>
      <c r="O22" s="13">
        <f t="shared" si="18"/>
        <v>0</v>
      </c>
      <c r="P22" s="15">
        <v>1538.0</v>
      </c>
      <c r="Q22" s="13">
        <f t="shared" si="19"/>
        <v>0</v>
      </c>
      <c r="R22" s="15">
        <v>1538.0</v>
      </c>
      <c r="S22" s="13">
        <f t="shared" si="20"/>
        <v>0</v>
      </c>
      <c r="T22" s="15">
        <v>1538.0</v>
      </c>
      <c r="U22" s="13">
        <f t="shared" si="21"/>
        <v>0</v>
      </c>
      <c r="V22" s="15">
        <v>1538.0</v>
      </c>
      <c r="W22" s="13">
        <f t="shared" si="22"/>
        <v>0</v>
      </c>
      <c r="X22" s="15">
        <v>1538.0</v>
      </c>
    </row>
    <row r="23">
      <c r="A23" s="1" t="s">
        <v>52</v>
      </c>
      <c r="B23" s="40">
        <f>B22/B3</f>
        <v>0.06350658858</v>
      </c>
      <c r="C23" s="13">
        <f t="shared" si="12"/>
        <v>-0.1061834414</v>
      </c>
      <c r="D23" s="40">
        <f>D22/D3</f>
        <v>0.05676324045</v>
      </c>
      <c r="E23" s="13">
        <f t="shared" si="13"/>
        <v>0.2221920959</v>
      </c>
      <c r="F23" s="13">
        <f>F22/F3</f>
        <v>0.06937558382</v>
      </c>
      <c r="G23" s="13">
        <f t="shared" si="14"/>
        <v>-0.1693727221</v>
      </c>
      <c r="H23" s="40">
        <f>H22/H3</f>
        <v>0.05762525234</v>
      </c>
      <c r="I23" s="13">
        <f t="shared" si="15"/>
        <v>0.2016969464</v>
      </c>
      <c r="J23" s="40">
        <f>J22/J3</f>
        <v>0.06924808977</v>
      </c>
      <c r="K23" s="13">
        <f t="shared" si="16"/>
        <v>-0.09469846583</v>
      </c>
      <c r="L23" s="40">
        <f>L22/L3</f>
        <v>0.06269040191</v>
      </c>
      <c r="M23" s="13">
        <f t="shared" si="17"/>
        <v>-0.09651391603</v>
      </c>
      <c r="N23" s="40">
        <f>N22/N3</f>
        <v>0.05663990572</v>
      </c>
      <c r="O23" s="13">
        <f t="shared" si="18"/>
        <v>0</v>
      </c>
      <c r="P23" s="40">
        <f>P22/P3</f>
        <v>0.05663990572</v>
      </c>
      <c r="Q23" s="13">
        <f t="shared" si="19"/>
        <v>0</v>
      </c>
      <c r="R23" s="40">
        <f>R22/R3</f>
        <v>0.05663990572</v>
      </c>
      <c r="S23" s="13">
        <f t="shared" si="20"/>
        <v>0</v>
      </c>
      <c r="T23" s="40">
        <f>T22/T3</f>
        <v>0.05663990572</v>
      </c>
      <c r="U23" s="13">
        <f t="shared" si="21"/>
        <v>0</v>
      </c>
      <c r="V23" s="40">
        <f>V22/V3</f>
        <v>0.05663990572</v>
      </c>
      <c r="W23" s="13">
        <f t="shared" si="22"/>
        <v>0</v>
      </c>
      <c r="X23" s="40">
        <f>X22/X3</f>
        <v>0.05663990572</v>
      </c>
    </row>
    <row r="24">
      <c r="A24" s="4" t="s">
        <v>48</v>
      </c>
      <c r="B24" s="15">
        <v>37.0</v>
      </c>
      <c r="C24" s="13">
        <f t="shared" si="12"/>
        <v>-0.1351351351</v>
      </c>
      <c r="D24" s="15">
        <v>32.0</v>
      </c>
      <c r="E24" s="13">
        <f t="shared" si="13"/>
        <v>3.625</v>
      </c>
      <c r="F24" s="15">
        <v>148.0</v>
      </c>
      <c r="G24" s="13">
        <f t="shared" si="14"/>
        <v>-1</v>
      </c>
      <c r="H24" s="15">
        <v>0.0</v>
      </c>
      <c r="I24" s="13">
        <f t="shared" si="15"/>
        <v>0</v>
      </c>
      <c r="J24" s="15">
        <v>0.0</v>
      </c>
      <c r="K24" s="13">
        <f t="shared" si="16"/>
        <v>0</v>
      </c>
      <c r="L24" s="15">
        <v>78.0</v>
      </c>
      <c r="M24" s="13">
        <f t="shared" si="17"/>
        <v>-0.5897435897</v>
      </c>
      <c r="N24" s="15">
        <v>32.0</v>
      </c>
      <c r="O24" s="13">
        <f t="shared" si="18"/>
        <v>0</v>
      </c>
      <c r="P24" s="15">
        <v>32.0</v>
      </c>
      <c r="Q24" s="13">
        <f t="shared" si="19"/>
        <v>0</v>
      </c>
      <c r="R24" s="15">
        <v>32.0</v>
      </c>
      <c r="S24" s="13">
        <f t="shared" si="20"/>
        <v>0</v>
      </c>
      <c r="T24" s="15">
        <v>32.0</v>
      </c>
      <c r="U24" s="13">
        <f t="shared" si="21"/>
        <v>0</v>
      </c>
      <c r="V24" s="15">
        <v>32.0</v>
      </c>
      <c r="W24" s="13">
        <f t="shared" si="22"/>
        <v>0</v>
      </c>
      <c r="X24" s="15">
        <v>32.0</v>
      </c>
    </row>
    <row r="25">
      <c r="A25" s="4" t="s">
        <v>53</v>
      </c>
      <c r="B25" s="15">
        <v>55.0</v>
      </c>
      <c r="C25" s="13">
        <f t="shared" si="12"/>
        <v>-0.03636363636</v>
      </c>
      <c r="D25" s="15">
        <v>53.0</v>
      </c>
      <c r="E25" s="13">
        <f t="shared" si="13"/>
        <v>0.2452830189</v>
      </c>
      <c r="F25" s="15">
        <v>66.0</v>
      </c>
      <c r="G25" s="13">
        <f t="shared" si="14"/>
        <v>-0.3333333333</v>
      </c>
      <c r="H25" s="15">
        <v>44.0</v>
      </c>
      <c r="I25" s="13">
        <f t="shared" si="15"/>
        <v>0</v>
      </c>
      <c r="J25" s="15">
        <v>44.0</v>
      </c>
      <c r="K25" s="13">
        <f t="shared" si="16"/>
        <v>2.931818182</v>
      </c>
      <c r="L25" s="15">
        <v>173.0</v>
      </c>
      <c r="M25" s="13">
        <f t="shared" si="17"/>
        <v>-0.6936416185</v>
      </c>
      <c r="N25" s="15">
        <v>53.0</v>
      </c>
      <c r="O25" s="13">
        <f t="shared" si="18"/>
        <v>0</v>
      </c>
      <c r="P25" s="15">
        <v>53.0</v>
      </c>
      <c r="Q25" s="13">
        <f t="shared" si="19"/>
        <v>0</v>
      </c>
      <c r="R25" s="15">
        <v>53.0</v>
      </c>
      <c r="S25" s="13">
        <f t="shared" si="20"/>
        <v>0</v>
      </c>
      <c r="T25" s="15">
        <v>53.0</v>
      </c>
      <c r="U25" s="13">
        <f t="shared" si="21"/>
        <v>0</v>
      </c>
      <c r="V25" s="15">
        <v>53.0</v>
      </c>
      <c r="W25" s="13">
        <f t="shared" si="22"/>
        <v>0</v>
      </c>
      <c r="X25" s="15">
        <v>53.0</v>
      </c>
    </row>
    <row r="26">
      <c r="A26" s="25" t="s">
        <v>49</v>
      </c>
      <c r="B26" s="15">
        <v>1194.0</v>
      </c>
      <c r="C26" s="13">
        <f t="shared" si="12"/>
        <v>-0.007537688442</v>
      </c>
      <c r="D26" s="15">
        <v>1185.0</v>
      </c>
      <c r="E26" s="13">
        <f t="shared" si="13"/>
        <v>-0.007594936709</v>
      </c>
      <c r="F26" s="15">
        <v>1176.0</v>
      </c>
      <c r="G26" s="13">
        <f t="shared" si="14"/>
        <v>-0.006802721088</v>
      </c>
      <c r="H26" s="15">
        <v>1168.0</v>
      </c>
      <c r="I26" s="13">
        <f t="shared" si="15"/>
        <v>0</v>
      </c>
      <c r="J26" s="15">
        <v>1168.0</v>
      </c>
      <c r="K26" s="13">
        <f t="shared" si="16"/>
        <v>-0.09160958904</v>
      </c>
      <c r="L26" s="15">
        <v>1061.0</v>
      </c>
      <c r="M26" s="13">
        <f t="shared" si="17"/>
        <v>0.1168708765</v>
      </c>
      <c r="N26" s="15">
        <v>1185.0</v>
      </c>
      <c r="O26" s="13">
        <f t="shared" si="18"/>
        <v>0</v>
      </c>
      <c r="P26" s="15">
        <v>1185.0</v>
      </c>
      <c r="Q26" s="13">
        <f t="shared" si="19"/>
        <v>0</v>
      </c>
      <c r="R26" s="15">
        <v>1185.0</v>
      </c>
      <c r="S26" s="13">
        <f t="shared" si="20"/>
        <v>0</v>
      </c>
      <c r="T26" s="15">
        <v>1185.0</v>
      </c>
      <c r="U26" s="13">
        <f t="shared" si="21"/>
        <v>0</v>
      </c>
      <c r="V26" s="15">
        <v>1185.0</v>
      </c>
      <c r="W26" s="13">
        <f t="shared" si="22"/>
        <v>0</v>
      </c>
      <c r="X26" s="15">
        <v>1185.0</v>
      </c>
    </row>
    <row r="27">
      <c r="A27" s="1" t="s">
        <v>50</v>
      </c>
      <c r="B27" s="40">
        <f>B26/B3</f>
        <v>0.05463030747</v>
      </c>
      <c r="C27" s="13">
        <f t="shared" si="12"/>
        <v>-0.1994369337</v>
      </c>
      <c r="D27" s="40">
        <f>D26/D3</f>
        <v>0.04373500646</v>
      </c>
      <c r="E27" s="13">
        <f t="shared" si="13"/>
        <v>-0.03394355142</v>
      </c>
      <c r="F27" s="13">
        <f>F26/F3</f>
        <v>0.04225048502</v>
      </c>
      <c r="G27" s="13">
        <f t="shared" si="14"/>
        <v>0.01466885892</v>
      </c>
      <c r="H27" s="40">
        <f>H26/H3</f>
        <v>0.04287025142</v>
      </c>
      <c r="I27" s="13">
        <f t="shared" si="15"/>
        <v>0.005684544683</v>
      </c>
      <c r="J27" s="40">
        <f>J26/J3</f>
        <v>0.04311394928</v>
      </c>
      <c r="K27" s="13">
        <f t="shared" si="16"/>
        <v>-0.09674418707</v>
      </c>
      <c r="L27" s="40">
        <f>L26/L3</f>
        <v>0.03894292531</v>
      </c>
      <c r="M27" s="13">
        <f t="shared" si="17"/>
        <v>0.1206137965</v>
      </c>
      <c r="N27" s="40">
        <f>N26/N3</f>
        <v>0.04363997938</v>
      </c>
      <c r="O27" s="13">
        <f t="shared" si="18"/>
        <v>0</v>
      </c>
      <c r="P27" s="40">
        <f>P26/P3</f>
        <v>0.04363997938</v>
      </c>
      <c r="Q27" s="13">
        <f t="shared" si="19"/>
        <v>0</v>
      </c>
      <c r="R27" s="40">
        <f>R26/R3</f>
        <v>0.04363997938</v>
      </c>
      <c r="S27" s="13">
        <f t="shared" si="20"/>
        <v>0</v>
      </c>
      <c r="T27" s="40">
        <f>T26/T3</f>
        <v>0.04363997938</v>
      </c>
      <c r="U27" s="13">
        <f t="shared" si="21"/>
        <v>0</v>
      </c>
      <c r="V27" s="40">
        <f>V26/V3</f>
        <v>0.04363997938</v>
      </c>
      <c r="W27" s="13">
        <f t="shared" si="22"/>
        <v>0</v>
      </c>
      <c r="X27" s="40">
        <f>X26/X3</f>
        <v>0.04363997938</v>
      </c>
    </row>
    <row r="28">
      <c r="F28" s="6"/>
    </row>
    <row r="29">
      <c r="A29" s="1" t="s">
        <v>54</v>
      </c>
      <c r="B29" s="155">
        <f>B21/B3</f>
        <v>0.1223462665</v>
      </c>
      <c r="C29" s="13">
        <f t="shared" ref="C29:C42" si="23">IFERROR(SUM((D29/B29)-1),0)</f>
        <v>-0.1529340448</v>
      </c>
      <c r="D29" s="155">
        <f>D21/D3</f>
        <v>0.1036353571</v>
      </c>
      <c r="E29" s="13">
        <f t="shared" ref="E29:E42" si="24">IFERROR(SUM((F29/D29)-1),0)</f>
        <v>0.1512915167</v>
      </c>
      <c r="F29" s="148">
        <f>F21/F3</f>
        <v>0.1193145074</v>
      </c>
      <c r="G29" s="13">
        <f t="shared" ref="G29:G42" si="25">IFERROR(SUM((H29/F29)-1),0)</f>
        <v>-0.1441905835</v>
      </c>
      <c r="H29" s="155">
        <f>H21/H3</f>
        <v>0.102110479</v>
      </c>
      <c r="I29" s="13">
        <f t="shared" ref="I29:I42" si="26">IFERROR(SUM((J29/H29)-1),0)</f>
        <v>0.1163026147</v>
      </c>
      <c r="J29" s="155">
        <f>J21/J3</f>
        <v>0.1139861947</v>
      </c>
      <c r="K29" s="13">
        <f t="shared" ref="K29:K42" si="27">IFERROR(SUM((L29/J29)-1),0)</f>
        <v>-0.02754866843</v>
      </c>
      <c r="L29" s="155">
        <f>L21/L3</f>
        <v>0.1108460268</v>
      </c>
      <c r="M29" s="13">
        <f t="shared" ref="M29:M42" si="28">IFERROR(SUM((N29/L29)-1),0)</f>
        <v>-0.06708267341</v>
      </c>
      <c r="N29" s="155">
        <f>N21/N3</f>
        <v>0.103410179</v>
      </c>
      <c r="O29" s="13">
        <f t="shared" ref="O29:O42" si="29">IFERROR(SUM((P29/N29)-1),0)</f>
        <v>0</v>
      </c>
      <c r="P29" s="155">
        <f>P21/P3</f>
        <v>0.103410179</v>
      </c>
      <c r="Q29" s="13">
        <f t="shared" ref="Q29:Q42" si="30">IFERROR(SUM((R29/P29)-1),0)</f>
        <v>0</v>
      </c>
      <c r="R29" s="155">
        <f>R21/R3</f>
        <v>0.103410179</v>
      </c>
      <c r="S29" s="13">
        <f t="shared" ref="S29:S42" si="31">IFERROR(SUM((T29/R29)-1),0)</f>
        <v>0</v>
      </c>
      <c r="T29" s="155">
        <f>T21/T3</f>
        <v>0.103410179</v>
      </c>
      <c r="U29" s="13">
        <f t="shared" ref="U29:U42" si="32">IFERROR(SUM((V29/T29)-1),0)</f>
        <v>0</v>
      </c>
      <c r="V29" s="155">
        <f>V21/V3</f>
        <v>0.103410179</v>
      </c>
      <c r="W29" s="13">
        <f t="shared" ref="W29:W42" si="33">IFERROR(SUM((X29/V29)-1),0)</f>
        <v>0</v>
      </c>
      <c r="X29" s="155">
        <f>X21/X3</f>
        <v>0.103410179</v>
      </c>
    </row>
    <row r="30">
      <c r="A30" s="36" t="s">
        <v>56</v>
      </c>
      <c r="B30" s="37">
        <f>B31/$B$3</f>
        <v>0.8776537335</v>
      </c>
      <c r="C30" s="38">
        <f t="shared" si="23"/>
        <v>0.02131923865</v>
      </c>
      <c r="D30" s="37">
        <f>D31/$D$3</f>
        <v>0.8963646429</v>
      </c>
      <c r="E30" s="38">
        <f t="shared" si="24"/>
        <v>-0.01749193309</v>
      </c>
      <c r="F30" s="37">
        <f>F31/$F$3</f>
        <v>0.8806854926</v>
      </c>
      <c r="G30" s="38">
        <f t="shared" si="25"/>
        <v>0.01953481532</v>
      </c>
      <c r="H30" s="37">
        <f>H31/$H$3</f>
        <v>0.897889521</v>
      </c>
      <c r="I30" s="38">
        <f t="shared" si="26"/>
        <v>-0.01322625491</v>
      </c>
      <c r="J30" s="37">
        <f>J31/$J$3</f>
        <v>0.8860138053</v>
      </c>
      <c r="K30" s="38">
        <f t="shared" si="27"/>
        <v>0.00354415232</v>
      </c>
      <c r="L30" s="37">
        <f>L31/$L$3</f>
        <v>0.8891539732</v>
      </c>
      <c r="M30" s="38">
        <f t="shared" si="28"/>
        <v>0.008362834828</v>
      </c>
      <c r="N30" s="37">
        <f>N31/$N$3</f>
        <v>0.896589821</v>
      </c>
      <c r="O30" s="38">
        <f t="shared" si="29"/>
        <v>0</v>
      </c>
      <c r="P30" s="37">
        <f>P31/$P$3</f>
        <v>0.896589821</v>
      </c>
      <c r="Q30" s="38">
        <f t="shared" si="30"/>
        <v>0</v>
      </c>
      <c r="R30" s="37">
        <f>R31/$R$3</f>
        <v>0.896589821</v>
      </c>
      <c r="S30" s="38">
        <f t="shared" si="31"/>
        <v>0</v>
      </c>
      <c r="T30" s="37">
        <f>T31/$T$3</f>
        <v>0.896589821</v>
      </c>
      <c r="U30" s="38">
        <f t="shared" si="32"/>
        <v>0</v>
      </c>
      <c r="V30" s="37">
        <f>V31/$V$3</f>
        <v>0.896589821</v>
      </c>
      <c r="W30" s="38">
        <f t="shared" si="33"/>
        <v>0</v>
      </c>
      <c r="X30" s="37">
        <f>X31/$X$3</f>
        <v>0.896589821</v>
      </c>
      <c r="Y30" s="13"/>
    </row>
    <row r="31">
      <c r="A31" s="28" t="s">
        <v>57</v>
      </c>
      <c r="B31" s="24">
        <f>B3-B21</f>
        <v>19182</v>
      </c>
      <c r="C31" s="13">
        <f t="shared" si="23"/>
        <v>0.2661349182</v>
      </c>
      <c r="D31" s="24">
        <f>D3-D21</f>
        <v>24287</v>
      </c>
      <c r="E31" s="13">
        <f t="shared" si="24"/>
        <v>0.009305389715</v>
      </c>
      <c r="F31" s="24">
        <f>F3-F21</f>
        <v>24513</v>
      </c>
      <c r="G31" s="13">
        <f t="shared" si="25"/>
        <v>-0.002039734019</v>
      </c>
      <c r="H31" s="24">
        <f>H3-H21</f>
        <v>24463</v>
      </c>
      <c r="I31" s="13">
        <f t="shared" si="26"/>
        <v>-0.01880390794</v>
      </c>
      <c r="J31" s="24">
        <f>J3-J21</f>
        <v>24003</v>
      </c>
      <c r="K31" s="13">
        <f t="shared" si="27"/>
        <v>0.009248843895</v>
      </c>
      <c r="L31" s="24">
        <f>L3-L21</f>
        <v>24225</v>
      </c>
      <c r="M31" s="13">
        <f t="shared" si="28"/>
        <v>0.004994840041</v>
      </c>
      <c r="N31" s="24">
        <f>N3-N21</f>
        <v>24346</v>
      </c>
      <c r="O31" s="13">
        <f t="shared" si="29"/>
        <v>0</v>
      </c>
      <c r="P31" s="24">
        <f>P3-P21</f>
        <v>24346</v>
      </c>
      <c r="Q31" s="13">
        <f t="shared" si="30"/>
        <v>0</v>
      </c>
      <c r="R31" s="24">
        <f>R3-R21</f>
        <v>24346</v>
      </c>
      <c r="S31" s="13">
        <f t="shared" si="31"/>
        <v>0</v>
      </c>
      <c r="T31" s="24">
        <f>T3-T21</f>
        <v>24346</v>
      </c>
      <c r="U31" s="13">
        <f t="shared" si="32"/>
        <v>0</v>
      </c>
      <c r="V31" s="24">
        <f>V3-V21</f>
        <v>24346</v>
      </c>
      <c r="W31" s="13">
        <f t="shared" si="33"/>
        <v>0</v>
      </c>
      <c r="X31" s="24">
        <f>X3-X21</f>
        <v>24346</v>
      </c>
    </row>
    <row r="32">
      <c r="A32" s="28" t="s">
        <v>58</v>
      </c>
      <c r="B32" s="39">
        <f>B31-ABS(B18)</f>
        <v>14870</v>
      </c>
      <c r="C32" s="12">
        <f t="shared" si="23"/>
        <v>0.005043712172</v>
      </c>
      <c r="D32" s="39">
        <f>D31-ABS(D18)</f>
        <v>14945</v>
      </c>
      <c r="E32" s="12">
        <f t="shared" si="24"/>
        <v>-0.006022080964</v>
      </c>
      <c r="F32" s="39">
        <f>F31-ABS(F18)</f>
        <v>14855</v>
      </c>
      <c r="G32" s="12">
        <f t="shared" si="25"/>
        <v>0.02329182094</v>
      </c>
      <c r="H32" s="39">
        <f>H31-ABS(H18)</f>
        <v>15201</v>
      </c>
      <c r="I32" s="12">
        <f t="shared" si="26"/>
        <v>-0.0598644826</v>
      </c>
      <c r="J32" s="39">
        <f>J31-ABS(J18)</f>
        <v>14291</v>
      </c>
      <c r="K32" s="12">
        <f t="shared" si="27"/>
        <v>0.06038765657</v>
      </c>
      <c r="L32" s="39">
        <f>L31-ABS(L18)</f>
        <v>15154</v>
      </c>
      <c r="M32" s="12">
        <f t="shared" si="28"/>
        <v>-0.01379173815</v>
      </c>
      <c r="N32" s="39">
        <f>N31-ABS(N18)</f>
        <v>14945</v>
      </c>
      <c r="O32" s="12">
        <f t="shared" si="29"/>
        <v>0</v>
      </c>
      <c r="P32" s="39">
        <f>P31-ABS(P18)</f>
        <v>14945</v>
      </c>
      <c r="Q32" s="12">
        <f t="shared" si="30"/>
        <v>0</v>
      </c>
      <c r="R32" s="39">
        <f>R31-ABS(R18)</f>
        <v>14945</v>
      </c>
      <c r="S32" s="12">
        <f t="shared" si="31"/>
        <v>0</v>
      </c>
      <c r="T32" s="39">
        <f>T31-ABS(T18)</f>
        <v>14945</v>
      </c>
      <c r="U32" s="12">
        <f t="shared" si="32"/>
        <v>0</v>
      </c>
      <c r="V32" s="39">
        <f>V31-ABS(V18)</f>
        <v>14945</v>
      </c>
      <c r="W32" s="12">
        <f t="shared" si="33"/>
        <v>0</v>
      </c>
      <c r="X32" s="39">
        <f>X31-ABS(X18)</f>
        <v>14945</v>
      </c>
    </row>
    <row r="33">
      <c r="A33" s="1" t="s">
        <v>59</v>
      </c>
      <c r="B33" s="15">
        <f>(B41-B40)*B39/1000</f>
        <v>656</v>
      </c>
      <c r="C33" s="13">
        <f t="shared" si="23"/>
        <v>-0.5655487805</v>
      </c>
      <c r="D33" s="15">
        <f>(D41-D40)*D39/1000</f>
        <v>285</v>
      </c>
      <c r="E33" s="13">
        <f t="shared" si="24"/>
        <v>0.7929824561</v>
      </c>
      <c r="F33" s="15">
        <f>(F41-F40)*F39/1000</f>
        <v>511</v>
      </c>
      <c r="G33" s="13">
        <f t="shared" si="25"/>
        <v>-0.09784735812</v>
      </c>
      <c r="H33" s="15">
        <f>(H41-H40)*H39/1000</f>
        <v>461</v>
      </c>
      <c r="I33" s="13">
        <f t="shared" si="26"/>
        <v>-0.9978308026</v>
      </c>
      <c r="J33" s="15">
        <f>(J41-J40)*J39/1000</f>
        <v>1</v>
      </c>
      <c r="K33" s="13">
        <f t="shared" si="27"/>
        <v>222</v>
      </c>
      <c r="L33" s="15">
        <f>(L41-L40)*L39/1000</f>
        <v>223</v>
      </c>
      <c r="M33" s="13">
        <f t="shared" si="28"/>
        <v>0.5426008969</v>
      </c>
      <c r="N33" s="15">
        <f>(N41-N40)*N39/1000</f>
        <v>344</v>
      </c>
      <c r="O33" s="13">
        <f t="shared" si="29"/>
        <v>0</v>
      </c>
      <c r="P33" s="15">
        <f>(P41-P40)*P39/1000</f>
        <v>344</v>
      </c>
      <c r="Q33" s="13">
        <f t="shared" si="30"/>
        <v>0</v>
      </c>
      <c r="R33" s="15">
        <f>(R41-R40)*R39/1000</f>
        <v>344</v>
      </c>
      <c r="S33" s="13">
        <f t="shared" si="31"/>
        <v>0</v>
      </c>
      <c r="T33" s="15">
        <f>(T41-T40)*T39/1000</f>
        <v>344</v>
      </c>
      <c r="U33" s="13">
        <f t="shared" si="32"/>
        <v>0</v>
      </c>
      <c r="V33" s="15">
        <f>(V41-V40)*V39/1000</f>
        <v>344</v>
      </c>
      <c r="W33" s="13">
        <f t="shared" si="33"/>
        <v>0</v>
      </c>
      <c r="X33" s="15">
        <f>(X41-X40)*X39/1000</f>
        <v>344</v>
      </c>
      <c r="Z33" s="22"/>
      <c r="AA33" s="22"/>
    </row>
    <row r="34">
      <c r="A34" s="4" t="s">
        <v>60</v>
      </c>
      <c r="B34" s="40">
        <f>B33/B31</f>
        <v>0.03419872797</v>
      </c>
      <c r="C34" s="13">
        <f t="shared" si="23"/>
        <v>-0.6568681479</v>
      </c>
      <c r="D34" s="40">
        <f>D33/D31</f>
        <v>0.01173467287</v>
      </c>
      <c r="E34" s="13">
        <f t="shared" si="24"/>
        <v>0.7764518791</v>
      </c>
      <c r="F34" s="40">
        <f>F33/F31</f>
        <v>0.02084608167</v>
      </c>
      <c r="G34" s="13">
        <f t="shared" si="25"/>
        <v>-0.0960034456</v>
      </c>
      <c r="H34" s="40">
        <f>H33/H31</f>
        <v>0.018844786</v>
      </c>
      <c r="I34" s="13">
        <f t="shared" si="26"/>
        <v>-0.9977892315</v>
      </c>
      <c r="J34" s="40">
        <f>J33/J31</f>
        <v>0.00004166145898</v>
      </c>
      <c r="K34" s="13">
        <f t="shared" si="27"/>
        <v>219.9564087</v>
      </c>
      <c r="L34" s="40">
        <f>L33/L31</f>
        <v>0.009205366357</v>
      </c>
      <c r="M34" s="13">
        <f t="shared" si="28"/>
        <v>0.5349341463</v>
      </c>
      <c r="N34" s="40">
        <f>N33/N31</f>
        <v>0.01412963115</v>
      </c>
      <c r="O34" s="13">
        <f t="shared" si="29"/>
        <v>0</v>
      </c>
      <c r="P34" s="40">
        <f>P33/P31</f>
        <v>0.01412963115</v>
      </c>
      <c r="Q34" s="13">
        <f t="shared" si="30"/>
        <v>0</v>
      </c>
      <c r="R34" s="40">
        <f>R33/R31</f>
        <v>0.01412963115</v>
      </c>
      <c r="S34" s="13">
        <f t="shared" si="31"/>
        <v>0</v>
      </c>
      <c r="T34" s="40">
        <f>T33/T31</f>
        <v>0.01412963115</v>
      </c>
      <c r="U34" s="13">
        <f t="shared" si="32"/>
        <v>0</v>
      </c>
      <c r="V34" s="40">
        <f>V33/V31</f>
        <v>0.01412963115</v>
      </c>
      <c r="W34" s="13">
        <f t="shared" si="33"/>
        <v>0</v>
      </c>
      <c r="X34" s="40">
        <f>X33/X31</f>
        <v>0.01412963115</v>
      </c>
      <c r="Z34" s="13"/>
      <c r="AA34" s="13"/>
    </row>
    <row r="35">
      <c r="A35" s="4" t="s">
        <v>61</v>
      </c>
      <c r="B35" s="41">
        <f>B45+(B33*1000)</f>
        <v>36905423.51</v>
      </c>
      <c r="C35" s="13">
        <f t="shared" si="23"/>
        <v>2.621255151</v>
      </c>
      <c r="D35" s="41">
        <f>D45+(D33*1000)</f>
        <v>133643955</v>
      </c>
      <c r="E35" s="13">
        <f t="shared" si="24"/>
        <v>-0.7824347468</v>
      </c>
      <c r="F35" s="41">
        <f>F45+(F33*1000)</f>
        <v>29076280.9</v>
      </c>
      <c r="G35" s="13">
        <f t="shared" si="25"/>
        <v>-0.953322965</v>
      </c>
      <c r="H35" s="41">
        <f>H45+(H33*1000)</f>
        <v>1357194.58</v>
      </c>
      <c r="I35" s="13">
        <f t="shared" si="26"/>
        <v>10.46131718</v>
      </c>
      <c r="J35" s="41">
        <f>J45+(J33*1000)</f>
        <v>15555237.55</v>
      </c>
      <c r="K35" s="13">
        <f t="shared" si="27"/>
        <v>1.100899407</v>
      </c>
      <c r="L35" s="41">
        <f>L45+(L33*1000)</f>
        <v>32679989.35</v>
      </c>
      <c r="M35" s="13">
        <f t="shared" si="28"/>
        <v>0.07826903805</v>
      </c>
      <c r="N35" s="41">
        <f>N45+(N33*1000)</f>
        <v>35237820.68</v>
      </c>
      <c r="O35" s="13">
        <f t="shared" si="29"/>
        <v>-0.5377861878</v>
      </c>
      <c r="P35" s="41">
        <f>P45+(P33*1000)</f>
        <v>16287407.43</v>
      </c>
      <c r="Q35" s="13">
        <f t="shared" si="30"/>
        <v>1.013886464</v>
      </c>
      <c r="R35" s="41">
        <f>R45+(R33*1000)</f>
        <v>32800989.35</v>
      </c>
      <c r="S35" s="13">
        <f t="shared" si="31"/>
        <v>0</v>
      </c>
      <c r="T35" s="41">
        <f>T45+(T33*1000)</f>
        <v>32800989.35</v>
      </c>
      <c r="U35" s="13">
        <f t="shared" si="32"/>
        <v>0</v>
      </c>
      <c r="V35" s="41">
        <f>V45+(V33*1000)</f>
        <v>32800989.35</v>
      </c>
      <c r="W35" s="13">
        <f t="shared" si="33"/>
        <v>0</v>
      </c>
      <c r="X35" s="41">
        <f>X45+(X33*1000)</f>
        <v>32800989.35</v>
      </c>
      <c r="Y35" s="13"/>
      <c r="Z35" s="22"/>
    </row>
    <row r="36">
      <c r="A36" s="4" t="s">
        <v>62</v>
      </c>
      <c r="B36" s="42">
        <f>B35/B39</f>
        <v>0.1651840962</v>
      </c>
      <c r="C36" s="13">
        <f t="shared" si="23"/>
        <v>1.797713032</v>
      </c>
      <c r="D36" s="42">
        <f>D35/D39</f>
        <v>0.4621376988</v>
      </c>
      <c r="E36" s="13">
        <f t="shared" si="24"/>
        <v>-0.7824347468</v>
      </c>
      <c r="F36" s="42">
        <f>F35/F39</f>
        <v>0.1005451054</v>
      </c>
      <c r="G36" s="13">
        <f t="shared" si="25"/>
        <v>-0.953322965</v>
      </c>
      <c r="H36" s="42">
        <f>H35/H39</f>
        <v>0.004693147401</v>
      </c>
      <c r="I36" s="13">
        <f t="shared" si="26"/>
        <v>10.46131718</v>
      </c>
      <c r="J36" s="42">
        <f>J35/J39</f>
        <v>0.05378965092</v>
      </c>
      <c r="K36" s="13">
        <f t="shared" si="27"/>
        <v>1.100899407</v>
      </c>
      <c r="L36" s="42">
        <f>L35/L39</f>
        <v>0.1130066457</v>
      </c>
      <c r="M36" s="13">
        <f t="shared" si="28"/>
        <v>0.07826903805</v>
      </c>
      <c r="N36" s="42">
        <f>N35/N39</f>
        <v>0.1218515672</v>
      </c>
      <c r="O36" s="13">
        <f t="shared" si="29"/>
        <v>-0.5377861878</v>
      </c>
      <c r="P36" s="42">
        <f>P35/P39</f>
        <v>0.05632147739</v>
      </c>
      <c r="Q36" s="13">
        <f t="shared" si="30"/>
        <v>1.013886464</v>
      </c>
      <c r="R36" s="42">
        <f>R35/R39</f>
        <v>0.1134250609</v>
      </c>
      <c r="S36" s="13">
        <f t="shared" si="31"/>
        <v>0</v>
      </c>
      <c r="T36" s="42">
        <f>T35/T39</f>
        <v>0.1134250609</v>
      </c>
      <c r="U36" s="13">
        <f t="shared" si="32"/>
        <v>0</v>
      </c>
      <c r="V36" s="42">
        <f>V35/V39</f>
        <v>0.1134250609</v>
      </c>
      <c r="W36" s="13">
        <f t="shared" si="33"/>
        <v>0</v>
      </c>
      <c r="X36" s="42">
        <f>X35/X39</f>
        <v>0.1134250609</v>
      </c>
      <c r="Y36" s="13"/>
      <c r="Z36" s="13"/>
    </row>
    <row r="37">
      <c r="A37" s="28" t="s">
        <v>63</v>
      </c>
      <c r="B37" s="15">
        <v>18526.0</v>
      </c>
      <c r="C37" s="13">
        <f t="shared" si="23"/>
        <v>0.2955845838</v>
      </c>
      <c r="D37" s="15">
        <v>24002.0</v>
      </c>
      <c r="E37" s="13">
        <f t="shared" si="24"/>
        <v>0</v>
      </c>
      <c r="F37" s="15">
        <v>24002.0</v>
      </c>
      <c r="G37" s="13">
        <f t="shared" si="25"/>
        <v>0</v>
      </c>
      <c r="H37" s="15">
        <v>24002.0</v>
      </c>
      <c r="I37" s="13">
        <f t="shared" si="26"/>
        <v>0</v>
      </c>
      <c r="J37" s="15">
        <v>24002.0</v>
      </c>
      <c r="K37" s="13">
        <f t="shared" si="27"/>
        <v>0</v>
      </c>
      <c r="L37" s="15">
        <v>24002.0</v>
      </c>
      <c r="M37" s="13">
        <f t="shared" si="28"/>
        <v>0</v>
      </c>
      <c r="N37" s="15">
        <v>24002.0</v>
      </c>
      <c r="O37" s="13">
        <f t="shared" si="29"/>
        <v>0</v>
      </c>
      <c r="P37" s="15">
        <v>24002.0</v>
      </c>
      <c r="Q37" s="13">
        <f t="shared" si="30"/>
        <v>0</v>
      </c>
      <c r="R37" s="15">
        <v>24002.0</v>
      </c>
      <c r="S37" s="13">
        <f t="shared" si="31"/>
        <v>0</v>
      </c>
      <c r="T37" s="15">
        <v>24002.0</v>
      </c>
      <c r="U37" s="13">
        <f t="shared" si="32"/>
        <v>0</v>
      </c>
      <c r="V37" s="15">
        <v>24002.0</v>
      </c>
      <c r="W37" s="13">
        <f t="shared" si="33"/>
        <v>0</v>
      </c>
      <c r="X37" s="15">
        <v>24002.0</v>
      </c>
    </row>
    <row r="38">
      <c r="A38" s="1" t="s">
        <v>64</v>
      </c>
      <c r="B38" s="40">
        <f>B37/B31</f>
        <v>0.965801272</v>
      </c>
      <c r="C38" s="13">
        <f t="shared" si="23"/>
        <v>0.02325950043</v>
      </c>
      <c r="D38" s="40">
        <f>D37/D31</f>
        <v>0.9882653271</v>
      </c>
      <c r="E38" s="13">
        <f t="shared" si="24"/>
        <v>-0.009219597764</v>
      </c>
      <c r="F38" s="40">
        <f>F37/F31</f>
        <v>0.9791539183</v>
      </c>
      <c r="G38" s="13">
        <f t="shared" si="25"/>
        <v>0.002043903037</v>
      </c>
      <c r="H38" s="40">
        <f>H37/H31</f>
        <v>0.981155214</v>
      </c>
      <c r="I38" s="13">
        <f t="shared" si="26"/>
        <v>0.01916427113</v>
      </c>
      <c r="J38" s="40">
        <f>J37/J31</f>
        <v>0.9999583385</v>
      </c>
      <c r="K38" s="13">
        <f t="shared" si="27"/>
        <v>-0.009164086687</v>
      </c>
      <c r="L38" s="40">
        <f>L37/L31</f>
        <v>0.9907946336</v>
      </c>
      <c r="M38" s="13">
        <f t="shared" si="28"/>
        <v>-0.004970015608</v>
      </c>
      <c r="N38" s="40">
        <f>N37/N31</f>
        <v>0.9858703688</v>
      </c>
      <c r="O38" s="13">
        <f t="shared" si="29"/>
        <v>0</v>
      </c>
      <c r="P38" s="40">
        <f>P37/P31</f>
        <v>0.9858703688</v>
      </c>
      <c r="Q38" s="13">
        <f t="shared" si="30"/>
        <v>0</v>
      </c>
      <c r="R38" s="40">
        <f>R37/R31</f>
        <v>0.9858703688</v>
      </c>
      <c r="S38" s="13">
        <f t="shared" si="31"/>
        <v>0</v>
      </c>
      <c r="T38" s="40">
        <f>T37/T31</f>
        <v>0.9858703688</v>
      </c>
      <c r="U38" s="13">
        <f t="shared" si="32"/>
        <v>0</v>
      </c>
      <c r="V38" s="40">
        <f>V37/V31</f>
        <v>0.9858703688</v>
      </c>
      <c r="W38" s="13">
        <f t="shared" si="33"/>
        <v>0</v>
      </c>
      <c r="X38" s="40">
        <f>X37/X31</f>
        <v>0.9858703688</v>
      </c>
    </row>
    <row r="39">
      <c r="A39" s="4" t="s">
        <v>65</v>
      </c>
      <c r="B39" s="48">
        <v>2.23419956E8</v>
      </c>
      <c r="C39" s="13">
        <f t="shared" si="23"/>
        <v>0.2943626128</v>
      </c>
      <c r="D39" s="48">
        <v>2.89186438E8</v>
      </c>
      <c r="E39" s="13">
        <f t="shared" si="24"/>
        <v>0</v>
      </c>
      <c r="F39" s="48">
        <v>2.89186438E8</v>
      </c>
      <c r="G39" s="13">
        <f t="shared" si="25"/>
        <v>0</v>
      </c>
      <c r="H39" s="48">
        <v>2.89186438E8</v>
      </c>
      <c r="I39" s="13">
        <f t="shared" si="26"/>
        <v>0</v>
      </c>
      <c r="J39" s="48">
        <v>2.89186438E8</v>
      </c>
      <c r="K39" s="13">
        <f t="shared" si="27"/>
        <v>0</v>
      </c>
      <c r="L39" s="48">
        <v>2.89186438E8</v>
      </c>
      <c r="M39" s="13">
        <f t="shared" si="28"/>
        <v>0</v>
      </c>
      <c r="N39" s="48">
        <v>2.89186438E8</v>
      </c>
      <c r="O39" s="13">
        <f t="shared" si="29"/>
        <v>0</v>
      </c>
      <c r="P39" s="48">
        <v>2.89186438E8</v>
      </c>
      <c r="Q39" s="13">
        <f t="shared" si="30"/>
        <v>0</v>
      </c>
      <c r="R39" s="48">
        <v>2.89186438E8</v>
      </c>
      <c r="S39" s="13">
        <f t="shared" si="31"/>
        <v>0</v>
      </c>
      <c r="T39" s="48">
        <v>2.89186438E8</v>
      </c>
      <c r="U39" s="13">
        <f t="shared" si="32"/>
        <v>0</v>
      </c>
      <c r="V39" s="48">
        <v>2.89186438E8</v>
      </c>
      <c r="W39" s="13">
        <f t="shared" si="33"/>
        <v>0</v>
      </c>
      <c r="X39" s="48">
        <v>2.89186438E8</v>
      </c>
    </row>
    <row r="40">
      <c r="A40" s="28" t="s">
        <v>66</v>
      </c>
      <c r="B40" s="157">
        <f>B37*1000/(B39)</f>
        <v>0.0829200772</v>
      </c>
      <c r="C40" s="13">
        <f t="shared" si="23"/>
        <v>0.0009440716344</v>
      </c>
      <c r="D40" s="157">
        <f>D37*1000/(D39)</f>
        <v>0.08299835969</v>
      </c>
      <c r="E40" s="13">
        <f t="shared" si="24"/>
        <v>0</v>
      </c>
      <c r="F40" s="157">
        <f>F37*1000/(F39)</f>
        <v>0.08299835969</v>
      </c>
      <c r="G40" s="13">
        <f t="shared" si="25"/>
        <v>0</v>
      </c>
      <c r="H40" s="157">
        <f>H37*1000/(H39)</f>
        <v>0.08299835969</v>
      </c>
      <c r="I40" s="13">
        <f t="shared" si="26"/>
        <v>0</v>
      </c>
      <c r="J40" s="157">
        <f>J37*1000/(J39)</f>
        <v>0.08299835969</v>
      </c>
      <c r="K40" s="13">
        <f t="shared" si="27"/>
        <v>0</v>
      </c>
      <c r="L40" s="157">
        <f>L37*1000/(L39)</f>
        <v>0.08299835969</v>
      </c>
      <c r="M40" s="13">
        <f t="shared" si="28"/>
        <v>0</v>
      </c>
      <c r="N40" s="157">
        <f>N37*1000/(N39)</f>
        <v>0.08299835969</v>
      </c>
      <c r="O40" s="13">
        <f t="shared" si="29"/>
        <v>0</v>
      </c>
      <c r="P40" s="157">
        <f>P37*1000/(P39)</f>
        <v>0.08299835969</v>
      </c>
      <c r="Q40" s="13">
        <f t="shared" si="30"/>
        <v>0</v>
      </c>
      <c r="R40" s="157">
        <f>R37*1000/(R39)</f>
        <v>0.08299835969</v>
      </c>
      <c r="S40" s="13">
        <f t="shared" si="31"/>
        <v>0</v>
      </c>
      <c r="T40" s="157">
        <f>T37*1000/(T39)</f>
        <v>0.08299835969</v>
      </c>
      <c r="U40" s="13">
        <f t="shared" si="32"/>
        <v>0</v>
      </c>
      <c r="V40" s="157">
        <f>V37*1000/(V39)</f>
        <v>0.08299835969</v>
      </c>
      <c r="W40" s="13">
        <f t="shared" si="33"/>
        <v>0</v>
      </c>
      <c r="X40" s="157">
        <f>X37*1000/(X39)</f>
        <v>0.08299835969</v>
      </c>
    </row>
    <row r="41">
      <c r="A41" s="28" t="s">
        <v>67</v>
      </c>
      <c r="B41" s="58">
        <f>B31*1000/(B39)</f>
        <v>0.0858562518</v>
      </c>
      <c r="C41" s="13">
        <f t="shared" si="23"/>
        <v>-0.02180818139</v>
      </c>
      <c r="D41" s="58">
        <f>D31*1000/(D39)</f>
        <v>0.08398388309</v>
      </c>
      <c r="E41" s="13">
        <f t="shared" si="24"/>
        <v>0.009305389715</v>
      </c>
      <c r="F41" s="58">
        <f>F31*1000/(F39)</f>
        <v>0.08476538585</v>
      </c>
      <c r="G41" s="13">
        <f t="shared" si="25"/>
        <v>-0.002039734019</v>
      </c>
      <c r="H41" s="58">
        <f>H31*1000/(H39)</f>
        <v>0.08459248701</v>
      </c>
      <c r="I41" s="13">
        <f t="shared" si="26"/>
        <v>-0.01880390794</v>
      </c>
      <c r="J41" s="58">
        <f>J31*1000/(J39)</f>
        <v>0.08300181767</v>
      </c>
      <c r="K41" s="13">
        <f t="shared" si="27"/>
        <v>0.009248843895</v>
      </c>
      <c r="L41" s="58">
        <f>L31*1000/(L39)</f>
        <v>0.08376948853</v>
      </c>
      <c r="M41" s="13">
        <f t="shared" si="28"/>
        <v>0.004994840041</v>
      </c>
      <c r="N41" s="58">
        <f>N31*1000/(N39)</f>
        <v>0.08418790372</v>
      </c>
      <c r="O41" s="13">
        <f t="shared" si="29"/>
        <v>0</v>
      </c>
      <c r="P41" s="58">
        <f>P31*1000/(P39)</f>
        <v>0.08418790372</v>
      </c>
      <c r="Q41" s="13">
        <f t="shared" si="30"/>
        <v>0</v>
      </c>
      <c r="R41" s="58">
        <f>R31*1000/(R39)</f>
        <v>0.08418790372</v>
      </c>
      <c r="S41" s="13">
        <f t="shared" si="31"/>
        <v>0</v>
      </c>
      <c r="T41" s="58">
        <f>T31*1000/(T39)</f>
        <v>0.08418790372</v>
      </c>
      <c r="U41" s="13">
        <f t="shared" si="32"/>
        <v>0</v>
      </c>
      <c r="V41" s="58">
        <f>V31*1000/(V39)</f>
        <v>0.08418790372</v>
      </c>
      <c r="W41" s="13">
        <f t="shared" si="33"/>
        <v>0</v>
      </c>
      <c r="X41" s="58">
        <f>X31*1000/(X39)</f>
        <v>0.08418790372</v>
      </c>
      <c r="Y41" s="13"/>
    </row>
    <row r="42">
      <c r="A42" s="4" t="s">
        <v>68</v>
      </c>
      <c r="B42" s="51">
        <f>B32*1000/(B39)</f>
        <v>0.06655627486</v>
      </c>
      <c r="C42" s="13">
        <f t="shared" si="23"/>
        <v>-0.2235222941</v>
      </c>
      <c r="D42" s="51">
        <f>D32*1000/(D39)</f>
        <v>0.05167946361</v>
      </c>
      <c r="E42" s="13">
        <f t="shared" si="24"/>
        <v>-0.006022080964</v>
      </c>
      <c r="F42" s="51">
        <f>F32*1000/(F39)</f>
        <v>0.0513682457</v>
      </c>
      <c r="G42" s="13">
        <f t="shared" si="25"/>
        <v>0.02329182094</v>
      </c>
      <c r="H42" s="51">
        <f>H32*1000/(H39)</f>
        <v>0.05256470568</v>
      </c>
      <c r="I42" s="13">
        <f t="shared" si="26"/>
        <v>-0.0598644826</v>
      </c>
      <c r="J42" s="51">
        <f>J32*1000/(J39)</f>
        <v>0.04941794677</v>
      </c>
      <c r="K42" s="13">
        <f t="shared" si="27"/>
        <v>0.06038765657</v>
      </c>
      <c r="L42" s="51">
        <f>L32*1000/(L39)</f>
        <v>0.05240218077</v>
      </c>
      <c r="M42" s="13">
        <f t="shared" si="28"/>
        <v>-0.01379173815</v>
      </c>
      <c r="N42" s="51">
        <f>N32*1000/(N39)</f>
        <v>0.05167946361</v>
      </c>
      <c r="O42" s="13">
        <f t="shared" si="29"/>
        <v>0</v>
      </c>
      <c r="P42" s="51">
        <f>P32*1000/(P39)</f>
        <v>0.05167946361</v>
      </c>
      <c r="Q42" s="13">
        <f t="shared" si="30"/>
        <v>0</v>
      </c>
      <c r="R42" s="51">
        <f>R32*1000/(R39)</f>
        <v>0.05167946361</v>
      </c>
      <c r="S42" s="13">
        <f t="shared" si="31"/>
        <v>0</v>
      </c>
      <c r="T42" s="51">
        <f>T32*1000/(T39)</f>
        <v>0.05167946361</v>
      </c>
      <c r="U42" s="13">
        <f t="shared" si="32"/>
        <v>0</v>
      </c>
      <c r="V42" s="51">
        <f>V32*1000/(V39)</f>
        <v>0.05167946361</v>
      </c>
      <c r="W42" s="13">
        <f t="shared" si="33"/>
        <v>0</v>
      </c>
      <c r="X42" s="51">
        <f>X32*1000/(X39)</f>
        <v>0.05167946361</v>
      </c>
      <c r="Y42" s="13"/>
    </row>
    <row r="43">
      <c r="A43" s="52"/>
      <c r="B43" s="2" t="s">
        <v>1</v>
      </c>
      <c r="C43" s="3">
        <v>46037.0</v>
      </c>
      <c r="D43" s="2" t="s">
        <v>1</v>
      </c>
      <c r="E43" s="3">
        <v>46066.0</v>
      </c>
      <c r="F43" s="2" t="s">
        <v>1</v>
      </c>
      <c r="G43" s="3">
        <v>46094.0</v>
      </c>
      <c r="H43" s="2" t="s">
        <v>1</v>
      </c>
      <c r="I43" s="3">
        <v>46135.0</v>
      </c>
      <c r="J43" s="2" t="s">
        <v>1</v>
      </c>
      <c r="K43" s="3">
        <v>46157.0</v>
      </c>
      <c r="L43" s="2" t="s">
        <v>1</v>
      </c>
      <c r="M43" s="3">
        <v>46188.0</v>
      </c>
      <c r="N43" s="2" t="s">
        <v>1</v>
      </c>
      <c r="O43" s="3">
        <v>46217.0</v>
      </c>
      <c r="P43" s="2" t="s">
        <v>2</v>
      </c>
      <c r="Q43" s="3">
        <v>46248.0</v>
      </c>
      <c r="R43" s="2" t="s">
        <v>3</v>
      </c>
      <c r="S43" s="3">
        <v>46195.0</v>
      </c>
      <c r="T43" s="2" t="s">
        <v>3</v>
      </c>
      <c r="U43" s="3">
        <v>46195.0</v>
      </c>
      <c r="V43" s="2" t="s">
        <v>3</v>
      </c>
      <c r="W43" s="3">
        <v>46195.0</v>
      </c>
      <c r="X43" s="2" t="s">
        <v>3</v>
      </c>
      <c r="Y43" s="3">
        <v>46195.0</v>
      </c>
      <c r="Z43" s="153"/>
      <c r="AA43" s="153"/>
    </row>
    <row r="44">
      <c r="A44" s="1" t="s">
        <v>69</v>
      </c>
      <c r="B44" s="1" t="s">
        <v>5</v>
      </c>
      <c r="C44" s="53"/>
      <c r="D44" s="54" t="s">
        <v>6</v>
      </c>
      <c r="E44" s="55"/>
      <c r="F44" s="54" t="s">
        <v>7</v>
      </c>
      <c r="G44" s="55"/>
      <c r="H44" s="54" t="s">
        <v>8</v>
      </c>
      <c r="I44" s="55"/>
      <c r="J44" s="54" t="s">
        <v>9</v>
      </c>
      <c r="K44" s="55"/>
      <c r="L44" s="54" t="s">
        <v>10</v>
      </c>
      <c r="M44" s="55"/>
      <c r="N44" s="54" t="s">
        <v>11</v>
      </c>
      <c r="O44" s="55"/>
      <c r="P44" s="1" t="s">
        <v>12</v>
      </c>
      <c r="Q44" s="53"/>
      <c r="R44" s="1" t="s">
        <v>13</v>
      </c>
      <c r="S44" s="53"/>
      <c r="T44" s="1" t="s">
        <v>14</v>
      </c>
      <c r="U44" s="53"/>
      <c r="V44" s="1" t="s">
        <v>15</v>
      </c>
      <c r="W44" s="53"/>
      <c r="X44" s="1" t="s">
        <v>16</v>
      </c>
    </row>
    <row r="45">
      <c r="A45" s="4" t="s">
        <v>61</v>
      </c>
      <c r="B45" s="56">
        <v>3.624942351E7</v>
      </c>
      <c r="C45" s="13">
        <f t="shared" ref="C45:C49" si="34">IFERROR(SUM((D45/B45)-1),0)</f>
        <v>2.67892623</v>
      </c>
      <c r="D45" s="56">
        <v>1.3335895497E8</v>
      </c>
      <c r="E45" s="13">
        <f t="shared" ref="E45:E49" si="35">IFERROR(SUM((F45/D45)-1),0)</f>
        <v>-0.7858015541</v>
      </c>
      <c r="F45" s="56">
        <v>2.85652809E7</v>
      </c>
      <c r="G45" s="13">
        <f t="shared" ref="G45:G49" si="36">IFERROR(SUM((H45/F45)-1),0)</f>
        <v>-0.9686264391</v>
      </c>
      <c r="H45" s="56">
        <v>896194.58</v>
      </c>
      <c r="I45" s="13">
        <f t="shared" ref="I45:I49" si="37">IFERROR(SUM((J45/H45)-1),0)</f>
        <v>16.35587103</v>
      </c>
      <c r="J45" s="56">
        <v>1.555423755E7</v>
      </c>
      <c r="K45" s="13">
        <f t="shared" ref="K45:K49" si="38">IFERROR(SUM((L45/J45)-1),0)</f>
        <v>1.086697548</v>
      </c>
      <c r="L45" s="56">
        <v>3.245698935E7</v>
      </c>
      <c r="M45" s="13">
        <f t="shared" ref="M45:M49" si="39">IFERROR(SUM((N45/L45)-1),0)</f>
        <v>0.07507878515</v>
      </c>
      <c r="N45" s="56">
        <v>3.489382068E7</v>
      </c>
      <c r="O45" s="13">
        <f t="shared" ref="O45:O49" si="40">IFERROR(SUM((P45/N45)-1),0)</f>
        <v>-0.5430879417</v>
      </c>
      <c r="P45" s="56">
        <v>1.594340743E7</v>
      </c>
      <c r="Q45" s="13">
        <f t="shared" ref="Q45:Q49" si="41">IFERROR(SUM((R45/P45)-1),0)</f>
        <v>1.035762399</v>
      </c>
      <c r="R45" s="56">
        <v>3.245698935E7</v>
      </c>
      <c r="S45" s="13">
        <f t="shared" ref="S45:S49" si="42">IFERROR(SUM((T45/R45)-1),0)</f>
        <v>0</v>
      </c>
      <c r="T45" s="56">
        <v>3.245698935E7</v>
      </c>
      <c r="U45" s="13">
        <f t="shared" ref="U45:U49" si="43">IFERROR(SUM((V45/T45)-1),0)</f>
        <v>0</v>
      </c>
      <c r="V45" s="56">
        <v>3.245698935E7</v>
      </c>
      <c r="W45" s="13">
        <f t="shared" ref="W45:W49" si="44">IFERROR(SUM((X45/V45)-1),0)</f>
        <v>0</v>
      </c>
      <c r="X45" s="56">
        <v>3.245698935E7</v>
      </c>
    </row>
    <row r="46">
      <c r="A46" s="59" t="s">
        <v>193</v>
      </c>
      <c r="B46" s="158">
        <f>(B63+B60)-SUM(B45,B47,B48)</f>
        <v>784138624.2</v>
      </c>
      <c r="C46" s="159">
        <f t="shared" si="34"/>
        <v>-0.006207715524</v>
      </c>
      <c r="D46" s="158">
        <f>(D63+D60)-SUM(D45,D47,D48)</f>
        <v>779270914.6</v>
      </c>
      <c r="E46" s="159">
        <f t="shared" si="35"/>
        <v>-0.001280425448</v>
      </c>
      <c r="F46" s="158">
        <f>(F63+F60)-SUM(F45,F47,F48)</f>
        <v>778273116.3</v>
      </c>
      <c r="G46" s="159">
        <f t="shared" si="36"/>
        <v>0.001668022989</v>
      </c>
      <c r="H46" s="158">
        <f>(H63+H60)-SUM(H45,H47,H48)</f>
        <v>779571293.8</v>
      </c>
      <c r="I46" s="159">
        <f t="shared" si="37"/>
        <v>0.005689951458</v>
      </c>
      <c r="J46" s="158">
        <f>(J63+J60)-SUM(J45,J47,J48)</f>
        <v>784007016.6</v>
      </c>
      <c r="K46" s="159">
        <f t="shared" si="38"/>
        <v>-0.0284291029</v>
      </c>
      <c r="L46" s="158">
        <f>(L63+L60)-SUM(L45,L47,L48)</f>
        <v>761718400.5</v>
      </c>
      <c r="M46" s="159">
        <f t="shared" si="39"/>
        <v>0.06430267309</v>
      </c>
      <c r="N46" s="158">
        <f>(N63+N60)-SUM(N45,N47,N48)</f>
        <v>810698929.7</v>
      </c>
      <c r="O46" s="159">
        <f t="shared" si="40"/>
        <v>0.03250767157</v>
      </c>
      <c r="P46" s="158">
        <f>(P63+P60)-SUM(P45,P47,P48)</f>
        <v>837052864.3</v>
      </c>
      <c r="Q46" s="159">
        <f t="shared" si="41"/>
        <v>-0.06153071812</v>
      </c>
      <c r="R46" s="158">
        <f>(R63+R60)-SUM(R45,R47,R48)</f>
        <v>785548400.5</v>
      </c>
      <c r="S46" s="159">
        <f t="shared" si="42"/>
        <v>0</v>
      </c>
      <c r="T46" s="158">
        <f>(T63+T60)-SUM(T45,T47,T48)</f>
        <v>785548400.5</v>
      </c>
      <c r="U46" s="159">
        <f t="shared" si="43"/>
        <v>0</v>
      </c>
      <c r="V46" s="158">
        <f>(V63+V60)-SUM(V45,V47,V48)</f>
        <v>785548400.5</v>
      </c>
      <c r="W46" s="159">
        <f t="shared" si="44"/>
        <v>0</v>
      </c>
      <c r="X46" s="158">
        <f>(X63+X60)-SUM(X45,X47,X48)</f>
        <v>785548400.5</v>
      </c>
      <c r="Y46" s="160"/>
      <c r="Z46" s="160"/>
      <c r="AA46" s="160"/>
    </row>
    <row r="47">
      <c r="A47" s="4" t="s">
        <v>70</v>
      </c>
      <c r="B47" s="58">
        <v>2.41998224056E9</v>
      </c>
      <c r="C47" s="13">
        <f t="shared" si="34"/>
        <v>-0.01651471484</v>
      </c>
      <c r="D47" s="58">
        <v>2.38001692394E9</v>
      </c>
      <c r="E47" s="13">
        <f t="shared" si="35"/>
        <v>0.03679969282</v>
      </c>
      <c r="F47" s="58">
        <v>2.46760081565E9</v>
      </c>
      <c r="G47" s="13">
        <f t="shared" si="36"/>
        <v>0.000008781440605</v>
      </c>
      <c r="H47" s="58">
        <v>2.46762248474E9</v>
      </c>
      <c r="I47" s="13">
        <f t="shared" si="37"/>
        <v>-0.004800839692</v>
      </c>
      <c r="J47" s="58">
        <v>2.45577582477E9</v>
      </c>
      <c r="K47" s="13">
        <f t="shared" si="38"/>
        <v>0.002093167898</v>
      </c>
      <c r="L47" s="58">
        <v>2.46091617589E9</v>
      </c>
      <c r="M47" s="13">
        <f t="shared" si="39"/>
        <v>-0.01039066913</v>
      </c>
      <c r="N47" s="58">
        <v>2.43534561015E9</v>
      </c>
      <c r="O47" s="13">
        <f t="shared" si="40"/>
        <v>-0.003184331861</v>
      </c>
      <c r="P47" s="58">
        <v>2.42759066153E9</v>
      </c>
      <c r="Q47" s="13">
        <f t="shared" si="41"/>
        <v>0.01372781453</v>
      </c>
      <c r="R47" s="58">
        <v>2.46091617589E9</v>
      </c>
      <c r="S47" s="13">
        <f t="shared" si="42"/>
        <v>0</v>
      </c>
      <c r="T47" s="58">
        <v>2.46091617589E9</v>
      </c>
      <c r="U47" s="13">
        <f t="shared" si="43"/>
        <v>0</v>
      </c>
      <c r="V47" s="58">
        <v>2.46091617589E9</v>
      </c>
      <c r="W47" s="13">
        <f t="shared" si="44"/>
        <v>0</v>
      </c>
      <c r="X47" s="58">
        <v>2.46091617589E9</v>
      </c>
    </row>
    <row r="48">
      <c r="A48" s="4" t="s">
        <v>71</v>
      </c>
      <c r="B48" s="58">
        <v>3.1854371178E8</v>
      </c>
      <c r="C48" s="13">
        <f t="shared" si="34"/>
        <v>0.007375737091</v>
      </c>
      <c r="D48" s="58">
        <v>3.2089320645E8</v>
      </c>
      <c r="E48" s="13">
        <f t="shared" si="35"/>
        <v>0.00498789204</v>
      </c>
      <c r="F48" s="58">
        <v>3.2249378712E8</v>
      </c>
      <c r="G48" s="13">
        <f t="shared" si="36"/>
        <v>0.04337522253</v>
      </c>
      <c r="H48" s="58">
        <v>3.364820269E8</v>
      </c>
      <c r="I48" s="13">
        <f t="shared" si="37"/>
        <v>-0.05331965569</v>
      </c>
      <c r="J48" s="58">
        <v>3.1854092108E8</v>
      </c>
      <c r="K48" s="13">
        <f t="shared" si="38"/>
        <v>-0.1881155067</v>
      </c>
      <c r="L48" s="58">
        <v>2.5861843431E8</v>
      </c>
      <c r="M48" s="13">
        <f t="shared" si="39"/>
        <v>-0.007798341543</v>
      </c>
      <c r="N48" s="58">
        <v>2.5660163943E8</v>
      </c>
      <c r="O48" s="13">
        <f t="shared" si="40"/>
        <v>0.001369544329</v>
      </c>
      <c r="P48" s="58">
        <v>2.5695306675E8</v>
      </c>
      <c r="Q48" s="13">
        <f t="shared" si="41"/>
        <v>0.006481213013</v>
      </c>
      <c r="R48" s="58">
        <v>2.5861843431E8</v>
      </c>
      <c r="S48" s="13">
        <f t="shared" si="42"/>
        <v>0</v>
      </c>
      <c r="T48" s="58">
        <v>2.5861843431E8</v>
      </c>
      <c r="U48" s="13">
        <f t="shared" si="43"/>
        <v>0</v>
      </c>
      <c r="V48" s="58">
        <v>2.5861843431E8</v>
      </c>
      <c r="W48" s="13">
        <f t="shared" si="44"/>
        <v>0</v>
      </c>
      <c r="X48" s="58">
        <v>2.5861843431E8</v>
      </c>
    </row>
    <row r="49">
      <c r="A49" s="59" t="s">
        <v>72</v>
      </c>
      <c r="B49" s="161">
        <f>SUM(B45:B48)</f>
        <v>3558914000</v>
      </c>
      <c r="C49" s="159">
        <f t="shared" si="34"/>
        <v>0.01534906435</v>
      </c>
      <c r="D49" s="161">
        <f>SUM(D45:D48)</f>
        <v>3613540000</v>
      </c>
      <c r="E49" s="159">
        <f t="shared" si="35"/>
        <v>-0.004595770353</v>
      </c>
      <c r="F49" s="161">
        <f>SUM(F45:F48)</f>
        <v>3596933000</v>
      </c>
      <c r="G49" s="159">
        <f t="shared" si="36"/>
        <v>-0.003436538851</v>
      </c>
      <c r="H49" s="161">
        <f>SUM(H45:H48)</f>
        <v>3584572000</v>
      </c>
      <c r="I49" s="159">
        <f t="shared" si="37"/>
        <v>-0.002983340828</v>
      </c>
      <c r="J49" s="161">
        <f>SUM(J45:J48)</f>
        <v>3573878000</v>
      </c>
      <c r="K49" s="159">
        <f t="shared" si="38"/>
        <v>-0.01683549355</v>
      </c>
      <c r="L49" s="161">
        <f>SUM(L45:L48)</f>
        <v>3513710000</v>
      </c>
      <c r="M49" s="159">
        <f t="shared" si="39"/>
        <v>0.006782005345</v>
      </c>
      <c r="N49" s="161">
        <f>SUM(N45:N48)</f>
        <v>3537540000</v>
      </c>
      <c r="O49" s="159">
        <f t="shared" si="40"/>
        <v>0</v>
      </c>
      <c r="P49" s="161">
        <f>SUM(P45:P48)</f>
        <v>3537540000</v>
      </c>
      <c r="Q49" s="159">
        <f t="shared" si="41"/>
        <v>0</v>
      </c>
      <c r="R49" s="161">
        <f>SUM(R45:R48)</f>
        <v>3537540000</v>
      </c>
      <c r="S49" s="159">
        <f t="shared" si="42"/>
        <v>0</v>
      </c>
      <c r="T49" s="161">
        <f>SUM(T45:T48)</f>
        <v>3537540000</v>
      </c>
      <c r="U49" s="159">
        <f t="shared" si="43"/>
        <v>0</v>
      </c>
      <c r="V49" s="161">
        <f>SUM(V45:V48)</f>
        <v>3537540000</v>
      </c>
      <c r="W49" s="159">
        <f t="shared" si="44"/>
        <v>0</v>
      </c>
      <c r="X49" s="161">
        <f>SUM(X45:X48)</f>
        <v>3537540000</v>
      </c>
      <c r="Y49" s="160"/>
      <c r="Z49" s="160"/>
      <c r="AA49" s="160"/>
    </row>
    <row r="51">
      <c r="A51" s="25" t="s">
        <v>73</v>
      </c>
      <c r="B51" s="29">
        <f>B86*1000000</f>
        <v>842000000</v>
      </c>
      <c r="C51" s="27">
        <f t="shared" ref="C51:C63" si="45">IFERROR(SUM((D51/B51)-1),0)</f>
        <v>-0.009501187648</v>
      </c>
      <c r="D51" s="29">
        <f>D86*1000000</f>
        <v>834000000</v>
      </c>
      <c r="E51" s="27">
        <f t="shared" ref="E51:E63" si="46">IFERROR(SUM((F51/D51)-1),0)</f>
        <v>-0.00479616307</v>
      </c>
      <c r="F51" s="29">
        <f>F86*1000000</f>
        <v>830000000</v>
      </c>
      <c r="G51" s="27">
        <f t="shared" ref="G51:G63" si="47">IFERROR(SUM((H51/F51)-1),0)</f>
        <v>0</v>
      </c>
      <c r="H51" s="29">
        <f>H86*1000000</f>
        <v>830000000</v>
      </c>
      <c r="I51" s="27">
        <f t="shared" ref="I51:I63" si="48">IFERROR(SUM((J51/H51)-1),0)</f>
        <v>0.001204819277</v>
      </c>
      <c r="J51" s="29">
        <f>J86*1000000</f>
        <v>831000000</v>
      </c>
      <c r="K51" s="27">
        <f t="shared" ref="K51:K63" si="49">IFERROR(SUM((L51/J51)-1),0)</f>
        <v>-0.02888086643</v>
      </c>
      <c r="L51" s="29">
        <f>L86*1000000</f>
        <v>807000000</v>
      </c>
      <c r="M51" s="27">
        <f t="shared" ref="M51:M63" si="50">IFERROR(SUM((N51/L51)-1),0)</f>
        <v>0.02973977695</v>
      </c>
      <c r="N51" s="29">
        <f>N86*1000000</f>
        <v>831000000</v>
      </c>
      <c r="O51" s="27">
        <f t="shared" ref="O51:O63" si="51">IFERROR(SUM((P51/N51)-1),0)</f>
        <v>0</v>
      </c>
      <c r="P51" s="29">
        <f>P86*1000000</f>
        <v>831000000</v>
      </c>
      <c r="Q51" s="27">
        <f t="shared" ref="Q51:Q63" si="52">IFERROR(SUM((R51/P51)-1),0)</f>
        <v>0</v>
      </c>
      <c r="R51" s="29">
        <f>R86*1000000</f>
        <v>831000000</v>
      </c>
      <c r="S51" s="27">
        <f t="shared" ref="S51:S63" si="53">IFERROR(SUM((T51/R51)-1),0)</f>
        <v>0</v>
      </c>
      <c r="T51" s="29">
        <f>T86*1000000</f>
        <v>831000000</v>
      </c>
      <c r="U51" s="27">
        <f t="shared" ref="U51:U63" si="54">IFERROR(SUM((V51/T51)-1),0)</f>
        <v>0</v>
      </c>
      <c r="V51" s="29">
        <f>V86*1000000</f>
        <v>831000000</v>
      </c>
      <c r="W51" s="27">
        <f t="shared" ref="W51:W58" si="55">IFERROR(SUM((X51/V51)-1),0)</f>
        <v>0</v>
      </c>
      <c r="X51" s="29">
        <f>X86*1000000</f>
        <v>831000000</v>
      </c>
      <c r="Y51" s="163"/>
      <c r="Z51" s="163"/>
      <c r="AA51" s="163"/>
    </row>
    <row r="52">
      <c r="A52" s="25" t="s">
        <v>75</v>
      </c>
      <c r="B52" s="26">
        <f>SUM(B51)</f>
        <v>842000000</v>
      </c>
      <c r="C52" s="27">
        <f t="shared" si="45"/>
        <v>-0.009501187648</v>
      </c>
      <c r="D52" s="26">
        <f>SUM(D51)</f>
        <v>834000000</v>
      </c>
      <c r="E52" s="27">
        <f t="shared" si="46"/>
        <v>-0.00479616307</v>
      </c>
      <c r="F52" s="26">
        <f>SUM(F51)</f>
        <v>830000000</v>
      </c>
      <c r="G52" s="27">
        <f t="shared" si="47"/>
        <v>0</v>
      </c>
      <c r="H52" s="26">
        <f>SUM(H51)</f>
        <v>830000000</v>
      </c>
      <c r="I52" s="27">
        <f t="shared" si="48"/>
        <v>0.001204819277</v>
      </c>
      <c r="J52" s="26">
        <f>SUM(J51)</f>
        <v>831000000</v>
      </c>
      <c r="K52" s="27">
        <f t="shared" si="49"/>
        <v>-0.02888086643</v>
      </c>
      <c r="L52" s="26">
        <f>SUM(L51)</f>
        <v>807000000</v>
      </c>
      <c r="M52" s="27">
        <f t="shared" si="50"/>
        <v>0.02973977695</v>
      </c>
      <c r="N52" s="26">
        <f>SUM(N51)</f>
        <v>831000000</v>
      </c>
      <c r="O52" s="27">
        <f t="shared" si="51"/>
        <v>0</v>
      </c>
      <c r="P52" s="26">
        <f>SUM(P51)</f>
        <v>831000000</v>
      </c>
      <c r="Q52" s="27">
        <f t="shared" si="52"/>
        <v>0</v>
      </c>
      <c r="R52" s="26">
        <f>SUM(R51)</f>
        <v>831000000</v>
      </c>
      <c r="S52" s="27">
        <f t="shared" si="53"/>
        <v>0</v>
      </c>
      <c r="T52" s="26">
        <f>SUM(T51)</f>
        <v>831000000</v>
      </c>
      <c r="U52" s="27">
        <f t="shared" si="54"/>
        <v>0</v>
      </c>
      <c r="V52" s="26">
        <f>SUM(V51)</f>
        <v>831000000</v>
      </c>
      <c r="W52" s="27">
        <f t="shared" si="55"/>
        <v>0</v>
      </c>
      <c r="X52" s="26">
        <f>SUM(X51)</f>
        <v>831000000</v>
      </c>
      <c r="Y52" s="163"/>
      <c r="Z52" s="163"/>
      <c r="AA52" s="163"/>
    </row>
    <row r="53">
      <c r="A53" s="1" t="s">
        <v>76</v>
      </c>
      <c r="B53" s="62">
        <f>(B26*1000)/B63</f>
        <v>0.0004427141268</v>
      </c>
      <c r="C53" s="31">
        <f t="shared" si="45"/>
        <v>-0.0280788474</v>
      </c>
      <c r="D53" s="62">
        <f>(D26*1000)/D63</f>
        <v>0.0004302832244</v>
      </c>
      <c r="E53" s="31">
        <f t="shared" si="46"/>
        <v>-0.002888163333</v>
      </c>
      <c r="F53" s="62">
        <f>(F26*1000)/F63</f>
        <v>0.0004290404962</v>
      </c>
      <c r="G53" s="31">
        <f t="shared" si="47"/>
        <v>-0.002435419019</v>
      </c>
      <c r="H53" s="62">
        <f>(H26*1000)/H63</f>
        <v>0.0004279956028</v>
      </c>
      <c r="I53" s="31">
        <f t="shared" si="48"/>
        <v>0.004416635996</v>
      </c>
      <c r="J53" s="62">
        <f>(J26*1000)/J63</f>
        <v>0.0004298859036</v>
      </c>
      <c r="K53" s="31">
        <f t="shared" si="49"/>
        <v>-0.07941188117</v>
      </c>
      <c r="L53" s="62">
        <f>(L26*1000)/L63</f>
        <v>0.0003957478553</v>
      </c>
      <c r="M53" s="31">
        <f t="shared" si="50"/>
        <v>0.1168708765</v>
      </c>
      <c r="N53" s="62">
        <f>(N26*1000)/N63</f>
        <v>0.000441999254</v>
      </c>
      <c r="O53" s="31">
        <f t="shared" si="51"/>
        <v>0</v>
      </c>
      <c r="P53" s="62">
        <f>(P26*1000)/P63</f>
        <v>0.000441999254</v>
      </c>
      <c r="Q53" s="31">
        <f t="shared" si="52"/>
        <v>0</v>
      </c>
      <c r="R53" s="62">
        <f>(R26*1000)/R63</f>
        <v>0.000441999254</v>
      </c>
      <c r="S53" s="31">
        <f t="shared" si="53"/>
        <v>0</v>
      </c>
      <c r="T53" s="62">
        <f>(T26*1000)/T63</f>
        <v>0.000441999254</v>
      </c>
      <c r="U53" s="31">
        <f t="shared" si="54"/>
        <v>0</v>
      </c>
      <c r="V53" s="62">
        <f>(V26*1000)/V63</f>
        <v>0.000441999254</v>
      </c>
      <c r="W53" s="31">
        <f t="shared" si="55"/>
        <v>0</v>
      </c>
      <c r="X53" s="62">
        <f>(X26*1000)/X63</f>
        <v>0.000441999254</v>
      </c>
      <c r="Y53" s="13"/>
    </row>
    <row r="54">
      <c r="A54" s="1" t="s">
        <v>77</v>
      </c>
      <c r="B54" s="31">
        <f>B52/B49</f>
        <v>0.2365890269</v>
      </c>
      <c r="C54" s="31">
        <f t="shared" si="45"/>
        <v>-0.02447458994</v>
      </c>
      <c r="D54" s="31">
        <f>D52/D49</f>
        <v>0.2307986075</v>
      </c>
      <c r="E54" s="31">
        <f t="shared" si="46"/>
        <v>-0.0002013179279</v>
      </c>
      <c r="F54" s="31">
        <f>F52/F49</f>
        <v>0.2307521436</v>
      </c>
      <c r="G54" s="31">
        <f t="shared" si="47"/>
        <v>0.003448389375</v>
      </c>
      <c r="H54" s="31">
        <f>H52/H49</f>
        <v>0.2315478668</v>
      </c>
      <c r="I54" s="31">
        <f t="shared" si="48"/>
        <v>0.004200692202</v>
      </c>
      <c r="J54" s="31">
        <f>J52/J49</f>
        <v>0.2325205281</v>
      </c>
      <c r="K54" s="31">
        <f t="shared" si="49"/>
        <v>-0.01225163521</v>
      </c>
      <c r="L54" s="31">
        <f>L52/L49</f>
        <v>0.2296717714</v>
      </c>
      <c r="M54" s="31">
        <f t="shared" si="50"/>
        <v>0.02280312072</v>
      </c>
      <c r="N54" s="31">
        <f>N52/N49</f>
        <v>0.2349090046</v>
      </c>
      <c r="O54" s="31">
        <f t="shared" si="51"/>
        <v>0</v>
      </c>
      <c r="P54" s="31">
        <f>P52/P49</f>
        <v>0.2349090046</v>
      </c>
      <c r="Q54" s="31">
        <f t="shared" si="52"/>
        <v>0</v>
      </c>
      <c r="R54" s="31">
        <f>R52/R49</f>
        <v>0.2349090046</v>
      </c>
      <c r="S54" s="31">
        <f t="shared" si="53"/>
        <v>0</v>
      </c>
      <c r="T54" s="31">
        <f>T52/T49</f>
        <v>0.2349090046</v>
      </c>
      <c r="U54" s="31">
        <f t="shared" si="54"/>
        <v>0</v>
      </c>
      <c r="V54" s="31">
        <f>V52/V49</f>
        <v>0.2349090046</v>
      </c>
      <c r="W54" s="31">
        <f t="shared" si="55"/>
        <v>0</v>
      </c>
      <c r="X54" s="31">
        <f>X52/X49</f>
        <v>0.2349090046</v>
      </c>
    </row>
    <row r="55">
      <c r="A55" s="1" t="s">
        <v>78</v>
      </c>
      <c r="B55" s="31">
        <f>B52/B63</f>
        <v>0.3121987393</v>
      </c>
      <c r="C55" s="31">
        <f t="shared" si="45"/>
        <v>-0.03000170773</v>
      </c>
      <c r="D55" s="31">
        <f>D52/D63</f>
        <v>0.302832244</v>
      </c>
      <c r="E55" s="31">
        <f t="shared" si="46"/>
        <v>-0.00007611568534</v>
      </c>
      <c r="F55" s="31">
        <f>F52/F63</f>
        <v>0.3028091937</v>
      </c>
      <c r="G55" s="31">
        <f t="shared" si="47"/>
        <v>0.004397215097</v>
      </c>
      <c r="H55" s="31">
        <f>H52/H63</f>
        <v>0.3041407109</v>
      </c>
      <c r="I55" s="31">
        <f t="shared" si="48"/>
        <v>0.005626776521</v>
      </c>
      <c r="J55" s="31">
        <f>J52/J63</f>
        <v>0.3058520427</v>
      </c>
      <c r="K55" s="31">
        <f t="shared" si="49"/>
        <v>-0.01584084822</v>
      </c>
      <c r="L55" s="31">
        <f>L52/L63</f>
        <v>0.3010070869</v>
      </c>
      <c r="M55" s="31">
        <f t="shared" si="50"/>
        <v>0.02973977695</v>
      </c>
      <c r="N55" s="31">
        <f>N52/N63</f>
        <v>0.3099589705</v>
      </c>
      <c r="O55" s="31">
        <f t="shared" si="51"/>
        <v>0</v>
      </c>
      <c r="P55" s="31">
        <f>P52/P63</f>
        <v>0.3099589705</v>
      </c>
      <c r="Q55" s="31">
        <f t="shared" si="52"/>
        <v>0</v>
      </c>
      <c r="R55" s="31">
        <f>R52/R63</f>
        <v>0.3099589705</v>
      </c>
      <c r="S55" s="31">
        <f t="shared" si="53"/>
        <v>0</v>
      </c>
      <c r="T55" s="31">
        <f>T52/T63</f>
        <v>0.3099589705</v>
      </c>
      <c r="U55" s="31">
        <f t="shared" si="54"/>
        <v>0</v>
      </c>
      <c r="V55" s="31">
        <f>V52/V63</f>
        <v>0.3099589705</v>
      </c>
      <c r="W55" s="31">
        <f t="shared" si="55"/>
        <v>0</v>
      </c>
      <c r="X55" s="31">
        <f>X52/X63</f>
        <v>0.3099589705</v>
      </c>
    </row>
    <row r="56">
      <c r="A56" s="4" t="s">
        <v>79</v>
      </c>
      <c r="B56" s="15">
        <f>B37*1000</f>
        <v>18526000</v>
      </c>
      <c r="C56" s="13">
        <f t="shared" si="45"/>
        <v>0.2955845838</v>
      </c>
      <c r="D56" s="15">
        <f>D37*1000</f>
        <v>24002000</v>
      </c>
      <c r="E56" s="13">
        <f t="shared" si="46"/>
        <v>0</v>
      </c>
      <c r="F56" s="15">
        <f>F37*1000</f>
        <v>24002000</v>
      </c>
      <c r="G56" s="13">
        <f t="shared" si="47"/>
        <v>0</v>
      </c>
      <c r="H56" s="15">
        <f>H37*1000</f>
        <v>24002000</v>
      </c>
      <c r="I56" s="13">
        <f t="shared" si="48"/>
        <v>0</v>
      </c>
      <c r="J56" s="15">
        <f>J37*1000</f>
        <v>24002000</v>
      </c>
      <c r="K56" s="13">
        <f t="shared" si="49"/>
        <v>0</v>
      </c>
      <c r="L56" s="15">
        <f>L37*1000</f>
        <v>24002000</v>
      </c>
      <c r="M56" s="13">
        <f t="shared" si="50"/>
        <v>0</v>
      </c>
      <c r="N56" s="15">
        <f>N37*1000</f>
        <v>24002000</v>
      </c>
      <c r="O56" s="13">
        <f t="shared" si="51"/>
        <v>0</v>
      </c>
      <c r="P56" s="15">
        <f>P37*1000</f>
        <v>24002000</v>
      </c>
      <c r="Q56" s="13">
        <f t="shared" si="52"/>
        <v>0</v>
      </c>
      <c r="R56" s="15">
        <f>R37*1000</f>
        <v>24002000</v>
      </c>
      <c r="S56" s="13">
        <f t="shared" si="53"/>
        <v>0</v>
      </c>
      <c r="T56" s="15">
        <f>T37*1000</f>
        <v>24002000</v>
      </c>
      <c r="U56" s="13">
        <f t="shared" si="54"/>
        <v>0</v>
      </c>
      <c r="V56" s="15">
        <f>V37*1000</f>
        <v>24002000</v>
      </c>
      <c r="W56" s="13">
        <f t="shared" si="55"/>
        <v>0</v>
      </c>
      <c r="X56" s="15">
        <f>X37*1000</f>
        <v>24002000</v>
      </c>
    </row>
    <row r="57">
      <c r="A57" s="4" t="s">
        <v>80</v>
      </c>
      <c r="B57" s="15">
        <f>B22*1000</f>
        <v>1388000</v>
      </c>
      <c r="C57" s="13">
        <f t="shared" si="45"/>
        <v>0.1080691643</v>
      </c>
      <c r="D57" s="15">
        <f>D22*1000</f>
        <v>1538000</v>
      </c>
      <c r="E57" s="13">
        <f t="shared" si="46"/>
        <v>0.255526658</v>
      </c>
      <c r="F57" s="15">
        <f>F22*1000</f>
        <v>1931000</v>
      </c>
      <c r="G57" s="13">
        <f t="shared" si="47"/>
        <v>-0.186949767</v>
      </c>
      <c r="H57" s="15">
        <f>H22*1000</f>
        <v>1570000</v>
      </c>
      <c r="I57" s="13">
        <f t="shared" si="48"/>
        <v>0.1949044586</v>
      </c>
      <c r="J57" s="15">
        <f>J22*1000</f>
        <v>1876000</v>
      </c>
      <c r="K57" s="13">
        <f t="shared" si="49"/>
        <v>-0.08955223881</v>
      </c>
      <c r="L57" s="15">
        <f>L22*1000</f>
        <v>1708000</v>
      </c>
      <c r="M57" s="13">
        <f t="shared" si="50"/>
        <v>-0.09953161593</v>
      </c>
      <c r="N57" s="15">
        <f>N22*1000</f>
        <v>1538000</v>
      </c>
      <c r="O57" s="13">
        <f t="shared" si="51"/>
        <v>0</v>
      </c>
      <c r="P57" s="15">
        <f>P22*1000</f>
        <v>1538000</v>
      </c>
      <c r="Q57" s="13">
        <f t="shared" si="52"/>
        <v>0</v>
      </c>
      <c r="R57" s="15">
        <f>R22*1000</f>
        <v>1538000</v>
      </c>
      <c r="S57" s="13">
        <f t="shared" si="53"/>
        <v>0</v>
      </c>
      <c r="T57" s="15">
        <f>T22*1000</f>
        <v>1538000</v>
      </c>
      <c r="U57" s="13">
        <f t="shared" si="54"/>
        <v>0</v>
      </c>
      <c r="V57" s="15">
        <f>V22*1000</f>
        <v>1538000</v>
      </c>
      <c r="W57" s="13">
        <f t="shared" si="55"/>
        <v>0</v>
      </c>
      <c r="X57" s="15">
        <f>X22*1000</f>
        <v>1538000</v>
      </c>
    </row>
    <row r="58">
      <c r="A58" s="1" t="s">
        <v>81</v>
      </c>
      <c r="B58" s="62">
        <f>IFERROR(B57/(B32*1000),0)</f>
        <v>0.09334229993</v>
      </c>
      <c r="C58" s="31">
        <f t="shared" si="45"/>
        <v>0.1025084291</v>
      </c>
      <c r="D58" s="62">
        <f>IFERROR(D57/(D32*1000),0)</f>
        <v>0.1029106725</v>
      </c>
      <c r="E58" s="31">
        <f t="shared" si="46"/>
        <v>0.2631333493</v>
      </c>
      <c r="F58" s="62">
        <f>IFERROR(F57/(F32*1000),0)</f>
        <v>0.1299899024</v>
      </c>
      <c r="G58" s="31">
        <f t="shared" si="47"/>
        <v>-0.2054561403</v>
      </c>
      <c r="H58" s="62">
        <f>IFERROR(H57/(H32*1000),0)</f>
        <v>0.1032826788</v>
      </c>
      <c r="I58" s="31">
        <f t="shared" si="48"/>
        <v>0.2709917203</v>
      </c>
      <c r="J58" s="62">
        <f>IFERROR(J57/(J32*1000),0)</f>
        <v>0.1312714296</v>
      </c>
      <c r="K58" s="31">
        <f t="shared" si="49"/>
        <v>-0.1414010192</v>
      </c>
      <c r="L58" s="62">
        <f>IFERROR(L57/(L32*1000),0)</f>
        <v>0.1127095156</v>
      </c>
      <c r="M58" s="31">
        <f t="shared" si="50"/>
        <v>-0.08693891654</v>
      </c>
      <c r="N58" s="62">
        <f>IFERROR(N57/(N32*1000),0)</f>
        <v>0.1029106725</v>
      </c>
      <c r="O58" s="31">
        <f t="shared" si="51"/>
        <v>0</v>
      </c>
      <c r="P58" s="62">
        <f>IFERROR(P57/(P32*1000),0)</f>
        <v>0.1029106725</v>
      </c>
      <c r="Q58" s="31">
        <f t="shared" si="52"/>
        <v>0</v>
      </c>
      <c r="R58" s="62">
        <f>IFERROR(R57/(R32*1000),0)</f>
        <v>0.1029106725</v>
      </c>
      <c r="S58" s="31">
        <f t="shared" si="53"/>
        <v>0</v>
      </c>
      <c r="T58" s="62">
        <f>IFERROR(T57/(T32*1000),0)</f>
        <v>0.1029106725</v>
      </c>
      <c r="U58" s="31">
        <f t="shared" si="54"/>
        <v>0</v>
      </c>
      <c r="V58" s="62">
        <f>IFERROR(V57/(V32*1000),0)</f>
        <v>0.1029106725</v>
      </c>
      <c r="W58" s="31">
        <f t="shared" si="55"/>
        <v>0</v>
      </c>
      <c r="X58" s="62">
        <f>IFERROR(X57/(X32*1000),0)</f>
        <v>0.1029106725</v>
      </c>
      <c r="Y58" s="13"/>
    </row>
    <row r="59">
      <c r="A59" s="25" t="s">
        <v>82</v>
      </c>
      <c r="B59" s="63">
        <f>IFERROR(B57/(B83*B39),0)*12</f>
        <v>0.008228497709</v>
      </c>
      <c r="C59" s="27">
        <f t="shared" si="45"/>
        <v>-0.11763102</v>
      </c>
      <c r="D59" s="63">
        <f>IFERROR(D57/(D83*D39),0)*12</f>
        <v>0.00726057113</v>
      </c>
      <c r="E59" s="27">
        <f t="shared" si="46"/>
        <v>0.2862563314</v>
      </c>
      <c r="F59" s="63">
        <f>IFERROR(F57/(F83*F39),0)*12</f>
        <v>0.009338955586</v>
      </c>
      <c r="G59" s="27">
        <f t="shared" si="47"/>
        <v>-0.1850501169</v>
      </c>
      <c r="H59" s="63">
        <f>IFERROR(H57/(H83*H39),0)*12</f>
        <v>0.007610780764</v>
      </c>
      <c r="I59" s="27">
        <f t="shared" si="48"/>
        <v>0.2118936215</v>
      </c>
      <c r="J59" s="63">
        <f>IFERROR(J57/(J83*J39),0)*12</f>
        <v>0.009223456662</v>
      </c>
      <c r="K59" s="27">
        <f t="shared" si="49"/>
        <v>-0.0797390294</v>
      </c>
      <c r="L59" s="63">
        <f>IFERROR(L57/(L83*L39),0)*12</f>
        <v>0.00848798718</v>
      </c>
      <c r="M59" s="27">
        <f t="shared" si="50"/>
        <v>-0.1091337669</v>
      </c>
      <c r="N59" s="63">
        <f>IFERROR(N57/(N83*N39),0)*12</f>
        <v>0.007561661166</v>
      </c>
      <c r="O59" s="27">
        <f t="shared" si="51"/>
        <v>0</v>
      </c>
      <c r="P59" s="63">
        <f>IFERROR(P57/(P83*P39),0)*12</f>
        <v>0.007561661166</v>
      </c>
      <c r="Q59" s="27">
        <f t="shared" si="52"/>
        <v>0</v>
      </c>
      <c r="R59" s="63">
        <f>IFERROR(R57/(R83*R39),0)*12</f>
        <v>0.007561661166</v>
      </c>
      <c r="S59" s="27">
        <f t="shared" si="53"/>
        <v>0</v>
      </c>
      <c r="T59" s="63">
        <f>IFERROR(T57/(T83*T39),0)*12</f>
        <v>0.007561661166</v>
      </c>
      <c r="U59" s="27">
        <f t="shared" si="54"/>
        <v>0</v>
      </c>
      <c r="V59" s="63">
        <f>IFERROR(V57/(V83*V39),0)*12</f>
        <v>0.007561661166</v>
      </c>
      <c r="W59" s="27">
        <f>IFERROR(SUM((X59/V63)-1),0)</f>
        <v>-1</v>
      </c>
      <c r="X59" s="63">
        <f>IFERROR(X57/(X83*X39),0)*12</f>
        <v>0.007561661166</v>
      </c>
    </row>
    <row r="60">
      <c r="A60" s="25" t="s">
        <v>84</v>
      </c>
      <c r="B60" s="24">
        <f>SUM(B56,B52,B57)</f>
        <v>861914000</v>
      </c>
      <c r="C60" s="13">
        <f t="shared" si="45"/>
        <v>-0.002754335119</v>
      </c>
      <c r="D60" s="24">
        <f>SUM(D56,D52,D57)</f>
        <v>859540000</v>
      </c>
      <c r="E60" s="13">
        <f t="shared" si="46"/>
        <v>-0.004196430649</v>
      </c>
      <c r="F60" s="24">
        <f>SUM(F56,F52,F57)</f>
        <v>855933000</v>
      </c>
      <c r="G60" s="13">
        <f t="shared" si="47"/>
        <v>-0.0004217619837</v>
      </c>
      <c r="H60" s="24">
        <f>SUM(H56,H52,H57)</f>
        <v>855572000</v>
      </c>
      <c r="I60" s="13">
        <f t="shared" si="48"/>
        <v>0.001526464167</v>
      </c>
      <c r="J60" s="24">
        <f>SUM(J56,J52,J57)</f>
        <v>856878000</v>
      </c>
      <c r="K60" s="13">
        <f t="shared" si="49"/>
        <v>-0.02820471526</v>
      </c>
      <c r="L60" s="24">
        <f>SUM(L56,L52,L57)</f>
        <v>832710000</v>
      </c>
      <c r="M60" s="13">
        <f t="shared" si="50"/>
        <v>0.02861740582</v>
      </c>
      <c r="N60" s="24">
        <f>SUM(N56,N52,N57)</f>
        <v>856540000</v>
      </c>
      <c r="O60" s="13">
        <f t="shared" si="51"/>
        <v>0</v>
      </c>
      <c r="P60" s="24">
        <f>SUM(P56,P52,P57)</f>
        <v>856540000</v>
      </c>
      <c r="Q60" s="13">
        <f t="shared" si="52"/>
        <v>0</v>
      </c>
      <c r="R60" s="24">
        <f>SUM(R56,R52,R57)</f>
        <v>856540000</v>
      </c>
      <c r="S60" s="13">
        <f t="shared" si="53"/>
        <v>0</v>
      </c>
      <c r="T60" s="24">
        <f>SUM(T56,T52,T57)</f>
        <v>856540000</v>
      </c>
      <c r="U60" s="13">
        <f t="shared" si="54"/>
        <v>0</v>
      </c>
      <c r="V60" s="24">
        <f>SUM(V56,V52,V57)</f>
        <v>856540000</v>
      </c>
      <c r="W60" s="13">
        <f t="shared" ref="W60:W63" si="56">IFERROR(SUM((X60/V60)-1),0)</f>
        <v>0</v>
      </c>
      <c r="X60" s="24">
        <f>SUM(X56,X52,X57)</f>
        <v>856540000</v>
      </c>
    </row>
    <row r="61">
      <c r="A61" s="4" t="s">
        <v>85</v>
      </c>
      <c r="B61" s="13">
        <f>(B49/B63)-1</f>
        <v>0.3195824991</v>
      </c>
      <c r="C61" s="13">
        <f t="shared" si="45"/>
        <v>-0.02339449594</v>
      </c>
      <c r="D61" s="13">
        <f>(D49/D63)-1</f>
        <v>0.3121060276</v>
      </c>
      <c r="E61" s="13">
        <f t="shared" si="46"/>
        <v>0.0005264611429</v>
      </c>
      <c r="F61" s="13">
        <f>(F49/F63)-1</f>
        <v>0.3122703393</v>
      </c>
      <c r="G61" s="13">
        <f t="shared" si="47"/>
        <v>0.003973598535</v>
      </c>
      <c r="H61" s="13">
        <f>(H49/H63)-1</f>
        <v>0.3135111763</v>
      </c>
      <c r="I61" s="13">
        <f t="shared" si="48"/>
        <v>0.005949841999</v>
      </c>
      <c r="J61" s="13">
        <f>(J49/J63)-1</f>
        <v>0.3153765182</v>
      </c>
      <c r="K61" s="13">
        <f t="shared" si="49"/>
        <v>-0.01515561781</v>
      </c>
      <c r="L61" s="13">
        <f>(L49/L63)-1</f>
        <v>0.3105967922</v>
      </c>
      <c r="M61" s="13">
        <f t="shared" si="50"/>
        <v>0.02861740582</v>
      </c>
      <c r="N61" s="13">
        <f>(N49/N63)-1</f>
        <v>0.3194852667</v>
      </c>
      <c r="O61" s="13">
        <f t="shared" si="51"/>
        <v>0</v>
      </c>
      <c r="P61" s="13">
        <f>(P49/P63)-1</f>
        <v>0.3194852667</v>
      </c>
      <c r="Q61" s="13">
        <f t="shared" si="52"/>
        <v>0</v>
      </c>
      <c r="R61" s="13">
        <f>(R49/R63)-1</f>
        <v>0.3194852667</v>
      </c>
      <c r="S61" s="13">
        <f t="shared" si="53"/>
        <v>0</v>
      </c>
      <c r="T61" s="13">
        <f>(T49/T63)-1</f>
        <v>0.3194852667</v>
      </c>
      <c r="U61" s="13">
        <f t="shared" si="54"/>
        <v>0</v>
      </c>
      <c r="V61" s="13">
        <f>(V49/V63)-1</f>
        <v>0.3194852667</v>
      </c>
      <c r="W61" s="13">
        <f t="shared" si="56"/>
        <v>0</v>
      </c>
      <c r="X61" s="13">
        <f>(X49/X63)-1</f>
        <v>0.3194852667</v>
      </c>
    </row>
    <row r="62">
      <c r="A62" s="1" t="s">
        <v>86</v>
      </c>
      <c r="B62" s="69">
        <f>B32/B26</f>
        <v>12.45393635</v>
      </c>
      <c r="C62" s="13">
        <f t="shared" si="45"/>
        <v>0.01267695556</v>
      </c>
      <c r="D62" s="69">
        <f>D32/D26</f>
        <v>12.61181435</v>
      </c>
      <c r="E62" s="13">
        <f t="shared" si="46"/>
        <v>0.001584892907</v>
      </c>
      <c r="F62" s="69">
        <f>F32/F26</f>
        <v>12.63180272</v>
      </c>
      <c r="G62" s="13">
        <f t="shared" si="47"/>
        <v>0.03030066902</v>
      </c>
      <c r="H62" s="69">
        <f>H32/H26</f>
        <v>13.01455479</v>
      </c>
      <c r="I62" s="13">
        <f t="shared" si="48"/>
        <v>-0.0598644826</v>
      </c>
      <c r="J62" s="69">
        <f>J32/J26</f>
        <v>12.23544521</v>
      </c>
      <c r="K62" s="13">
        <f t="shared" si="49"/>
        <v>0.1673259028</v>
      </c>
      <c r="L62" s="69">
        <f>L32/L26</f>
        <v>14.28275212</v>
      </c>
      <c r="M62" s="13">
        <f t="shared" si="50"/>
        <v>-0.1169899023</v>
      </c>
      <c r="N62" s="69">
        <f>N32/N26</f>
        <v>12.61181435</v>
      </c>
      <c r="O62" s="13">
        <f t="shared" si="51"/>
        <v>0</v>
      </c>
      <c r="P62" s="69">
        <f>P32/P26</f>
        <v>12.61181435</v>
      </c>
      <c r="Q62" s="13">
        <f t="shared" si="52"/>
        <v>0</v>
      </c>
      <c r="R62" s="69">
        <f>R32/R26</f>
        <v>12.61181435</v>
      </c>
      <c r="S62" s="13">
        <f t="shared" si="53"/>
        <v>0</v>
      </c>
      <c r="T62" s="69">
        <f>T32/T26</f>
        <v>12.61181435</v>
      </c>
      <c r="U62" s="13">
        <f t="shared" si="54"/>
        <v>0</v>
      </c>
      <c r="V62" s="69">
        <f>V32/V26</f>
        <v>12.61181435</v>
      </c>
      <c r="W62" s="13">
        <f t="shared" si="56"/>
        <v>0</v>
      </c>
      <c r="X62" s="69">
        <f>X32/X26</f>
        <v>12.61181435</v>
      </c>
    </row>
    <row r="63">
      <c r="A63" s="28" t="s">
        <v>87</v>
      </c>
      <c r="B63" s="22">
        <f>B87*1000000</f>
        <v>2697000000</v>
      </c>
      <c r="C63" s="13">
        <f t="shared" si="45"/>
        <v>0.02113459399</v>
      </c>
      <c r="D63" s="22">
        <f>D87*1000000</f>
        <v>2754000000</v>
      </c>
      <c r="E63" s="13">
        <f t="shared" si="46"/>
        <v>-0.004720406681</v>
      </c>
      <c r="F63" s="22">
        <f>F87*1000000</f>
        <v>2741000000</v>
      </c>
      <c r="G63" s="13">
        <f t="shared" si="47"/>
        <v>-0.004377964247</v>
      </c>
      <c r="H63" s="22">
        <f>H87*1000000</f>
        <v>2729000000</v>
      </c>
      <c r="I63" s="13">
        <f t="shared" si="48"/>
        <v>-0.004397215097</v>
      </c>
      <c r="J63" s="22">
        <f>J87*1000000</f>
        <v>2717000000</v>
      </c>
      <c r="K63" s="13">
        <f t="shared" si="49"/>
        <v>-0.01324990799</v>
      </c>
      <c r="L63" s="22">
        <f>L87*1000000</f>
        <v>2681000000</v>
      </c>
      <c r="M63" s="13">
        <f t="shared" si="50"/>
        <v>0</v>
      </c>
      <c r="N63" s="22">
        <f>N87*1000000</f>
        <v>2681000000</v>
      </c>
      <c r="O63" s="13">
        <f t="shared" si="51"/>
        <v>0</v>
      </c>
      <c r="P63" s="22">
        <f>P87*1000000</f>
        <v>2681000000</v>
      </c>
      <c r="Q63" s="13">
        <f t="shared" si="52"/>
        <v>0</v>
      </c>
      <c r="R63" s="22">
        <f>R87*1000000</f>
        <v>2681000000</v>
      </c>
      <c r="S63" s="13">
        <f t="shared" si="53"/>
        <v>0</v>
      </c>
      <c r="T63" s="22">
        <f>T87*1000000</f>
        <v>2681000000</v>
      </c>
      <c r="U63" s="13">
        <f t="shared" si="54"/>
        <v>0</v>
      </c>
      <c r="V63" s="22">
        <f>V87*1000000</f>
        <v>2681000000</v>
      </c>
      <c r="W63" s="13">
        <f t="shared" si="56"/>
        <v>0</v>
      </c>
      <c r="X63" s="22">
        <f>X87*1000000</f>
        <v>2681000000</v>
      </c>
    </row>
    <row r="64">
      <c r="A64" s="52"/>
      <c r="B64" s="2" t="s">
        <v>1</v>
      </c>
      <c r="C64" s="3">
        <f>$C$1</f>
        <v>46065</v>
      </c>
      <c r="D64" s="2" t="s">
        <v>1</v>
      </c>
      <c r="E64" s="3">
        <f>$E$1</f>
        <v>46080</v>
      </c>
      <c r="F64" s="2" t="s">
        <v>1</v>
      </c>
      <c r="G64" s="3">
        <f>$G$1</f>
        <v>46114</v>
      </c>
      <c r="H64" s="2" t="s">
        <v>1</v>
      </c>
      <c r="I64" s="3">
        <f>$I$1</f>
        <v>46150</v>
      </c>
      <c r="J64" s="2" t="s">
        <v>1</v>
      </c>
      <c r="K64" s="3">
        <f>$K$1</f>
        <v>46176</v>
      </c>
      <c r="L64" s="2" t="s">
        <v>2</v>
      </c>
      <c r="M64" s="3">
        <f>$M$1</f>
        <v>46205</v>
      </c>
      <c r="N64" s="2" t="s">
        <v>3</v>
      </c>
      <c r="O64" s="3">
        <f>$O$1</f>
        <v>46195</v>
      </c>
      <c r="P64" s="2" t="s">
        <v>3</v>
      </c>
      <c r="Q64" s="3">
        <f>$Q$1</f>
        <v>46195</v>
      </c>
      <c r="R64" s="2" t="s">
        <v>3</v>
      </c>
      <c r="S64" s="3">
        <f>$S$1</f>
        <v>46195</v>
      </c>
      <c r="T64" s="2" t="s">
        <v>3</v>
      </c>
      <c r="U64" s="3">
        <f>$U$1</f>
        <v>46195</v>
      </c>
      <c r="V64" s="2" t="s">
        <v>3</v>
      </c>
      <c r="W64" s="3">
        <f>$W$1</f>
        <v>46195</v>
      </c>
      <c r="X64" s="2" t="s">
        <v>3</v>
      </c>
      <c r="Y64" s="3">
        <f>$Y$1</f>
        <v>46195</v>
      </c>
    </row>
    <row r="65">
      <c r="A65" s="1" t="s">
        <v>88</v>
      </c>
      <c r="B65" s="1" t="s">
        <v>5</v>
      </c>
      <c r="C65" s="53"/>
      <c r="D65" s="54" t="s">
        <v>6</v>
      </c>
      <c r="E65" s="55"/>
      <c r="F65" s="54" t="s">
        <v>7</v>
      </c>
      <c r="G65" s="55"/>
      <c r="H65" s="54" t="s">
        <v>8</v>
      </c>
      <c r="I65" s="55"/>
      <c r="J65" s="54" t="s">
        <v>9</v>
      </c>
      <c r="K65" s="55"/>
      <c r="L65" s="54" t="s">
        <v>10</v>
      </c>
      <c r="M65" s="55"/>
      <c r="N65" s="54" t="s">
        <v>11</v>
      </c>
      <c r="O65" s="55"/>
      <c r="P65" s="1" t="s">
        <v>12</v>
      </c>
      <c r="Q65" s="53"/>
      <c r="R65" s="1" t="s">
        <v>13</v>
      </c>
      <c r="S65" s="53"/>
      <c r="T65" s="1" t="s">
        <v>14</v>
      </c>
      <c r="U65" s="53"/>
      <c r="V65" s="1" t="s">
        <v>15</v>
      </c>
      <c r="W65" s="53"/>
      <c r="X65" s="1" t="s">
        <v>16</v>
      </c>
      <c r="Y65" s="15"/>
    </row>
    <row r="66">
      <c r="A66" s="4" t="s">
        <v>89</v>
      </c>
      <c r="B66" s="4">
        <v>33.0</v>
      </c>
      <c r="C66" s="13">
        <f t="shared" ref="C66:C73" si="57">IFERROR(SUM((D66/B66)-1),0)</f>
        <v>0</v>
      </c>
      <c r="D66" s="4">
        <v>33.0</v>
      </c>
      <c r="E66" s="13">
        <f t="shared" ref="E66:E73" si="58">IFERROR(SUM((F66/D66)-1),0)</f>
        <v>0</v>
      </c>
      <c r="F66" s="4">
        <v>33.0</v>
      </c>
      <c r="G66" s="13">
        <f t="shared" ref="G66:G73" si="59">IFERROR(SUM((H66/F66)-1),0)</f>
        <v>0</v>
      </c>
      <c r="H66" s="4">
        <v>33.0</v>
      </c>
      <c r="I66" s="13">
        <f t="shared" ref="I66:I73" si="60">IFERROR(SUM((J66/H66)-1),0)</f>
        <v>0</v>
      </c>
      <c r="J66" s="4">
        <v>33.0</v>
      </c>
      <c r="K66" s="13">
        <f t="shared" ref="K66:K73" si="61">IFERROR(SUM((L66/J66)-1),0)</f>
        <v>0</v>
      </c>
      <c r="L66" s="4">
        <v>33.0</v>
      </c>
      <c r="M66" s="13">
        <f t="shared" ref="M66:M73" si="62">IFERROR(SUM((N66/L66)-1),0)</f>
        <v>0</v>
      </c>
      <c r="N66" s="4">
        <v>33.0</v>
      </c>
      <c r="O66" s="13">
        <f t="shared" ref="O66:O73" si="63">IFERROR(SUM((P66/N66)-1),0)</f>
        <v>0</v>
      </c>
      <c r="P66" s="4">
        <v>33.0</v>
      </c>
      <c r="Q66" s="13">
        <f t="shared" ref="Q66:Q73" si="64">IFERROR(SUM((R66/P66)-1),0)</f>
        <v>0</v>
      </c>
      <c r="R66" s="4">
        <v>33.0</v>
      </c>
      <c r="S66" s="13">
        <f t="shared" ref="S66:S73" si="65">IFERROR(SUM((T66/R66)-1),0)</f>
        <v>0</v>
      </c>
      <c r="T66" s="4">
        <v>33.0</v>
      </c>
      <c r="U66" s="13">
        <f t="shared" ref="U66:U73" si="66">IFERROR(SUM((V66/T66)-1),0)</f>
        <v>0</v>
      </c>
      <c r="V66" s="4">
        <v>33.0</v>
      </c>
      <c r="W66" s="13">
        <f t="shared" ref="W66:W73" si="67">IFERROR(SUM((X66/V66)-1),0)</f>
        <v>0</v>
      </c>
      <c r="X66" s="4">
        <v>33.0</v>
      </c>
      <c r="Y66" s="15"/>
    </row>
    <row r="67">
      <c r="A67" s="44" t="s">
        <v>90</v>
      </c>
      <c r="B67" s="15">
        <v>11.0</v>
      </c>
      <c r="C67" s="13">
        <f t="shared" si="57"/>
        <v>0</v>
      </c>
      <c r="D67" s="15">
        <v>11.0</v>
      </c>
      <c r="E67" s="13">
        <f t="shared" si="58"/>
        <v>0</v>
      </c>
      <c r="F67" s="15">
        <v>11.0</v>
      </c>
      <c r="G67" s="13">
        <f t="shared" si="59"/>
        <v>0</v>
      </c>
      <c r="H67" s="15">
        <v>11.0</v>
      </c>
      <c r="I67" s="13">
        <f t="shared" si="60"/>
        <v>0</v>
      </c>
      <c r="J67" s="15">
        <v>11.0</v>
      </c>
      <c r="K67" s="13">
        <f t="shared" si="61"/>
        <v>0</v>
      </c>
      <c r="L67" s="15">
        <v>11.0</v>
      </c>
      <c r="M67" s="13">
        <f t="shared" si="62"/>
        <v>0</v>
      </c>
      <c r="N67" s="15">
        <v>11.0</v>
      </c>
      <c r="O67" s="13">
        <f t="shared" si="63"/>
        <v>0</v>
      </c>
      <c r="P67" s="15">
        <v>11.0</v>
      </c>
      <c r="Q67" s="13">
        <f t="shared" si="64"/>
        <v>0</v>
      </c>
      <c r="R67" s="15">
        <v>11.0</v>
      </c>
      <c r="S67" s="13">
        <f t="shared" si="65"/>
        <v>0</v>
      </c>
      <c r="T67" s="15">
        <v>11.0</v>
      </c>
      <c r="U67" s="13">
        <f t="shared" si="66"/>
        <v>0</v>
      </c>
      <c r="V67" s="15">
        <v>11.0</v>
      </c>
      <c r="W67" s="13">
        <f t="shared" si="67"/>
        <v>0</v>
      </c>
      <c r="X67" s="15">
        <v>11.0</v>
      </c>
      <c r="Y67" s="15"/>
    </row>
    <row r="68">
      <c r="A68" s="4" t="s">
        <v>94</v>
      </c>
      <c r="B68" s="15">
        <v>0.0</v>
      </c>
      <c r="C68" s="13">
        <f t="shared" si="57"/>
        <v>0</v>
      </c>
      <c r="D68" s="15">
        <v>0.0</v>
      </c>
      <c r="E68" s="13">
        <f t="shared" si="58"/>
        <v>0</v>
      </c>
      <c r="F68" s="15">
        <v>0.0</v>
      </c>
      <c r="G68" s="13">
        <f t="shared" si="59"/>
        <v>0</v>
      </c>
      <c r="H68" s="15">
        <v>0.0</v>
      </c>
      <c r="I68" s="13">
        <f t="shared" si="60"/>
        <v>0</v>
      </c>
      <c r="J68" s="15">
        <v>0.0</v>
      </c>
      <c r="K68" s="13">
        <f t="shared" si="61"/>
        <v>0</v>
      </c>
      <c r="L68" s="15">
        <v>0.0</v>
      </c>
      <c r="M68" s="13">
        <f t="shared" si="62"/>
        <v>0</v>
      </c>
      <c r="N68" s="15">
        <v>0.0</v>
      </c>
      <c r="O68" s="13">
        <f t="shared" si="63"/>
        <v>0</v>
      </c>
      <c r="P68" s="15">
        <v>0.0</v>
      </c>
      <c r="Q68" s="13">
        <f t="shared" si="64"/>
        <v>0</v>
      </c>
      <c r="R68" s="15">
        <v>0.0</v>
      </c>
      <c r="S68" s="13">
        <f t="shared" si="65"/>
        <v>0</v>
      </c>
      <c r="T68" s="15">
        <v>0.0</v>
      </c>
      <c r="U68" s="13">
        <f t="shared" si="66"/>
        <v>0</v>
      </c>
      <c r="V68" s="15">
        <v>0.0</v>
      </c>
      <c r="W68" s="13">
        <f t="shared" si="67"/>
        <v>0</v>
      </c>
      <c r="X68" s="15">
        <v>0.0</v>
      </c>
      <c r="Y68" s="15"/>
    </row>
    <row r="69">
      <c r="A69" s="4" t="s">
        <v>91</v>
      </c>
      <c r="B69" s="58">
        <v>463.6</v>
      </c>
      <c r="C69" s="13">
        <f t="shared" si="57"/>
        <v>0</v>
      </c>
      <c r="D69" s="58">
        <v>463.6</v>
      </c>
      <c r="E69" s="13">
        <f t="shared" si="58"/>
        <v>0</v>
      </c>
      <c r="F69" s="58">
        <v>463.6</v>
      </c>
      <c r="G69" s="13">
        <f t="shared" si="59"/>
        <v>0</v>
      </c>
      <c r="H69" s="58">
        <v>463.6</v>
      </c>
      <c r="I69" s="13">
        <f t="shared" si="60"/>
        <v>0</v>
      </c>
      <c r="J69" s="58">
        <v>463.6</v>
      </c>
      <c r="K69" s="13">
        <f t="shared" si="61"/>
        <v>0.0004314063848</v>
      </c>
      <c r="L69" s="58">
        <v>463.8</v>
      </c>
      <c r="M69" s="13">
        <f t="shared" si="62"/>
        <v>-0.0004312203536</v>
      </c>
      <c r="N69" s="58">
        <v>463.6</v>
      </c>
      <c r="O69" s="13">
        <f t="shared" si="63"/>
        <v>0</v>
      </c>
      <c r="P69" s="58">
        <v>463.6</v>
      </c>
      <c r="Q69" s="13">
        <f t="shared" si="64"/>
        <v>0</v>
      </c>
      <c r="R69" s="58">
        <v>463.6</v>
      </c>
      <c r="S69" s="13">
        <f t="shared" si="65"/>
        <v>0</v>
      </c>
      <c r="T69" s="58">
        <v>463.6</v>
      </c>
      <c r="U69" s="13">
        <f t="shared" si="66"/>
        <v>0</v>
      </c>
      <c r="V69" s="58">
        <v>463.6</v>
      </c>
      <c r="W69" s="13">
        <f t="shared" si="67"/>
        <v>0</v>
      </c>
      <c r="X69" s="58">
        <v>463.6</v>
      </c>
    </row>
    <row r="70">
      <c r="A70" s="4" t="s">
        <v>95</v>
      </c>
      <c r="B70" s="15">
        <v>10.5</v>
      </c>
      <c r="C70" s="13">
        <f t="shared" si="57"/>
        <v>0</v>
      </c>
      <c r="D70" s="15">
        <v>10.5</v>
      </c>
      <c r="E70" s="13">
        <f t="shared" si="58"/>
        <v>-0.03047619048</v>
      </c>
      <c r="F70" s="15">
        <v>10.18</v>
      </c>
      <c r="G70" s="13">
        <f t="shared" si="59"/>
        <v>-0.006876227898</v>
      </c>
      <c r="H70" s="15">
        <v>10.11</v>
      </c>
      <c r="I70" s="13">
        <f t="shared" si="60"/>
        <v>-0.008902077151</v>
      </c>
      <c r="J70" s="15">
        <v>10.02</v>
      </c>
      <c r="K70" s="13">
        <f t="shared" si="61"/>
        <v>-0.006986027944</v>
      </c>
      <c r="L70" s="15">
        <v>9.95</v>
      </c>
      <c r="M70" s="13">
        <f t="shared" si="62"/>
        <v>0.007035175879</v>
      </c>
      <c r="N70" s="15">
        <v>10.02</v>
      </c>
      <c r="O70" s="13">
        <f t="shared" si="63"/>
        <v>0</v>
      </c>
      <c r="P70" s="15">
        <v>10.02</v>
      </c>
      <c r="Q70" s="13">
        <f t="shared" si="64"/>
        <v>0</v>
      </c>
      <c r="R70" s="15">
        <v>10.02</v>
      </c>
      <c r="S70" s="13">
        <f t="shared" si="65"/>
        <v>0</v>
      </c>
      <c r="T70" s="15">
        <v>10.02</v>
      </c>
      <c r="U70" s="13">
        <f t="shared" si="66"/>
        <v>0</v>
      </c>
      <c r="V70" s="15">
        <v>10.02</v>
      </c>
      <c r="W70" s="13">
        <f t="shared" si="67"/>
        <v>0</v>
      </c>
      <c r="X70" s="15">
        <v>10.02</v>
      </c>
    </row>
    <row r="71">
      <c r="A71" s="73" t="s">
        <v>97</v>
      </c>
      <c r="B71" s="73">
        <v>0.0</v>
      </c>
      <c r="C71" s="74">
        <f t="shared" si="57"/>
        <v>0</v>
      </c>
      <c r="D71" s="73">
        <v>0.0</v>
      </c>
      <c r="E71" s="74">
        <f t="shared" si="58"/>
        <v>0</v>
      </c>
      <c r="F71" s="73">
        <v>0.0</v>
      </c>
      <c r="G71" s="74">
        <f t="shared" si="59"/>
        <v>0</v>
      </c>
      <c r="H71" s="73">
        <v>0.0</v>
      </c>
      <c r="I71" s="74">
        <f t="shared" si="60"/>
        <v>0</v>
      </c>
      <c r="J71" s="73">
        <v>0.0</v>
      </c>
      <c r="K71" s="74">
        <f t="shared" si="61"/>
        <v>0</v>
      </c>
      <c r="L71" s="73">
        <v>0.0</v>
      </c>
      <c r="M71" s="74">
        <f t="shared" si="62"/>
        <v>0</v>
      </c>
      <c r="N71" s="73">
        <v>0.0</v>
      </c>
      <c r="O71" s="74">
        <f t="shared" si="63"/>
        <v>0</v>
      </c>
      <c r="P71" s="73">
        <v>0.0</v>
      </c>
      <c r="Q71" s="74">
        <f t="shared" si="64"/>
        <v>0</v>
      </c>
      <c r="R71" s="73">
        <v>0.0</v>
      </c>
      <c r="S71" s="74">
        <f t="shared" si="65"/>
        <v>0</v>
      </c>
      <c r="T71" s="73">
        <v>0.0</v>
      </c>
      <c r="U71" s="74">
        <f t="shared" si="66"/>
        <v>0</v>
      </c>
      <c r="V71" s="73">
        <v>0.0</v>
      </c>
      <c r="W71" s="74">
        <f t="shared" si="67"/>
        <v>0</v>
      </c>
      <c r="X71" s="73">
        <v>0.0</v>
      </c>
      <c r="Y71" s="49"/>
    </row>
    <row r="72">
      <c r="A72" s="76" t="s">
        <v>93</v>
      </c>
      <c r="B72" s="77">
        <f>B4</f>
        <v>0</v>
      </c>
      <c r="C72" s="74">
        <f t="shared" si="57"/>
        <v>0</v>
      </c>
      <c r="D72" s="77">
        <f>D4</f>
        <v>0</v>
      </c>
      <c r="E72" s="74">
        <f t="shared" si="58"/>
        <v>0</v>
      </c>
      <c r="F72" s="77">
        <f>F4</f>
        <v>0</v>
      </c>
      <c r="G72" s="74">
        <f t="shared" si="59"/>
        <v>0</v>
      </c>
      <c r="H72" s="77">
        <f>H4</f>
        <v>0</v>
      </c>
      <c r="I72" s="74">
        <f t="shared" si="60"/>
        <v>0</v>
      </c>
      <c r="J72" s="77">
        <f>J4</f>
        <v>0</v>
      </c>
      <c r="K72" s="74">
        <f t="shared" si="61"/>
        <v>0</v>
      </c>
      <c r="L72" s="77">
        <f>L4</f>
        <v>0</v>
      </c>
      <c r="M72" s="74">
        <f t="shared" si="62"/>
        <v>0</v>
      </c>
      <c r="N72" s="77">
        <f>N4</f>
        <v>0</v>
      </c>
      <c r="O72" s="74">
        <f t="shared" si="63"/>
        <v>0</v>
      </c>
      <c r="P72" s="77">
        <f>P4</f>
        <v>0</v>
      </c>
      <c r="Q72" s="74">
        <f t="shared" si="64"/>
        <v>0</v>
      </c>
      <c r="R72" s="77">
        <f>R4</f>
        <v>0</v>
      </c>
      <c r="S72" s="74">
        <f t="shared" si="65"/>
        <v>0</v>
      </c>
      <c r="T72" s="77">
        <f>T4</f>
        <v>0</v>
      </c>
      <c r="U72" s="74">
        <f t="shared" si="66"/>
        <v>0</v>
      </c>
      <c r="V72" s="77">
        <f>V4</f>
        <v>0</v>
      </c>
      <c r="W72" s="74">
        <f t="shared" si="67"/>
        <v>0</v>
      </c>
      <c r="X72" s="77">
        <f>X4</f>
        <v>0</v>
      </c>
      <c r="Y72" s="49"/>
    </row>
    <row r="73">
      <c r="A73" s="76" t="s">
        <v>96</v>
      </c>
      <c r="B73" s="73">
        <v>0.0</v>
      </c>
      <c r="C73" s="74">
        <f t="shared" si="57"/>
        <v>0</v>
      </c>
      <c r="D73" s="73">
        <v>0.0</v>
      </c>
      <c r="E73" s="74">
        <f t="shared" si="58"/>
        <v>0</v>
      </c>
      <c r="F73" s="73">
        <v>0.0</v>
      </c>
      <c r="G73" s="74">
        <f t="shared" si="59"/>
        <v>0</v>
      </c>
      <c r="H73" s="73">
        <v>0.0</v>
      </c>
      <c r="I73" s="74">
        <f t="shared" si="60"/>
        <v>0</v>
      </c>
      <c r="J73" s="73">
        <v>0.0</v>
      </c>
      <c r="K73" s="74">
        <f t="shared" si="61"/>
        <v>0</v>
      </c>
      <c r="L73" s="73">
        <v>0.0</v>
      </c>
      <c r="M73" s="74">
        <f t="shared" si="62"/>
        <v>0</v>
      </c>
      <c r="N73" s="73">
        <v>0.0</v>
      </c>
      <c r="O73" s="74">
        <f t="shared" si="63"/>
        <v>0</v>
      </c>
      <c r="P73" s="73">
        <v>0.0</v>
      </c>
      <c r="Q73" s="74">
        <f t="shared" si="64"/>
        <v>0</v>
      </c>
      <c r="R73" s="73">
        <v>0.0</v>
      </c>
      <c r="S73" s="74">
        <f t="shared" si="65"/>
        <v>0</v>
      </c>
      <c r="T73" s="73">
        <v>0.0</v>
      </c>
      <c r="U73" s="74">
        <f t="shared" si="66"/>
        <v>0</v>
      </c>
      <c r="V73" s="73">
        <v>0.0</v>
      </c>
      <c r="W73" s="74">
        <f t="shared" si="67"/>
        <v>0</v>
      </c>
      <c r="X73" s="73">
        <v>0.0</v>
      </c>
      <c r="Y73" s="15"/>
    </row>
    <row r="74">
      <c r="A74" s="1" t="s">
        <v>99</v>
      </c>
      <c r="B74" s="53"/>
      <c r="C74" s="31"/>
      <c r="D74" s="53"/>
      <c r="E74" s="53"/>
      <c r="F74" s="53"/>
      <c r="G74" s="79"/>
      <c r="H74" s="53"/>
      <c r="I74" s="79"/>
      <c r="J74" s="53"/>
      <c r="K74" s="79"/>
      <c r="L74" s="53"/>
      <c r="M74" s="79"/>
      <c r="N74" s="53"/>
      <c r="O74" s="79"/>
      <c r="P74" s="53"/>
      <c r="Q74" s="79"/>
      <c r="R74" s="53"/>
      <c r="S74" s="79"/>
      <c r="T74" s="53"/>
      <c r="U74" s="79"/>
      <c r="V74" s="53"/>
      <c r="W74" s="79"/>
      <c r="X74" s="53"/>
    </row>
    <row r="75">
      <c r="A75" s="65" t="s">
        <v>101</v>
      </c>
      <c r="B75" s="81">
        <v>0.95</v>
      </c>
      <c r="C75" s="68">
        <f t="shared" ref="C75:C87" si="68">IFERROR(SUM((D75/B75)-1),0)</f>
        <v>0</v>
      </c>
      <c r="D75" s="81">
        <v>0.95</v>
      </c>
      <c r="E75" s="68">
        <f t="shared" ref="E75:E87" si="69">IFERROR(SUM((F75/D75)-1),0)</f>
        <v>-0.01052631579</v>
      </c>
      <c r="F75" s="81">
        <v>0.94</v>
      </c>
      <c r="G75" s="68">
        <f t="shared" ref="G75:G87" si="70">IFERROR(SUM((H75/F75)-1),0)</f>
        <v>0</v>
      </c>
      <c r="H75" s="81">
        <v>0.94</v>
      </c>
      <c r="I75" s="68">
        <f t="shared" ref="I75:I87" si="71">IFERROR(SUM((J75/H75)-1),0)</f>
        <v>0</v>
      </c>
      <c r="J75" s="81">
        <v>0.94</v>
      </c>
      <c r="K75" s="68">
        <f t="shared" ref="K75:K87" si="72">IFERROR(SUM((L75/J75)-1),0)</f>
        <v>0</v>
      </c>
      <c r="L75" s="81">
        <v>0.94</v>
      </c>
      <c r="M75" s="68">
        <f t="shared" ref="M75:M87" si="73">IFERROR(SUM((N75/L75)-1),0)</f>
        <v>0</v>
      </c>
      <c r="N75" s="81">
        <v>0.94</v>
      </c>
      <c r="O75" s="68">
        <f t="shared" ref="O75:O87" si="74">IFERROR(SUM((P75/N75)-1),0)</f>
        <v>0</v>
      </c>
      <c r="P75" s="81">
        <v>0.94</v>
      </c>
      <c r="Q75" s="68">
        <f t="shared" ref="Q75:Q87" si="75">IFERROR(SUM((R75/P75)-1),0)</f>
        <v>0</v>
      </c>
      <c r="R75" s="81">
        <v>0.94</v>
      </c>
      <c r="S75" s="68">
        <f t="shared" ref="S75:S87" si="76">IFERROR(SUM((T75/R75)-1),0)</f>
        <v>0</v>
      </c>
      <c r="T75" s="81">
        <v>0.94</v>
      </c>
      <c r="U75" s="68">
        <f t="shared" ref="U75:U87" si="77">IFERROR(SUM((V75/T75)-1),0)</f>
        <v>0</v>
      </c>
      <c r="V75" s="81">
        <v>0.94</v>
      </c>
      <c r="W75" s="68">
        <f t="shared" ref="W75:W87" si="78">IFERROR(SUM((X75/V75)-1),0)</f>
        <v>0</v>
      </c>
      <c r="X75" s="81">
        <v>0.94</v>
      </c>
    </row>
    <row r="76">
      <c r="A76" s="65" t="s">
        <v>102</v>
      </c>
      <c r="B76" s="81">
        <f>(1-B75)</f>
        <v>0.05</v>
      </c>
      <c r="C76" s="68">
        <f t="shared" si="68"/>
        <v>0</v>
      </c>
      <c r="D76" s="81">
        <f>(1-D75)</f>
        <v>0.05</v>
      </c>
      <c r="E76" s="68">
        <f t="shared" si="69"/>
        <v>0.2</v>
      </c>
      <c r="F76" s="81">
        <f>(1-F75)</f>
        <v>0.06</v>
      </c>
      <c r="G76" s="68">
        <f t="shared" si="70"/>
        <v>0</v>
      </c>
      <c r="H76" s="81">
        <f>(1-H75)</f>
        <v>0.06</v>
      </c>
      <c r="I76" s="68">
        <f t="shared" si="71"/>
        <v>0</v>
      </c>
      <c r="J76" s="81">
        <f>(1-J75)</f>
        <v>0.06</v>
      </c>
      <c r="K76" s="68">
        <f t="shared" si="72"/>
        <v>0</v>
      </c>
      <c r="L76" s="81">
        <f>(1-L75)</f>
        <v>0.06</v>
      </c>
      <c r="M76" s="68">
        <f t="shared" si="73"/>
        <v>0</v>
      </c>
      <c r="N76" s="81">
        <f>(1-N75)</f>
        <v>0.06</v>
      </c>
      <c r="O76" s="68">
        <f t="shared" si="74"/>
        <v>0</v>
      </c>
      <c r="P76" s="81">
        <f>(1-P75)</f>
        <v>0.06</v>
      </c>
      <c r="Q76" s="68">
        <f t="shared" si="75"/>
        <v>0</v>
      </c>
      <c r="R76" s="81">
        <f>(1-R75)</f>
        <v>0.06</v>
      </c>
      <c r="S76" s="68">
        <f t="shared" si="76"/>
        <v>0</v>
      </c>
      <c r="T76" s="81">
        <f>(1-T75)</f>
        <v>0.06</v>
      </c>
      <c r="U76" s="68">
        <f t="shared" si="77"/>
        <v>0</v>
      </c>
      <c r="V76" s="81">
        <f>(1-V75)</f>
        <v>0.06</v>
      </c>
      <c r="W76" s="68">
        <f t="shared" si="78"/>
        <v>0</v>
      </c>
      <c r="X76" s="81">
        <f>(1-X75)</f>
        <v>0.06</v>
      </c>
    </row>
    <row r="77">
      <c r="A77" s="4" t="s">
        <v>106</v>
      </c>
      <c r="B77" s="64">
        <v>1.0</v>
      </c>
      <c r="C77" s="13">
        <f t="shared" si="68"/>
        <v>0</v>
      </c>
      <c r="D77" s="64">
        <v>1.0</v>
      </c>
      <c r="E77" s="13">
        <f t="shared" si="69"/>
        <v>0</v>
      </c>
      <c r="F77" s="64">
        <v>1.0</v>
      </c>
      <c r="G77" s="13">
        <f t="shared" si="70"/>
        <v>0</v>
      </c>
      <c r="H77" s="64">
        <v>1.0</v>
      </c>
      <c r="I77" s="13">
        <f t="shared" si="71"/>
        <v>0</v>
      </c>
      <c r="J77" s="64">
        <v>1.0</v>
      </c>
      <c r="K77" s="13">
        <f t="shared" si="72"/>
        <v>0</v>
      </c>
      <c r="L77" s="64">
        <v>1.0</v>
      </c>
      <c r="M77" s="13">
        <f t="shared" si="73"/>
        <v>0</v>
      </c>
      <c r="N77" s="64">
        <v>1.0</v>
      </c>
      <c r="O77" s="13">
        <f t="shared" si="74"/>
        <v>0</v>
      </c>
      <c r="P77" s="64">
        <v>1.0</v>
      </c>
      <c r="Q77" s="13">
        <f t="shared" si="75"/>
        <v>0</v>
      </c>
      <c r="R77" s="64">
        <v>1.0</v>
      </c>
      <c r="S77" s="13">
        <f t="shared" si="76"/>
        <v>0</v>
      </c>
      <c r="T77" s="64">
        <v>1.0</v>
      </c>
      <c r="U77" s="13">
        <f t="shared" si="77"/>
        <v>0</v>
      </c>
      <c r="V77" s="64">
        <v>1.0</v>
      </c>
      <c r="W77" s="13">
        <f t="shared" si="78"/>
        <v>0</v>
      </c>
      <c r="X77" s="64">
        <v>1.0</v>
      </c>
    </row>
    <row r="78">
      <c r="A78" s="4" t="s">
        <v>108</v>
      </c>
      <c r="B78" s="64">
        <f>(1-B77)</f>
        <v>0</v>
      </c>
      <c r="C78" s="13">
        <f t="shared" si="68"/>
        <v>0</v>
      </c>
      <c r="D78" s="64">
        <f>(1-D77)</f>
        <v>0</v>
      </c>
      <c r="E78" s="13">
        <f t="shared" si="69"/>
        <v>0</v>
      </c>
      <c r="F78" s="64">
        <f>(1-F77)</f>
        <v>0</v>
      </c>
      <c r="G78" s="13">
        <f t="shared" si="70"/>
        <v>0</v>
      </c>
      <c r="H78" s="64">
        <f>(1-H77)</f>
        <v>0</v>
      </c>
      <c r="I78" s="13">
        <f t="shared" si="71"/>
        <v>0</v>
      </c>
      <c r="J78" s="64">
        <f>(1-J77)</f>
        <v>0</v>
      </c>
      <c r="K78" s="13">
        <f t="shared" si="72"/>
        <v>0</v>
      </c>
      <c r="L78" s="64">
        <f>(1-L77)</f>
        <v>0</v>
      </c>
      <c r="M78" s="13">
        <f t="shared" si="73"/>
        <v>0</v>
      </c>
      <c r="N78" s="64">
        <f>(1-N77)</f>
        <v>0</v>
      </c>
      <c r="O78" s="13">
        <f t="shared" si="74"/>
        <v>0</v>
      </c>
      <c r="P78" s="64">
        <f>(1-P77)</f>
        <v>0</v>
      </c>
      <c r="Q78" s="13">
        <f t="shared" si="75"/>
        <v>0</v>
      </c>
      <c r="R78" s="64">
        <f>(1-R77)</f>
        <v>0</v>
      </c>
      <c r="S78" s="13">
        <f t="shared" si="76"/>
        <v>0</v>
      </c>
      <c r="T78" s="64">
        <f>(1-T77)</f>
        <v>0</v>
      </c>
      <c r="U78" s="13">
        <f t="shared" si="77"/>
        <v>0</v>
      </c>
      <c r="V78" s="64">
        <f>(1-V77)</f>
        <v>0</v>
      </c>
      <c r="W78" s="13">
        <f t="shared" si="78"/>
        <v>0</v>
      </c>
      <c r="X78" s="64">
        <f>(1-X77)</f>
        <v>0</v>
      </c>
    </row>
    <row r="79">
      <c r="A79" s="65" t="s">
        <v>117</v>
      </c>
      <c r="B79" s="81">
        <v>0.62</v>
      </c>
      <c r="C79" s="68">
        <f t="shared" si="68"/>
        <v>0</v>
      </c>
      <c r="D79" s="81">
        <v>0.62</v>
      </c>
      <c r="E79" s="68">
        <f t="shared" si="69"/>
        <v>-0.01612903226</v>
      </c>
      <c r="F79" s="81">
        <v>0.61</v>
      </c>
      <c r="G79" s="68">
        <f t="shared" si="70"/>
        <v>0</v>
      </c>
      <c r="H79" s="81">
        <v>0.61</v>
      </c>
      <c r="I79" s="68">
        <f t="shared" si="71"/>
        <v>0</v>
      </c>
      <c r="J79" s="81">
        <v>0.61</v>
      </c>
      <c r="K79" s="68">
        <f t="shared" si="72"/>
        <v>0</v>
      </c>
      <c r="L79" s="81">
        <v>0.61</v>
      </c>
      <c r="M79" s="68">
        <f t="shared" si="73"/>
        <v>0</v>
      </c>
      <c r="N79" s="81">
        <v>0.61</v>
      </c>
      <c r="O79" s="68">
        <f t="shared" si="74"/>
        <v>0</v>
      </c>
      <c r="P79" s="81">
        <v>0.61</v>
      </c>
      <c r="Q79" s="68">
        <f t="shared" si="75"/>
        <v>0</v>
      </c>
      <c r="R79" s="81">
        <v>0.61</v>
      </c>
      <c r="S79" s="68">
        <f t="shared" si="76"/>
        <v>0</v>
      </c>
      <c r="T79" s="81">
        <v>0.61</v>
      </c>
      <c r="U79" s="68">
        <f t="shared" si="77"/>
        <v>0</v>
      </c>
      <c r="V79" s="81">
        <v>0.61</v>
      </c>
      <c r="W79" s="68">
        <f t="shared" si="78"/>
        <v>0</v>
      </c>
      <c r="X79" s="81">
        <v>0.61</v>
      </c>
    </row>
    <row r="80">
      <c r="A80" s="65" t="s">
        <v>208</v>
      </c>
      <c r="B80" s="81">
        <v>0.3</v>
      </c>
      <c r="C80" s="68">
        <f t="shared" si="68"/>
        <v>0</v>
      </c>
      <c r="D80" s="81">
        <v>0.3</v>
      </c>
      <c r="E80" s="68">
        <f t="shared" si="69"/>
        <v>0.03333333333</v>
      </c>
      <c r="F80" s="81">
        <v>0.31</v>
      </c>
      <c r="G80" s="68">
        <f t="shared" si="70"/>
        <v>0</v>
      </c>
      <c r="H80" s="81">
        <v>0.31</v>
      </c>
      <c r="I80" s="68">
        <f t="shared" si="71"/>
        <v>0</v>
      </c>
      <c r="J80" s="81">
        <v>0.31</v>
      </c>
      <c r="K80" s="68">
        <f t="shared" si="72"/>
        <v>0</v>
      </c>
      <c r="L80" s="81">
        <v>0.31</v>
      </c>
      <c r="M80" s="68">
        <f t="shared" si="73"/>
        <v>0</v>
      </c>
      <c r="N80" s="81">
        <v>0.31</v>
      </c>
      <c r="O80" s="68">
        <f t="shared" si="74"/>
        <v>0</v>
      </c>
      <c r="P80" s="81">
        <v>0.31</v>
      </c>
      <c r="Q80" s="68">
        <f t="shared" si="75"/>
        <v>0</v>
      </c>
      <c r="R80" s="81">
        <v>0.31</v>
      </c>
      <c r="S80" s="68">
        <f t="shared" si="76"/>
        <v>0</v>
      </c>
      <c r="T80" s="81">
        <v>0.31</v>
      </c>
      <c r="U80" s="68">
        <f t="shared" si="77"/>
        <v>0</v>
      </c>
      <c r="V80" s="81">
        <v>0.31</v>
      </c>
      <c r="W80" s="68">
        <f t="shared" si="78"/>
        <v>0</v>
      </c>
      <c r="X80" s="81">
        <v>0.31</v>
      </c>
    </row>
    <row r="81">
      <c r="A81" s="65" t="s">
        <v>209</v>
      </c>
      <c r="B81" s="81">
        <v>0.08</v>
      </c>
      <c r="C81" s="68">
        <f t="shared" si="68"/>
        <v>0</v>
      </c>
      <c r="D81" s="81">
        <v>0.08</v>
      </c>
      <c r="E81" s="68">
        <f t="shared" si="69"/>
        <v>0</v>
      </c>
      <c r="F81" s="81">
        <v>0.08</v>
      </c>
      <c r="G81" s="68">
        <f t="shared" si="70"/>
        <v>0</v>
      </c>
      <c r="H81" s="81">
        <v>0.08</v>
      </c>
      <c r="I81" s="68">
        <f t="shared" si="71"/>
        <v>0</v>
      </c>
      <c r="J81" s="81">
        <v>0.08</v>
      </c>
      <c r="K81" s="68">
        <f t="shared" si="72"/>
        <v>0</v>
      </c>
      <c r="L81" s="81">
        <v>0.08</v>
      </c>
      <c r="M81" s="68">
        <f t="shared" si="73"/>
        <v>0</v>
      </c>
      <c r="N81" s="81">
        <v>0.08</v>
      </c>
      <c r="O81" s="68">
        <f t="shared" si="74"/>
        <v>0</v>
      </c>
      <c r="P81" s="81">
        <v>0.08</v>
      </c>
      <c r="Q81" s="68">
        <f t="shared" si="75"/>
        <v>0</v>
      </c>
      <c r="R81" s="81">
        <v>0.08</v>
      </c>
      <c r="S81" s="68">
        <f t="shared" si="76"/>
        <v>0</v>
      </c>
      <c r="T81" s="81">
        <v>0.08</v>
      </c>
      <c r="U81" s="68">
        <f t="shared" si="77"/>
        <v>0</v>
      </c>
      <c r="V81" s="81">
        <v>0.08</v>
      </c>
      <c r="W81" s="68">
        <f t="shared" si="78"/>
        <v>0</v>
      </c>
      <c r="X81" s="81">
        <v>0.08</v>
      </c>
    </row>
    <row r="82">
      <c r="A82" s="65" t="s">
        <v>115</v>
      </c>
      <c r="B82" s="81">
        <v>0.0</v>
      </c>
      <c r="C82" s="68">
        <f t="shared" si="68"/>
        <v>0</v>
      </c>
      <c r="D82" s="81">
        <v>0.0</v>
      </c>
      <c r="E82" s="68">
        <f t="shared" si="69"/>
        <v>0</v>
      </c>
      <c r="F82" s="81">
        <v>0.0</v>
      </c>
      <c r="G82" s="68">
        <f t="shared" si="70"/>
        <v>0</v>
      </c>
      <c r="H82" s="81">
        <v>0.0</v>
      </c>
      <c r="I82" s="68">
        <f t="shared" si="71"/>
        <v>0</v>
      </c>
      <c r="J82" s="81">
        <v>0.0</v>
      </c>
      <c r="K82" s="68">
        <f t="shared" si="72"/>
        <v>0</v>
      </c>
      <c r="L82" s="81">
        <v>0.0</v>
      </c>
      <c r="M82" s="68">
        <f t="shared" si="73"/>
        <v>0</v>
      </c>
      <c r="N82" s="81">
        <v>0.0</v>
      </c>
      <c r="O82" s="68">
        <f t="shared" si="74"/>
        <v>0</v>
      </c>
      <c r="P82" s="81">
        <v>0.0</v>
      </c>
      <c r="Q82" s="68">
        <f t="shared" si="75"/>
        <v>0</v>
      </c>
      <c r="R82" s="81">
        <v>0.0</v>
      </c>
      <c r="S82" s="68">
        <f t="shared" si="76"/>
        <v>0</v>
      </c>
      <c r="T82" s="81">
        <v>0.0</v>
      </c>
      <c r="U82" s="68">
        <f t="shared" si="77"/>
        <v>0</v>
      </c>
      <c r="V82" s="81">
        <v>0.0</v>
      </c>
      <c r="W82" s="68">
        <f t="shared" si="78"/>
        <v>0</v>
      </c>
      <c r="X82" s="81">
        <v>0.0</v>
      </c>
    </row>
    <row r="83">
      <c r="A83" s="4" t="s">
        <v>113</v>
      </c>
      <c r="B83" s="75">
        <v>9.06</v>
      </c>
      <c r="C83" s="13">
        <f t="shared" si="68"/>
        <v>-0.0298013245</v>
      </c>
      <c r="D83" s="75">
        <v>8.79</v>
      </c>
      <c r="E83" s="13">
        <f t="shared" si="69"/>
        <v>-0.02389078498</v>
      </c>
      <c r="F83" s="75">
        <v>8.58</v>
      </c>
      <c r="G83" s="13">
        <f t="shared" si="70"/>
        <v>-0.002331002331</v>
      </c>
      <c r="H83" s="75">
        <v>8.56</v>
      </c>
      <c r="I83" s="13">
        <f t="shared" si="71"/>
        <v>-0.01401869159</v>
      </c>
      <c r="J83" s="75">
        <v>8.44</v>
      </c>
      <c r="K83" s="13">
        <f t="shared" si="72"/>
        <v>-0.01066350711</v>
      </c>
      <c r="L83" s="75">
        <v>8.35</v>
      </c>
      <c r="M83" s="13">
        <f t="shared" si="73"/>
        <v>0.01077844311</v>
      </c>
      <c r="N83" s="75">
        <v>8.44</v>
      </c>
      <c r="O83" s="13">
        <f t="shared" si="74"/>
        <v>0</v>
      </c>
      <c r="P83" s="75">
        <v>8.44</v>
      </c>
      <c r="Q83" s="13">
        <f t="shared" si="75"/>
        <v>0</v>
      </c>
      <c r="R83" s="75">
        <v>8.44</v>
      </c>
      <c r="S83" s="13">
        <f t="shared" si="76"/>
        <v>0</v>
      </c>
      <c r="T83" s="75">
        <v>8.44</v>
      </c>
      <c r="U83" s="13">
        <f t="shared" si="77"/>
        <v>0</v>
      </c>
      <c r="V83" s="75">
        <v>8.44</v>
      </c>
      <c r="W83" s="13">
        <f t="shared" si="78"/>
        <v>0</v>
      </c>
      <c r="X83" s="75">
        <v>8.44</v>
      </c>
    </row>
    <row r="84">
      <c r="A84" s="4" t="s">
        <v>116</v>
      </c>
      <c r="B84" s="75">
        <v>9.32</v>
      </c>
      <c r="C84" s="13">
        <f t="shared" si="68"/>
        <v>0.02145922747</v>
      </c>
      <c r="D84" s="75">
        <v>9.52</v>
      </c>
      <c r="E84" s="13">
        <f t="shared" si="69"/>
        <v>-0.004201680672</v>
      </c>
      <c r="F84" s="75">
        <v>9.48</v>
      </c>
      <c r="G84" s="13">
        <f t="shared" si="70"/>
        <v>-0.004219409283</v>
      </c>
      <c r="H84" s="75">
        <v>9.44</v>
      </c>
      <c r="I84" s="13">
        <f t="shared" si="71"/>
        <v>-0.005296610169</v>
      </c>
      <c r="J84" s="75">
        <v>9.39</v>
      </c>
      <c r="K84" s="13">
        <f t="shared" si="72"/>
        <v>-0.01277955272</v>
      </c>
      <c r="L84" s="75">
        <v>9.27</v>
      </c>
      <c r="M84" s="13">
        <f t="shared" si="73"/>
        <v>0.01294498382</v>
      </c>
      <c r="N84" s="75">
        <v>9.39</v>
      </c>
      <c r="O84" s="13">
        <f t="shared" si="74"/>
        <v>0</v>
      </c>
      <c r="P84" s="75">
        <v>9.39</v>
      </c>
      <c r="Q84" s="13">
        <f t="shared" si="75"/>
        <v>0</v>
      </c>
      <c r="R84" s="75">
        <v>9.39</v>
      </c>
      <c r="S84" s="13">
        <f t="shared" si="76"/>
        <v>0</v>
      </c>
      <c r="T84" s="75">
        <v>9.39</v>
      </c>
      <c r="U84" s="13">
        <f t="shared" si="77"/>
        <v>0</v>
      </c>
      <c r="V84" s="75">
        <v>9.39</v>
      </c>
      <c r="W84" s="13">
        <f t="shared" si="78"/>
        <v>0</v>
      </c>
      <c r="X84" s="75">
        <v>9.39</v>
      </c>
    </row>
    <row r="85">
      <c r="A85" s="4" t="s">
        <v>119</v>
      </c>
      <c r="B85" s="24">
        <f>B83/B84</f>
        <v>0.9721030043</v>
      </c>
      <c r="C85" s="13">
        <f t="shared" si="68"/>
        <v>-0.05018364962</v>
      </c>
      <c r="D85" s="24">
        <f>D83/D84</f>
        <v>0.9233193277</v>
      </c>
      <c r="E85" s="13">
        <f t="shared" si="69"/>
        <v>-0.0197721807</v>
      </c>
      <c r="F85" s="24">
        <f>F83/F84</f>
        <v>0.9050632911</v>
      </c>
      <c r="G85" s="13">
        <f t="shared" si="70"/>
        <v>0.001896408676</v>
      </c>
      <c r="H85" s="24">
        <f>H83/H84</f>
        <v>0.906779661</v>
      </c>
      <c r="I85" s="13">
        <f t="shared" si="71"/>
        <v>-0.008768524877</v>
      </c>
      <c r="J85" s="24">
        <f>J83/J84</f>
        <v>0.898828541</v>
      </c>
      <c r="K85" s="13">
        <f t="shared" si="72"/>
        <v>0.002143437783</v>
      </c>
      <c r="L85" s="24">
        <f>L83/L84</f>
        <v>0.9007551241</v>
      </c>
      <c r="M85" s="13">
        <f t="shared" si="73"/>
        <v>-0.002138853284</v>
      </c>
      <c r="N85" s="24">
        <f>N83/N84</f>
        <v>0.898828541</v>
      </c>
      <c r="O85" s="13">
        <f t="shared" si="74"/>
        <v>0</v>
      </c>
      <c r="P85" s="24">
        <f>P83/P84</f>
        <v>0.898828541</v>
      </c>
      <c r="Q85" s="13">
        <f t="shared" si="75"/>
        <v>0</v>
      </c>
      <c r="R85" s="24">
        <f>R83/R84</f>
        <v>0.898828541</v>
      </c>
      <c r="S85" s="13">
        <f t="shared" si="76"/>
        <v>0</v>
      </c>
      <c r="T85" s="24">
        <f>T83/T84</f>
        <v>0.898828541</v>
      </c>
      <c r="U85" s="13">
        <f t="shared" si="77"/>
        <v>0</v>
      </c>
      <c r="V85" s="24">
        <f>V83/V84</f>
        <v>0.898828541</v>
      </c>
      <c r="W85" s="13">
        <f t="shared" si="78"/>
        <v>0</v>
      </c>
      <c r="X85" s="24">
        <f>X83/X84</f>
        <v>0.898828541</v>
      </c>
    </row>
    <row r="86">
      <c r="A86" s="25" t="s">
        <v>73</v>
      </c>
      <c r="B86" s="29">
        <v>842.0</v>
      </c>
      <c r="C86" s="27">
        <f t="shared" si="68"/>
        <v>-0.009501187648</v>
      </c>
      <c r="D86" s="29">
        <v>834.0</v>
      </c>
      <c r="E86" s="27">
        <f t="shared" si="69"/>
        <v>-0.00479616307</v>
      </c>
      <c r="F86" s="29">
        <v>830.0</v>
      </c>
      <c r="G86" s="27">
        <f t="shared" si="70"/>
        <v>0</v>
      </c>
      <c r="H86" s="29">
        <v>830.0</v>
      </c>
      <c r="I86" s="27">
        <f t="shared" si="71"/>
        <v>0.001204819277</v>
      </c>
      <c r="J86" s="29">
        <v>831.0</v>
      </c>
      <c r="K86" s="27">
        <f t="shared" si="72"/>
        <v>-0.02888086643</v>
      </c>
      <c r="L86" s="29">
        <v>807.0</v>
      </c>
      <c r="M86" s="27">
        <f t="shared" si="73"/>
        <v>0.02973977695</v>
      </c>
      <c r="N86" s="29">
        <v>831.0</v>
      </c>
      <c r="O86" s="27">
        <f t="shared" si="74"/>
        <v>0</v>
      </c>
      <c r="P86" s="29">
        <v>831.0</v>
      </c>
      <c r="Q86" s="27">
        <f t="shared" si="75"/>
        <v>0</v>
      </c>
      <c r="R86" s="29">
        <v>831.0</v>
      </c>
      <c r="S86" s="27">
        <f t="shared" si="76"/>
        <v>0</v>
      </c>
      <c r="T86" s="29">
        <v>831.0</v>
      </c>
      <c r="U86" s="27">
        <f t="shared" si="77"/>
        <v>0</v>
      </c>
      <c r="V86" s="29">
        <v>831.0</v>
      </c>
      <c r="W86" s="27">
        <f t="shared" si="78"/>
        <v>0</v>
      </c>
      <c r="X86" s="29">
        <v>831.0</v>
      </c>
      <c r="Y86" s="13"/>
      <c r="Z86" s="15"/>
      <c r="AA86" s="13"/>
    </row>
    <row r="87">
      <c r="A87" s="169" t="s">
        <v>211</v>
      </c>
      <c r="B87" s="170">
        <v>2697.0</v>
      </c>
      <c r="C87" s="171">
        <f t="shared" si="68"/>
        <v>0.02113459399</v>
      </c>
      <c r="D87" s="170">
        <v>2754.0</v>
      </c>
      <c r="E87" s="171">
        <f t="shared" si="69"/>
        <v>-0.004720406681</v>
      </c>
      <c r="F87" s="170">
        <v>2741.0</v>
      </c>
      <c r="G87" s="171">
        <f t="shared" si="70"/>
        <v>-0.004377964247</v>
      </c>
      <c r="H87" s="170">
        <v>2729.0</v>
      </c>
      <c r="I87" s="171">
        <f t="shared" si="71"/>
        <v>-0.004397215097</v>
      </c>
      <c r="J87" s="170">
        <v>2717.0</v>
      </c>
      <c r="K87" s="171">
        <f t="shared" si="72"/>
        <v>-0.01324990799</v>
      </c>
      <c r="L87" s="170">
        <v>2681.0</v>
      </c>
      <c r="M87" s="171">
        <f t="shared" si="73"/>
        <v>0</v>
      </c>
      <c r="N87" s="170">
        <v>2681.0</v>
      </c>
      <c r="O87" s="171">
        <f t="shared" si="74"/>
        <v>0</v>
      </c>
      <c r="P87" s="170">
        <v>2681.0</v>
      </c>
      <c r="Q87" s="171">
        <f t="shared" si="75"/>
        <v>0</v>
      </c>
      <c r="R87" s="170">
        <v>2681.0</v>
      </c>
      <c r="S87" s="171">
        <f t="shared" si="76"/>
        <v>0</v>
      </c>
      <c r="T87" s="170">
        <v>2681.0</v>
      </c>
      <c r="U87" s="171">
        <f t="shared" si="77"/>
        <v>0</v>
      </c>
      <c r="V87" s="170">
        <v>2681.0</v>
      </c>
      <c r="W87" s="171">
        <f t="shared" si="78"/>
        <v>0</v>
      </c>
      <c r="X87" s="170">
        <v>2681.0</v>
      </c>
    </row>
    <row r="88">
      <c r="A88" s="4" t="s">
        <v>121</v>
      </c>
      <c r="B88" s="4" t="s">
        <v>189</v>
      </c>
    </row>
    <row r="89">
      <c r="A89" s="5" t="s">
        <v>123</v>
      </c>
      <c r="B89" s="89">
        <v>0.01</v>
      </c>
      <c r="J89" s="42"/>
    </row>
    <row r="90">
      <c r="A90" s="4" t="s">
        <v>125</v>
      </c>
      <c r="B90" s="90" t="s">
        <v>139</v>
      </c>
      <c r="D90" s="6"/>
      <c r="E90" s="6"/>
      <c r="F90" s="6"/>
      <c r="G90" s="6"/>
    </row>
    <row r="91">
      <c r="A91" s="4" t="s">
        <v>126</v>
      </c>
      <c r="B91" s="83">
        <f>SUM(B31,D31,F31,H31,J31,L31,N31,P31,R31,T31,V31,X31)*1000</f>
        <v>286749000</v>
      </c>
      <c r="D91" s="6"/>
      <c r="E91" s="6"/>
      <c r="F91" s="6"/>
      <c r="G91" s="6"/>
    </row>
    <row r="92" ht="22.5" customHeight="1">
      <c r="A92" s="4" t="s">
        <v>135</v>
      </c>
      <c r="B92" s="83">
        <f>SUM(B57,D57,F57,H57,J57,L57,N57,P57,R57,T57,V57,X57)</f>
        <v>19239000</v>
      </c>
      <c r="D92" s="86" t="s">
        <v>128</v>
      </c>
      <c r="E92" s="86" t="s">
        <v>113</v>
      </c>
      <c r="F92" s="86" t="s">
        <v>116</v>
      </c>
      <c r="G92" s="86" t="s">
        <v>119</v>
      </c>
      <c r="H92" s="86" t="s">
        <v>129</v>
      </c>
      <c r="I92" s="92" t="s">
        <v>131</v>
      </c>
      <c r="J92" s="87" t="s">
        <v>132</v>
      </c>
      <c r="K92" s="87" t="s">
        <v>133</v>
      </c>
      <c r="L92" s="87" t="s">
        <v>134</v>
      </c>
    </row>
    <row r="93" ht="22.5" customHeight="1">
      <c r="A93" s="4" t="s">
        <v>144</v>
      </c>
      <c r="B93" s="13">
        <f>B92/B91</f>
        <v>0.06709352081</v>
      </c>
      <c r="D93" s="118" t="s">
        <v>189</v>
      </c>
      <c r="E93" s="131">
        <f t="array" ref="E93">IFERROR(INDEX(FCD[], MATCH(D93, FCD[FIIs], 0), MATCH(FCD[[#HEADERS],[V/Mercado]], FCD[#HEADERS], 0)),"")</f>
        <v>8.4</v>
      </c>
      <c r="F93" s="131">
        <f t="array" ref="F93">IFERROR(INDEX(Indicador_Fii[], MATCH(D93, Indicador_Fii[Fii], 0), MATCH(Indicador_Fii[[#HEADERS],[VP/Cota]], Indicador_Fii[#HEADERS], 0)),"")</f>
        <v>9.27</v>
      </c>
      <c r="G93" s="108">
        <f t="shared" ref="G93:G94" si="79">E93/F93</f>
        <v>0.9061488673</v>
      </c>
      <c r="H93" s="94">
        <f t="shared" ref="H93:H94" si="80">I93/F93</f>
        <v>0.9290130395</v>
      </c>
      <c r="I93" s="101">
        <f t="array" ref="I93">IFERROR(INDEX(FCD[], MATCH(D93, FCD[FIIs], 0), MATCH(FCD[[#HEADERS],[Preço_Justo]], FCD[#HEADERS], 0)),"")</f>
        <v>8.611950876</v>
      </c>
      <c r="J93" s="98">
        <f t="array" ref="J93">IFERROR(INDEX(Indicador_Fii[], MATCH(D93, Indicador_Fii[Fii], 0), MATCH(Indicador_Fii[[#HEADERS],[FFO_Yield]], Indicador_Fii[#HEADERS], 0)),"")</f>
        <v>5.11</v>
      </c>
      <c r="K93" s="98">
        <f t="array" ref="K93">IFERROR(INDEX(Indicador_Fii[], MATCH(D93, Indicador_Fii[Fii], 0), MATCH(Indicador_Fii[[#HEADERS],[DIV_Yield]], Indicador_Fii[#HEADERS], 0)),"")</f>
        <v>9.6</v>
      </c>
      <c r="L93" s="100">
        <f>IFERROR(__xludf.DUMMYFUNCTION("GOOGLEFINANCE(D93, ""volumeavg"")"),958345.0)</f>
        <v>958345</v>
      </c>
    </row>
    <row r="94" ht="22.5" customHeight="1">
      <c r="A94" s="4" t="s">
        <v>146</v>
      </c>
      <c r="B94" s="83">
        <f>IFERROR(__xludf.DUMMYFUNCTION("GOOGLEFINANCE(B88)*B96"),2.4291660792000003E9)</f>
        <v>2429166079</v>
      </c>
      <c r="D94" s="118" t="s">
        <v>187</v>
      </c>
      <c r="E94" s="131">
        <f t="array" ref="E94">IFERROR(INDEX(FCD[], MATCH(D94, FCD[FIIs], 0), MATCH(FCD[[#HEADERS],[V/Mercado]], FCD[#HEADERS], 0)),"")</f>
        <v>114.31</v>
      </c>
      <c r="F94" s="131">
        <f t="array" ref="F94">IFERROR(INDEX(Indicador_Fii[], MATCH(D94, Indicador_Fii[Fii], 0), MATCH(Indicador_Fii[[#HEADERS],[VP/Cota]], Indicador_Fii[#HEADERS], 0)),"")</f>
        <v>128.9</v>
      </c>
      <c r="G94" s="108">
        <f t="shared" si="79"/>
        <v>0.8868114818</v>
      </c>
      <c r="H94" s="94">
        <f t="shared" si="80"/>
        <v>0.9174531802</v>
      </c>
      <c r="I94" s="101">
        <f t="array" ref="I94">IFERROR(INDEX(FCD[], MATCH(D94, FCD[FIIs], 0), MATCH(FCD[[#HEADERS],[Preço_Justo]], FCD[#HEADERS], 0)),"")</f>
        <v>118.2597149</v>
      </c>
      <c r="J94" s="98">
        <f t="array" ref="J94">IFERROR(INDEX(Indicador_Fii[], MATCH(D94, Indicador_Fii[Fii], 0), MATCH(Indicador_Fii[[#HEADERS],[FFO_Yield]], Indicador_Fii[#HEADERS], 0)),"")</f>
        <v>8.65</v>
      </c>
      <c r="K94" s="98">
        <f t="array" ref="K94">IFERROR(INDEX(Indicador_Fii[], MATCH(D94, Indicador_Fii[Fii], 0), MATCH(Indicador_Fii[[#HEADERS],[DIV_Yield]], Indicador_Fii[#HEADERS], 0)),"")</f>
        <v>8.5</v>
      </c>
      <c r="L94" s="100">
        <f>IFERROR(__xludf.DUMMYFUNCTION("GOOGLEFINANCE(D94, ""volumeavg"")"),75067.0)</f>
        <v>75067</v>
      </c>
    </row>
    <row r="95">
      <c r="A95" s="4" t="s">
        <v>147</v>
      </c>
      <c r="B95" s="13">
        <f>B92/B94</f>
        <v>0.007920001915</v>
      </c>
    </row>
    <row r="96">
      <c r="A96" s="4" t="s">
        <v>149</v>
      </c>
      <c r="B96" s="22">
        <f t="array" ref="B96">IFERROR(INDEX(Indicador_Fii[], MATCH(B88, Indicador_Fii[Fii], 0), MATCH(Indicador_Fii[[#HEADERS],[Qtd_Cotas]], Indicador_Fii[#HEADERS], 0)),"")</f>
        <v>289186438</v>
      </c>
    </row>
    <row r="97">
      <c r="A97" s="4" t="s">
        <v>150</v>
      </c>
      <c r="B97" s="24">
        <f t="array" ref="B97">IFERROR(INDEX(Indicador_Fii[], MATCH(B88, Indicador_Fii[Fii], 0), MATCH(Indicador_Fii[[#HEADERS],[Patrimonio_Liq]], Indicador_Fii[#HEADERS], 0)),"")</f>
        <v>2680910000</v>
      </c>
    </row>
    <row r="98">
      <c r="A98" s="4" t="s">
        <v>151</v>
      </c>
      <c r="B98" s="40">
        <f>B91/B97</f>
        <v>0.1069595772</v>
      </c>
    </row>
    <row r="99">
      <c r="A99" s="4" t="s">
        <v>63</v>
      </c>
      <c r="B99" s="24">
        <f>SUM(B37,D37,F37,H37,J37,L37,N37,P37,R37,T37,V37,X37)*1000</f>
        <v>282548000</v>
      </c>
    </row>
    <row r="100">
      <c r="A100" s="4" t="s">
        <v>152</v>
      </c>
      <c r="B100" s="40">
        <f>B99/B91</f>
        <v>0.9853495566</v>
      </c>
    </row>
    <row r="101">
      <c r="A101" s="4" t="s">
        <v>153</v>
      </c>
      <c r="B101" s="4" t="s">
        <v>154</v>
      </c>
    </row>
    <row r="102">
      <c r="A102" s="4" t="s">
        <v>155</v>
      </c>
      <c r="B102" s="4" t="s">
        <v>3</v>
      </c>
    </row>
    <row r="103">
      <c r="A103" s="4" t="s">
        <v>156</v>
      </c>
      <c r="B103" s="4" t="s">
        <v>3</v>
      </c>
    </row>
    <row r="104">
      <c r="B104" s="164" t="s">
        <v>213</v>
      </c>
    </row>
  </sheetData>
  <mergeCells count="1">
    <mergeCell ref="B104:G109"/>
  </mergeCells>
  <dataValidations>
    <dataValidation type="list" allowBlank="1" showErrorMessage="1" sqref="B1 D1 F1 H1 J1 L1 N1 P1 R1 T1 V1 X1 B43 D43 F43 H43 J43 L43 N43 P43 R43 T43 V43 X43 B64 D64 F64 H64 J64 L64 N64 P64 R64 T64 V64 X64">
      <formula1>"Feito,Não,Atual"</formula1>
    </dataValidation>
    <dataValidation type="list" allowBlank="1" showErrorMessage="1" sqref="B101">
      <formula1>"Bom,Normal,Cuidado_Ver_DRE"</formula1>
    </dataValidation>
    <dataValidation type="list" allowBlank="1" showErrorMessage="1" sqref="B102:B103">
      <formula1>"Feito,Não"</formula1>
    </dataValidation>
    <dataValidation type="custom" allowBlank="1" showDropDown="1" sqref="E93:G94 L93:L94">
      <formula1>AND(ISNUMBER(E93),(NOT(OR(NOT(ISERROR(DATEVALUE(E93))), AND(ISNUMBER(E93), LEFT(CELL("format", E93))="D")))))</formula1>
    </dataValidation>
  </dataValidations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63"/>
    <col customWidth="1" min="2" max="2" width="18.63"/>
    <col customWidth="1" min="3" max="3" width="15.25"/>
    <col customWidth="1" min="4" max="4" width="16.88"/>
    <col customWidth="1" min="5" max="5" width="16.25"/>
    <col customWidth="1" min="6" max="6" width="17.5"/>
    <col customWidth="1" min="7" max="7" width="17.75"/>
    <col customWidth="1" min="8" max="8" width="15.38"/>
    <col customWidth="1" min="9" max="9" width="16.13"/>
    <col customWidth="1" min="10" max="10" width="16.25"/>
    <col customWidth="1" min="11" max="11" width="16.0"/>
    <col customWidth="1" min="12" max="12" width="15.38"/>
    <col customWidth="1" min="13" max="13" width="16.5"/>
    <col customWidth="1" min="14" max="14" width="16.88"/>
    <col customWidth="1" min="15" max="15" width="15.38"/>
    <col customWidth="1" min="16" max="16" width="16.13"/>
    <col customWidth="1" min="17" max="17" width="15.63"/>
    <col customWidth="1" min="18" max="18" width="16.0"/>
    <col customWidth="1" min="19" max="19" width="15.5"/>
    <col customWidth="1" min="20" max="20" width="17.75"/>
    <col customWidth="1" min="21" max="21" width="15.13"/>
    <col customWidth="1" min="22" max="22" width="17.63"/>
    <col customWidth="1" min="23" max="23" width="15.38"/>
    <col customWidth="1" min="24" max="24" width="17.5"/>
    <col customWidth="1" min="25" max="25" width="15.63"/>
  </cols>
  <sheetData>
    <row r="1">
      <c r="A1" s="1" t="s">
        <v>0</v>
      </c>
      <c r="B1" s="2" t="s">
        <v>1</v>
      </c>
      <c r="C1" s="3">
        <v>46052.0</v>
      </c>
      <c r="D1" s="2" t="s">
        <v>1</v>
      </c>
      <c r="E1" s="3">
        <v>46080.0</v>
      </c>
      <c r="F1" s="2" t="s">
        <v>1</v>
      </c>
      <c r="G1" s="3">
        <v>46108.0</v>
      </c>
      <c r="H1" s="2" t="s">
        <v>1</v>
      </c>
      <c r="I1" s="3">
        <v>46142.0</v>
      </c>
      <c r="J1" s="2" t="s">
        <v>1</v>
      </c>
      <c r="K1" s="3">
        <v>46163.0</v>
      </c>
      <c r="L1" s="2" t="s">
        <v>1</v>
      </c>
      <c r="M1" s="3">
        <v>46192.0</v>
      </c>
      <c r="N1" s="2" t="s">
        <v>1</v>
      </c>
      <c r="O1" s="3">
        <v>46224.0</v>
      </c>
      <c r="P1" s="2" t="s">
        <v>2</v>
      </c>
      <c r="Q1" s="3">
        <v>46195.0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1" t="s">
        <v>4</v>
      </c>
      <c r="B2" s="1" t="s">
        <v>5</v>
      </c>
      <c r="C2" s="53"/>
      <c r="D2" s="54" t="s">
        <v>6</v>
      </c>
      <c r="E2" s="55"/>
      <c r="F2" s="54" t="s">
        <v>7</v>
      </c>
      <c r="G2" s="55"/>
      <c r="H2" s="54" t="s">
        <v>8</v>
      </c>
      <c r="I2" s="55"/>
      <c r="J2" s="54" t="s">
        <v>9</v>
      </c>
      <c r="K2" s="55"/>
      <c r="L2" s="54" t="s">
        <v>10</v>
      </c>
      <c r="M2" s="55"/>
      <c r="N2" s="54" t="s">
        <v>11</v>
      </c>
      <c r="O2" s="55"/>
      <c r="P2" s="1" t="s">
        <v>12</v>
      </c>
      <c r="Q2" s="53"/>
      <c r="R2" s="1" t="s">
        <v>13</v>
      </c>
      <c r="S2" s="53"/>
      <c r="T2" s="1" t="s">
        <v>14</v>
      </c>
      <c r="U2" s="53"/>
      <c r="V2" s="1" t="s">
        <v>15</v>
      </c>
      <c r="W2" s="53"/>
      <c r="X2" s="1" t="s">
        <v>16</v>
      </c>
    </row>
    <row r="3">
      <c r="A3" s="7" t="s">
        <v>17</v>
      </c>
      <c r="B3" s="8">
        <f>SUM(B6,B9,B11)</f>
        <v>15111856</v>
      </c>
      <c r="C3" s="9">
        <f t="shared" ref="C3:C14" si="1">IFERROR(SUM((D3/B3)-1),0)</f>
        <v>1.044328175</v>
      </c>
      <c r="D3" s="8">
        <f>SUM(D6,D9,D11)</f>
        <v>30893593</v>
      </c>
      <c r="E3" s="9">
        <f t="shared" ref="E3:E14" si="2">IFERROR(SUM((F3/D3)-1),0)</f>
        <v>-0.5203528123</v>
      </c>
      <c r="F3" s="8">
        <f>SUM(F6,F9,F11)</f>
        <v>14818025</v>
      </c>
      <c r="G3" s="9">
        <f t="shared" ref="G3:G14" si="3">IFERROR(SUM((H3/F3)-1),0)</f>
        <v>-0.1120952354</v>
      </c>
      <c r="H3" s="8">
        <f>SUM(H6,H9,H11)</f>
        <v>13156995</v>
      </c>
      <c r="I3" s="9">
        <f t="shared" ref="I3:I14" si="4">IFERROR(SUM((J3/H3)-1),0)</f>
        <v>-0.05931977629</v>
      </c>
      <c r="J3" s="8">
        <f>SUM(J6,J9,J11)</f>
        <v>12376525</v>
      </c>
      <c r="K3" s="9">
        <f t="shared" ref="K3:K14" si="5">IFERROR(SUM((L3/J3)-1),0)</f>
        <v>0.09413094548</v>
      </c>
      <c r="L3" s="8">
        <f>SUM(L6,L9,L11)</f>
        <v>13541539</v>
      </c>
      <c r="M3" s="9">
        <f t="shared" ref="M3:M14" si="6">IFERROR(SUM((N3/L3)-1),0)</f>
        <v>0.03818546769</v>
      </c>
      <c r="N3" s="8">
        <f>SUM(N6,N9,N11)</f>
        <v>14058629</v>
      </c>
      <c r="O3" s="9">
        <f t="shared" ref="O3:O14" si="7">IFERROR(SUM((P3/N3)-1),0)</f>
        <v>0.7486585641</v>
      </c>
      <c r="P3" s="8">
        <f>SUM(P6,P9,P11)</f>
        <v>24583742</v>
      </c>
      <c r="Q3" s="9">
        <f t="shared" ref="Q3:Q14" si="8">IFERROR(SUM((R3/P3)-1),0)</f>
        <v>-0.4965565047</v>
      </c>
      <c r="R3" s="8">
        <f>SUM(R6,R9,R11)</f>
        <v>12376525</v>
      </c>
      <c r="S3" s="9">
        <f t="shared" ref="S3:S14" si="9">IFERROR(SUM((T3/R3)-1),0)</f>
        <v>0</v>
      </c>
      <c r="T3" s="8">
        <f>SUM(T6,T9,T11)</f>
        <v>12376525</v>
      </c>
      <c r="U3" s="9">
        <f t="shared" ref="U3:U14" si="10">IFERROR(SUM((V3/T3)-1),0)</f>
        <v>0</v>
      </c>
      <c r="V3" s="8">
        <f>SUM(V6,V9,V11)</f>
        <v>12376525</v>
      </c>
      <c r="W3" s="9">
        <f t="shared" ref="W3:W14" si="11">IFERROR(SUM((X3/V3)-1),0)</f>
        <v>0</v>
      </c>
      <c r="X3" s="8">
        <f>SUM(X6,X9,X11)</f>
        <v>12376525</v>
      </c>
      <c r="Y3" s="10"/>
      <c r="Z3" s="10"/>
    </row>
    <row r="4">
      <c r="A4" s="1" t="s">
        <v>18</v>
      </c>
      <c r="B4" s="11">
        <f>(100-B64)/100</f>
        <v>0.036</v>
      </c>
      <c r="C4" s="12">
        <f t="shared" si="1"/>
        <v>0</v>
      </c>
      <c r="D4" s="11">
        <f>(100-D64)/100</f>
        <v>0.036</v>
      </c>
      <c r="E4" s="12">
        <f t="shared" si="2"/>
        <v>0</v>
      </c>
      <c r="F4" s="11">
        <f>(100-F64)/100</f>
        <v>0.036</v>
      </c>
      <c r="G4" s="12">
        <f t="shared" si="3"/>
        <v>0.1666666667</v>
      </c>
      <c r="H4" s="11">
        <f>(100-H64)/100</f>
        <v>0.042</v>
      </c>
      <c r="I4" s="12">
        <f t="shared" si="4"/>
        <v>-0.02380952381</v>
      </c>
      <c r="J4" s="11">
        <f>(100-J64)/100</f>
        <v>0.041</v>
      </c>
      <c r="K4" s="12">
        <f t="shared" si="5"/>
        <v>-0.1219512195</v>
      </c>
      <c r="L4" s="11">
        <f>(100-L64)/100</f>
        <v>0.036</v>
      </c>
      <c r="M4" s="12">
        <f t="shared" si="6"/>
        <v>0.02777777778</v>
      </c>
      <c r="N4" s="11">
        <f>(100-N64)/100</f>
        <v>0.037</v>
      </c>
      <c r="O4" s="12">
        <f t="shared" si="7"/>
        <v>0.02702702703</v>
      </c>
      <c r="P4" s="11">
        <f>(100-P64)/100</f>
        <v>0.038</v>
      </c>
      <c r="Q4" s="12">
        <f t="shared" si="8"/>
        <v>-0.02631578947</v>
      </c>
      <c r="R4" s="11">
        <f>(100-R64)/100</f>
        <v>0.037</v>
      </c>
      <c r="S4" s="12">
        <f t="shared" si="9"/>
        <v>0</v>
      </c>
      <c r="T4" s="11">
        <f>(100-T64)/100</f>
        <v>0.037</v>
      </c>
      <c r="U4" s="12">
        <f t="shared" si="10"/>
        <v>0</v>
      </c>
      <c r="V4" s="11">
        <f>(100-V64)/100</f>
        <v>0.037</v>
      </c>
      <c r="W4" s="12">
        <f t="shared" si="11"/>
        <v>0</v>
      </c>
      <c r="X4" s="11">
        <f>(100-X64)/100</f>
        <v>0.037</v>
      </c>
      <c r="Y4" s="13"/>
    </row>
    <row r="5">
      <c r="A5" s="1" t="s">
        <v>19</v>
      </c>
      <c r="B5" s="14">
        <f>B6/(1-B4)</f>
        <v>15289346.47</v>
      </c>
      <c r="C5" s="12">
        <f t="shared" si="1"/>
        <v>0.4419780812</v>
      </c>
      <c r="D5" s="14">
        <f>D6/(1-D4)</f>
        <v>22046902.49</v>
      </c>
      <c r="E5" s="12">
        <f t="shared" si="2"/>
        <v>-0.3392229053</v>
      </c>
      <c r="F5" s="14">
        <f>F6/(1-F4)</f>
        <v>14568088.17</v>
      </c>
      <c r="G5" s="12">
        <f t="shared" si="3"/>
        <v>-0.09467618517</v>
      </c>
      <c r="H5" s="14">
        <f>H6/(1-H4)</f>
        <v>13188837.16</v>
      </c>
      <c r="I5" s="12">
        <f t="shared" si="4"/>
        <v>-0.07961743252</v>
      </c>
      <c r="J5" s="14">
        <f>J6/(1-J4)</f>
        <v>12138775.81</v>
      </c>
      <c r="K5" s="12">
        <f t="shared" si="5"/>
        <v>0.1019959471</v>
      </c>
      <c r="L5" s="14">
        <f>L6/(1-L4)</f>
        <v>13376881.74</v>
      </c>
      <c r="M5" s="12">
        <f t="shared" si="6"/>
        <v>0.04361214285</v>
      </c>
      <c r="N5" s="14">
        <f>N6/(1-N4)</f>
        <v>13960276.22</v>
      </c>
      <c r="O5" s="12">
        <f t="shared" si="7"/>
        <v>0.301311306</v>
      </c>
      <c r="P5" s="14">
        <f>P6/(1-P4)</f>
        <v>18166665.28</v>
      </c>
      <c r="Q5" s="12">
        <f t="shared" si="8"/>
        <v>-0.3345859048</v>
      </c>
      <c r="R5" s="14">
        <f>R6/(1-R4)</f>
        <v>12088355.14</v>
      </c>
      <c r="S5" s="12">
        <f t="shared" si="9"/>
        <v>0</v>
      </c>
      <c r="T5" s="14">
        <f>T6/(1-T4)</f>
        <v>12088355.14</v>
      </c>
      <c r="U5" s="12">
        <f t="shared" si="10"/>
        <v>0</v>
      </c>
      <c r="V5" s="14">
        <f>V6/(1-V4)</f>
        <v>12088355.14</v>
      </c>
      <c r="W5" s="12">
        <f t="shared" si="11"/>
        <v>0</v>
      </c>
      <c r="X5" s="14">
        <f>X6/(1-X4)</f>
        <v>12088355.14</v>
      </c>
      <c r="Y5" s="13"/>
    </row>
    <row r="6">
      <c r="A6" s="4" t="s">
        <v>20</v>
      </c>
      <c r="B6" s="15">
        <v>1.473893E7</v>
      </c>
      <c r="C6" s="13">
        <f t="shared" si="1"/>
        <v>0.4419780812</v>
      </c>
      <c r="D6" s="15">
        <v>2.1253214E7</v>
      </c>
      <c r="E6" s="13">
        <f t="shared" si="2"/>
        <v>-0.3392229053</v>
      </c>
      <c r="F6" s="15">
        <v>1.4043637E7</v>
      </c>
      <c r="G6" s="13">
        <f t="shared" si="3"/>
        <v>-0.1003109807</v>
      </c>
      <c r="H6" s="15">
        <v>1.2634906E7</v>
      </c>
      <c r="I6" s="13">
        <f t="shared" si="4"/>
        <v>-0.07865669915</v>
      </c>
      <c r="J6" s="15">
        <v>1.1641086E7</v>
      </c>
      <c r="K6" s="13">
        <f t="shared" si="5"/>
        <v>0.1077414942</v>
      </c>
      <c r="L6" s="15">
        <v>1.2895314E7</v>
      </c>
      <c r="M6" s="13">
        <f t="shared" si="6"/>
        <v>0.04252955764</v>
      </c>
      <c r="N6" s="15">
        <v>1.3443746E7</v>
      </c>
      <c r="O6" s="13">
        <f t="shared" si="7"/>
        <v>0.2999599963</v>
      </c>
      <c r="P6" s="15">
        <v>1.7476332E7</v>
      </c>
      <c r="Q6" s="13">
        <f t="shared" si="8"/>
        <v>-0.3338942062</v>
      </c>
      <c r="R6" s="15">
        <v>1.1641086E7</v>
      </c>
      <c r="S6" s="13">
        <f t="shared" si="9"/>
        <v>0</v>
      </c>
      <c r="T6" s="15">
        <v>1.1641086E7</v>
      </c>
      <c r="U6" s="13">
        <f t="shared" si="10"/>
        <v>0</v>
      </c>
      <c r="V6" s="15">
        <v>1.1641086E7</v>
      </c>
      <c r="W6" s="13">
        <f t="shared" si="11"/>
        <v>0</v>
      </c>
      <c r="X6" s="15">
        <v>1.1641086E7</v>
      </c>
      <c r="Y6" s="13"/>
    </row>
    <row r="7">
      <c r="A7" s="16" t="s">
        <v>21</v>
      </c>
      <c r="B7" s="17">
        <f>B6/B3</f>
        <v>0.97532229</v>
      </c>
      <c r="C7" s="18">
        <f t="shared" si="1"/>
        <v>-0.29464452</v>
      </c>
      <c r="D7" s="17">
        <f>D6/D3</f>
        <v>0.687948922</v>
      </c>
      <c r="E7" s="18">
        <f t="shared" si="2"/>
        <v>0.3776315418</v>
      </c>
      <c r="F7" s="17">
        <f>F6/F3</f>
        <v>0.9477401341</v>
      </c>
      <c r="G7" s="18">
        <f t="shared" si="3"/>
        <v>0.01327198044</v>
      </c>
      <c r="H7" s="17">
        <f>H6/H3</f>
        <v>0.9603185226</v>
      </c>
      <c r="I7" s="18">
        <f t="shared" si="4"/>
        <v>-0.02055631911</v>
      </c>
      <c r="J7" s="17">
        <f>J6/J3</f>
        <v>0.9405779086</v>
      </c>
      <c r="K7" s="18">
        <f t="shared" si="5"/>
        <v>0.01243959765</v>
      </c>
      <c r="L7" s="17">
        <f>L6/L3</f>
        <v>0.9522783193</v>
      </c>
      <c r="M7" s="18">
        <f t="shared" si="6"/>
        <v>0.004184310105</v>
      </c>
      <c r="N7" s="17">
        <f>N6/N3</f>
        <v>0.9562629471</v>
      </c>
      <c r="O7" s="18">
        <f t="shared" si="7"/>
        <v>-0.2565958713</v>
      </c>
      <c r="P7" s="17">
        <f>P6/P3</f>
        <v>0.710889823</v>
      </c>
      <c r="Q7" s="18">
        <f t="shared" si="8"/>
        <v>0.3230994144</v>
      </c>
      <c r="R7" s="17">
        <f>R6/R3</f>
        <v>0.9405779086</v>
      </c>
      <c r="S7" s="18">
        <f t="shared" si="9"/>
        <v>0</v>
      </c>
      <c r="T7" s="17">
        <f>T6/T3</f>
        <v>0.9405779086</v>
      </c>
      <c r="U7" s="18">
        <f t="shared" si="10"/>
        <v>0</v>
      </c>
      <c r="V7" s="17">
        <f>V6/V3</f>
        <v>0.9405779086</v>
      </c>
      <c r="W7" s="18">
        <f t="shared" si="11"/>
        <v>0</v>
      </c>
      <c r="X7" s="17">
        <f>X6/X3</f>
        <v>0.9405779086</v>
      </c>
      <c r="Y7" s="13"/>
    </row>
    <row r="8">
      <c r="A8" s="1" t="s">
        <v>22</v>
      </c>
      <c r="B8" s="14">
        <f>B5-B6</f>
        <v>550416.473</v>
      </c>
      <c r="C8" s="12">
        <f t="shared" si="1"/>
        <v>0.4419780812</v>
      </c>
      <c r="D8" s="14">
        <f>D5-D6</f>
        <v>793688.4896</v>
      </c>
      <c r="E8" s="12">
        <f t="shared" si="2"/>
        <v>-0.3392229053</v>
      </c>
      <c r="F8" s="14">
        <f>F5-F6</f>
        <v>524451.1743</v>
      </c>
      <c r="G8" s="12">
        <f t="shared" si="3"/>
        <v>0.0562111173</v>
      </c>
      <c r="H8" s="14">
        <f>H5-H6</f>
        <v>553931.1608</v>
      </c>
      <c r="I8" s="12">
        <f t="shared" si="4"/>
        <v>-0.1015313032</v>
      </c>
      <c r="J8" s="14">
        <f>J5-J6</f>
        <v>497689.8081</v>
      </c>
      <c r="K8" s="12">
        <f t="shared" si="5"/>
        <v>-0.03239380259</v>
      </c>
      <c r="L8" s="14">
        <f>L5-L6</f>
        <v>481567.7427</v>
      </c>
      <c r="M8" s="12">
        <f t="shared" si="6"/>
        <v>0.07260136904</v>
      </c>
      <c r="N8" s="14">
        <f>N5-N6</f>
        <v>516530.2201</v>
      </c>
      <c r="O8" s="12">
        <f t="shared" si="7"/>
        <v>0.3364818819</v>
      </c>
      <c r="P8" s="14">
        <f>P5-P6</f>
        <v>690333.2807</v>
      </c>
      <c r="Q8" s="12">
        <f t="shared" si="8"/>
        <v>-0.3520968021</v>
      </c>
      <c r="R8" s="14">
        <f>R5-R6</f>
        <v>447269.1402</v>
      </c>
      <c r="S8" s="12">
        <f t="shared" si="9"/>
        <v>0</v>
      </c>
      <c r="T8" s="14">
        <f>T5-T6</f>
        <v>447269.1402</v>
      </c>
      <c r="U8" s="12">
        <f t="shared" si="10"/>
        <v>0</v>
      </c>
      <c r="V8" s="14">
        <f>V5-V6</f>
        <v>447269.1402</v>
      </c>
      <c r="W8" s="12">
        <f t="shared" si="11"/>
        <v>0</v>
      </c>
      <c r="X8" s="14">
        <f>X5-X6</f>
        <v>447269.1402</v>
      </c>
      <c r="Y8" s="13"/>
    </row>
    <row r="9">
      <c r="A9" s="4" t="s">
        <v>25</v>
      </c>
      <c r="B9" s="15">
        <v>315023.0</v>
      </c>
      <c r="C9" s="13">
        <f t="shared" si="1"/>
        <v>3.859216629</v>
      </c>
      <c r="D9" s="15">
        <v>1530765.0</v>
      </c>
      <c r="E9" s="13">
        <f t="shared" si="2"/>
        <v>-0.4941169938</v>
      </c>
      <c r="F9" s="15">
        <v>774388.0</v>
      </c>
      <c r="G9" s="13">
        <f t="shared" si="3"/>
        <v>-0.3258043771</v>
      </c>
      <c r="H9" s="15">
        <v>522089.0</v>
      </c>
      <c r="I9" s="13">
        <f t="shared" si="4"/>
        <v>0.4086468016</v>
      </c>
      <c r="J9" s="15">
        <v>735439.0</v>
      </c>
      <c r="K9" s="13">
        <f t="shared" si="5"/>
        <v>-0.1213071376</v>
      </c>
      <c r="L9" s="15">
        <v>646225.0</v>
      </c>
      <c r="M9" s="13">
        <f t="shared" si="6"/>
        <v>-0.0485001354</v>
      </c>
      <c r="N9" s="15">
        <v>614883.0</v>
      </c>
      <c r="O9" s="13">
        <f t="shared" si="7"/>
        <v>-0.001242512803</v>
      </c>
      <c r="P9" s="15">
        <v>614119.0</v>
      </c>
      <c r="Q9" s="13">
        <f t="shared" si="8"/>
        <v>0.1975512889</v>
      </c>
      <c r="R9" s="15">
        <v>735439.0</v>
      </c>
      <c r="S9" s="13">
        <f t="shared" si="9"/>
        <v>0</v>
      </c>
      <c r="T9" s="15">
        <v>735439.0</v>
      </c>
      <c r="U9" s="13">
        <f t="shared" si="10"/>
        <v>0</v>
      </c>
      <c r="V9" s="15">
        <v>735439.0</v>
      </c>
      <c r="W9" s="13">
        <f t="shared" si="11"/>
        <v>0</v>
      </c>
      <c r="X9" s="15">
        <v>735439.0</v>
      </c>
    </row>
    <row r="10">
      <c r="A10" s="16" t="s">
        <v>27</v>
      </c>
      <c r="B10" s="17">
        <f>B9/B3</f>
        <v>0.0208460827</v>
      </c>
      <c r="C10" s="18">
        <f t="shared" si="1"/>
        <v>1.37692592</v>
      </c>
      <c r="D10" s="17">
        <f>D9/D3</f>
        <v>0.04954959431</v>
      </c>
      <c r="E10" s="18">
        <f t="shared" si="2"/>
        <v>0.05469815981</v>
      </c>
      <c r="F10" s="17">
        <f>F9/F3</f>
        <v>0.05225986594</v>
      </c>
      <c r="G10" s="18">
        <f t="shared" si="3"/>
        <v>-0.2406892611</v>
      </c>
      <c r="H10" s="17">
        <f>H9/H3</f>
        <v>0.03968147742</v>
      </c>
      <c r="I10" s="18">
        <f t="shared" si="4"/>
        <v>0.4974767898</v>
      </c>
      <c r="J10" s="17">
        <f>J9/J3</f>
        <v>0.05942209142</v>
      </c>
      <c r="K10" s="18">
        <f t="shared" si="5"/>
        <v>-0.1969033816</v>
      </c>
      <c r="L10" s="17">
        <f>L9/L3</f>
        <v>0.04772168067</v>
      </c>
      <c r="M10" s="18">
        <f t="shared" si="6"/>
        <v>-0.0834972226</v>
      </c>
      <c r="N10" s="17">
        <f>N9/N3</f>
        <v>0.04373705288</v>
      </c>
      <c r="O10" s="18">
        <f t="shared" si="7"/>
        <v>-0.4288436246</v>
      </c>
      <c r="P10" s="17">
        <f>P9/P3</f>
        <v>0.02498069659</v>
      </c>
      <c r="Q10" s="18">
        <f t="shared" si="8"/>
        <v>1.378720353</v>
      </c>
      <c r="R10" s="17">
        <f>R9/R3</f>
        <v>0.05942209142</v>
      </c>
      <c r="S10" s="18">
        <f t="shared" si="9"/>
        <v>0</v>
      </c>
      <c r="T10" s="17">
        <f>T9/T3</f>
        <v>0.05942209142</v>
      </c>
      <c r="U10" s="18">
        <f t="shared" si="10"/>
        <v>0</v>
      </c>
      <c r="V10" s="17">
        <f>V9/V3</f>
        <v>0.05942209142</v>
      </c>
      <c r="W10" s="18">
        <f t="shared" si="11"/>
        <v>0</v>
      </c>
      <c r="X10" s="17">
        <f>X9/X3</f>
        <v>0.05942209142</v>
      </c>
    </row>
    <row r="11">
      <c r="A11" s="4" t="s">
        <v>30</v>
      </c>
      <c r="B11" s="15">
        <v>57903.0</v>
      </c>
      <c r="C11" s="13">
        <f t="shared" si="1"/>
        <v>139.0551612</v>
      </c>
      <c r="D11" s="15">
        <v>8109614.0</v>
      </c>
      <c r="E11" s="13">
        <f t="shared" si="2"/>
        <v>-1</v>
      </c>
      <c r="F11" s="15">
        <v>0.0</v>
      </c>
      <c r="G11" s="13">
        <f t="shared" si="3"/>
        <v>0</v>
      </c>
      <c r="H11" s="15">
        <v>0.0</v>
      </c>
      <c r="I11" s="13">
        <f t="shared" si="4"/>
        <v>0</v>
      </c>
      <c r="J11" s="15">
        <v>0.0</v>
      </c>
      <c r="K11" s="13">
        <f t="shared" si="5"/>
        <v>0</v>
      </c>
      <c r="L11" s="15">
        <v>0.0</v>
      </c>
      <c r="M11" s="13">
        <f t="shared" si="6"/>
        <v>0</v>
      </c>
      <c r="N11" s="15">
        <v>0.0</v>
      </c>
      <c r="O11" s="13">
        <f t="shared" si="7"/>
        <v>0</v>
      </c>
      <c r="P11" s="15">
        <v>6493291.0</v>
      </c>
      <c r="Q11" s="13">
        <f t="shared" si="8"/>
        <v>-1</v>
      </c>
      <c r="R11" s="15">
        <v>0.0</v>
      </c>
      <c r="S11" s="13">
        <f t="shared" si="9"/>
        <v>0</v>
      </c>
      <c r="T11" s="15">
        <v>0.0</v>
      </c>
      <c r="U11" s="13">
        <f t="shared" si="10"/>
        <v>0</v>
      </c>
      <c r="V11" s="15">
        <v>0.0</v>
      </c>
      <c r="W11" s="13">
        <f t="shared" si="11"/>
        <v>0</v>
      </c>
      <c r="X11" s="15">
        <v>0.0</v>
      </c>
    </row>
    <row r="12">
      <c r="A12" s="16" t="s">
        <v>31</v>
      </c>
      <c r="B12" s="17">
        <f>B11/B3</f>
        <v>0.0038316273</v>
      </c>
      <c r="C12" s="18">
        <f t="shared" si="1"/>
        <v>67.50913807</v>
      </c>
      <c r="D12" s="17">
        <f>D11/D3</f>
        <v>0.2625014837</v>
      </c>
      <c r="E12" s="18">
        <f t="shared" si="2"/>
        <v>-1</v>
      </c>
      <c r="F12" s="17">
        <f>F11/F3</f>
        <v>0</v>
      </c>
      <c r="G12" s="18">
        <f t="shared" si="3"/>
        <v>0</v>
      </c>
      <c r="H12" s="17">
        <f>H11/H3</f>
        <v>0</v>
      </c>
      <c r="I12" s="18">
        <f t="shared" si="4"/>
        <v>0</v>
      </c>
      <c r="J12" s="17">
        <f>J11/J3</f>
        <v>0</v>
      </c>
      <c r="K12" s="18">
        <f t="shared" si="5"/>
        <v>0</v>
      </c>
      <c r="L12" s="17">
        <f>L11/L3</f>
        <v>0</v>
      </c>
      <c r="M12" s="18">
        <f t="shared" si="6"/>
        <v>0</v>
      </c>
      <c r="N12" s="17">
        <f>N11/N3</f>
        <v>0</v>
      </c>
      <c r="O12" s="18">
        <f t="shared" si="7"/>
        <v>0</v>
      </c>
      <c r="P12" s="17">
        <f>P11/P3</f>
        <v>0.2641294804</v>
      </c>
      <c r="Q12" s="18">
        <f t="shared" si="8"/>
        <v>-1</v>
      </c>
      <c r="R12" s="17">
        <f>R11/R3</f>
        <v>0</v>
      </c>
      <c r="S12" s="18">
        <f t="shared" si="9"/>
        <v>0</v>
      </c>
      <c r="T12" s="17">
        <f>T11/T3</f>
        <v>0</v>
      </c>
      <c r="U12" s="18">
        <f t="shared" si="10"/>
        <v>0</v>
      </c>
      <c r="V12" s="17">
        <f>V11/V3</f>
        <v>0</v>
      </c>
      <c r="W12" s="18">
        <f t="shared" si="11"/>
        <v>0</v>
      </c>
      <c r="X12" s="17">
        <f>X11/X3</f>
        <v>0</v>
      </c>
    </row>
    <row r="13">
      <c r="A13" s="1" t="s">
        <v>36</v>
      </c>
      <c r="B13" s="24">
        <f>B11</f>
        <v>57903</v>
      </c>
      <c r="C13" s="13">
        <f t="shared" si="1"/>
        <v>139.0551612</v>
      </c>
      <c r="D13" s="24">
        <f>D11</f>
        <v>8109614</v>
      </c>
      <c r="E13" s="13">
        <f t="shared" si="2"/>
        <v>-1</v>
      </c>
      <c r="F13" s="24">
        <f>F11</f>
        <v>0</v>
      </c>
      <c r="G13" s="13">
        <f t="shared" si="3"/>
        <v>0</v>
      </c>
      <c r="H13" s="24">
        <f>H11</f>
        <v>0</v>
      </c>
      <c r="I13" s="13">
        <f t="shared" si="4"/>
        <v>0</v>
      </c>
      <c r="J13" s="24">
        <f>J11</f>
        <v>0</v>
      </c>
      <c r="K13" s="13">
        <f t="shared" si="5"/>
        <v>0</v>
      </c>
      <c r="L13" s="24">
        <f>L11</f>
        <v>0</v>
      </c>
      <c r="M13" s="13">
        <f t="shared" si="6"/>
        <v>0</v>
      </c>
      <c r="N13" s="24">
        <f>N11</f>
        <v>0</v>
      </c>
      <c r="O13" s="13">
        <f t="shared" si="7"/>
        <v>0</v>
      </c>
      <c r="P13" s="24">
        <f>P11</f>
        <v>6493291</v>
      </c>
      <c r="Q13" s="13">
        <f t="shared" si="8"/>
        <v>-1</v>
      </c>
      <c r="R13" s="24">
        <f>R11</f>
        <v>0</v>
      </c>
      <c r="S13" s="13">
        <f t="shared" si="9"/>
        <v>0</v>
      </c>
      <c r="T13" s="24">
        <f>T11</f>
        <v>0</v>
      </c>
      <c r="U13" s="13">
        <f t="shared" si="10"/>
        <v>0</v>
      </c>
      <c r="V13" s="24">
        <f>V11</f>
        <v>0</v>
      </c>
      <c r="W13" s="13">
        <f t="shared" si="11"/>
        <v>0</v>
      </c>
      <c r="X13" s="24">
        <f>X11</f>
        <v>0</v>
      </c>
    </row>
    <row r="14">
      <c r="A14" s="28" t="s">
        <v>39</v>
      </c>
      <c r="B14" s="24">
        <f>B3-B11</f>
        <v>15053953</v>
      </c>
      <c r="C14" s="13">
        <f t="shared" si="1"/>
        <v>0.5134881184</v>
      </c>
      <c r="D14" s="24">
        <f>D3-D11</f>
        <v>22783979</v>
      </c>
      <c r="E14" s="13">
        <f t="shared" si="2"/>
        <v>-0.3496296235</v>
      </c>
      <c r="F14" s="24">
        <f>F3-F11</f>
        <v>14818025</v>
      </c>
      <c r="G14" s="13">
        <f t="shared" si="3"/>
        <v>-0.1120952354</v>
      </c>
      <c r="H14" s="24">
        <f>H3-H11</f>
        <v>13156995</v>
      </c>
      <c r="I14" s="13">
        <f t="shared" si="4"/>
        <v>-0.05931977629</v>
      </c>
      <c r="J14" s="24">
        <f>J3-J11</f>
        <v>12376525</v>
      </c>
      <c r="K14" s="13">
        <f t="shared" si="5"/>
        <v>0.09413094548</v>
      </c>
      <c r="L14" s="24">
        <f>L3-L11</f>
        <v>13541539</v>
      </c>
      <c r="M14" s="13">
        <f t="shared" si="6"/>
        <v>0.03818546769</v>
      </c>
      <c r="N14" s="24">
        <f>N3-N11</f>
        <v>14058629</v>
      </c>
      <c r="O14" s="13">
        <f t="shared" si="7"/>
        <v>0.2867862862</v>
      </c>
      <c r="P14" s="24">
        <f>P3-P11</f>
        <v>18090451</v>
      </c>
      <c r="Q14" s="13">
        <f t="shared" si="8"/>
        <v>-0.3158531537</v>
      </c>
      <c r="R14" s="24">
        <f>R3-R11</f>
        <v>12376525</v>
      </c>
      <c r="S14" s="13">
        <f t="shared" si="9"/>
        <v>0</v>
      </c>
      <c r="T14" s="24">
        <f>T3-T11</f>
        <v>12376525</v>
      </c>
      <c r="U14" s="13">
        <f t="shared" si="10"/>
        <v>0</v>
      </c>
      <c r="V14" s="24">
        <f>V3-V11</f>
        <v>12376525</v>
      </c>
      <c r="W14" s="13">
        <f t="shared" si="11"/>
        <v>0</v>
      </c>
      <c r="X14" s="24">
        <f>X3-X11</f>
        <v>12376525</v>
      </c>
    </row>
    <row r="16">
      <c r="A16" s="25" t="s">
        <v>44</v>
      </c>
      <c r="B16" s="26">
        <f>ABS(SUM(B17,B18,B20,B22))</f>
        <v>5426842</v>
      </c>
      <c r="C16" s="27">
        <f t="shared" ref="C16:C36" si="12">IFERROR(SUM((D16/B16)-1),0)</f>
        <v>-0.6719828954</v>
      </c>
      <c r="D16" s="26">
        <f>ABS(SUM(D17,D18,D20,D22))</f>
        <v>1780097</v>
      </c>
      <c r="E16" s="27">
        <f t="shared" ref="E16:E36" si="13">IFERROR(SUM((F16/D16)-1),0)</f>
        <v>0.2502397341</v>
      </c>
      <c r="F16" s="26">
        <f>ABS(SUM(F17,F18,F20,F22))</f>
        <v>2225548</v>
      </c>
      <c r="G16" s="27">
        <f t="shared" ref="G16:G36" si="14">IFERROR(SUM((H16/F16)-1),0)</f>
        <v>-0.192798358</v>
      </c>
      <c r="H16" s="26">
        <f>ABS(SUM(H17,H18,H20,H22))</f>
        <v>1796466</v>
      </c>
      <c r="I16" s="27">
        <f t="shared" ref="I16:I36" si="15">IFERROR(SUM((J16/H16)-1),0)</f>
        <v>0.0839064029</v>
      </c>
      <c r="J16" s="26">
        <f>ABS(SUM(J17,J18,J20,J22))</f>
        <v>1947201</v>
      </c>
      <c r="K16" s="27">
        <f t="shared" ref="K16:K36" si="16">IFERROR(SUM((L16/J16)-1),0)</f>
        <v>0.03338535672</v>
      </c>
      <c r="L16" s="26">
        <f>ABS(SUM(L17,L18,L20,L22))</f>
        <v>2012209</v>
      </c>
      <c r="M16" s="27">
        <f t="shared" ref="M16:M36" si="17">IFERROR(SUM((N16/L16)-1),0)</f>
        <v>-0.06393968022</v>
      </c>
      <c r="N16" s="26">
        <f>ABS(SUM(N17,N18,N20,N22))</f>
        <v>1883549</v>
      </c>
      <c r="O16" s="27">
        <f t="shared" ref="O16:O36" si="18">IFERROR(SUM((P16/N16)-1),0)</f>
        <v>0.2854510289</v>
      </c>
      <c r="P16" s="26">
        <f>ABS(SUM(P17,P18,P20,P22))</f>
        <v>2421210</v>
      </c>
      <c r="Q16" s="27">
        <f t="shared" ref="Q16:Q36" si="19">IFERROR(SUM((R16/P16)-1),0)</f>
        <v>-0.1957736008</v>
      </c>
      <c r="R16" s="26">
        <f>ABS(SUM(R17,R18,R20,R22))</f>
        <v>1947201</v>
      </c>
      <c r="S16" s="27">
        <f t="shared" ref="S16:S36" si="20">IFERROR(SUM((T16/R16)-1),0)</f>
        <v>0</v>
      </c>
      <c r="T16" s="26">
        <f>ABS(SUM(T17,T18,T20,T22))</f>
        <v>1947201</v>
      </c>
      <c r="U16" s="27">
        <f t="shared" ref="U16:U36" si="21">IFERROR(SUM((V16/T16)-1),0)</f>
        <v>0</v>
      </c>
      <c r="V16" s="26">
        <f>ABS(SUM(V17,V18,V20,V22))</f>
        <v>1947201</v>
      </c>
      <c r="W16" s="27">
        <f t="shared" ref="W16:W36" si="22">IFERROR(SUM((X16/V16)-1),0)</f>
        <v>0</v>
      </c>
      <c r="X16" s="26">
        <f>ABS(SUM(X17,X18,X20,X22))</f>
        <v>1947201</v>
      </c>
    </row>
    <row r="17">
      <c r="A17" s="4" t="s">
        <v>48</v>
      </c>
      <c r="B17" s="15">
        <v>0.0</v>
      </c>
      <c r="C17" s="13">
        <f t="shared" si="12"/>
        <v>0</v>
      </c>
      <c r="D17" s="15">
        <v>0.0</v>
      </c>
      <c r="E17" s="13">
        <f t="shared" si="13"/>
        <v>0</v>
      </c>
      <c r="F17" s="15">
        <v>0.0</v>
      </c>
      <c r="G17" s="13">
        <f t="shared" si="14"/>
        <v>0</v>
      </c>
      <c r="H17" s="15">
        <v>0.0</v>
      </c>
      <c r="I17" s="13">
        <f t="shared" si="15"/>
        <v>0</v>
      </c>
      <c r="J17" s="15">
        <v>0.0</v>
      </c>
      <c r="K17" s="13">
        <f t="shared" si="16"/>
        <v>0</v>
      </c>
      <c r="L17" s="15">
        <v>0.0</v>
      </c>
      <c r="M17" s="13">
        <f t="shared" si="17"/>
        <v>0</v>
      </c>
      <c r="N17" s="15">
        <v>0.0</v>
      </c>
      <c r="O17" s="13">
        <f t="shared" si="18"/>
        <v>0</v>
      </c>
      <c r="P17" s="15">
        <v>-427163.0</v>
      </c>
      <c r="Q17" s="13">
        <f t="shared" si="19"/>
        <v>-1</v>
      </c>
      <c r="R17" s="15">
        <v>0.0</v>
      </c>
      <c r="S17" s="13">
        <f t="shared" si="20"/>
        <v>0</v>
      </c>
      <c r="T17" s="15">
        <v>0.0</v>
      </c>
      <c r="U17" s="13">
        <f t="shared" si="21"/>
        <v>0</v>
      </c>
      <c r="V17" s="15">
        <v>0.0</v>
      </c>
      <c r="W17" s="13">
        <f t="shared" si="22"/>
        <v>0</v>
      </c>
      <c r="X17" s="15">
        <v>0.0</v>
      </c>
    </row>
    <row r="18">
      <c r="A18" s="25" t="s">
        <v>49</v>
      </c>
      <c r="B18" s="29">
        <v>-1013017.0</v>
      </c>
      <c r="C18" s="27">
        <f t="shared" si="12"/>
        <v>-0.02173704884</v>
      </c>
      <c r="D18" s="29">
        <v>-990997.0</v>
      </c>
      <c r="E18" s="27">
        <f t="shared" si="13"/>
        <v>-0.04266511402</v>
      </c>
      <c r="F18" s="29">
        <v>-948716.0</v>
      </c>
      <c r="G18" s="27">
        <f t="shared" si="14"/>
        <v>0.02282453337</v>
      </c>
      <c r="H18" s="29">
        <v>-970370.0</v>
      </c>
      <c r="I18" s="27">
        <f t="shared" si="15"/>
        <v>0.02451951318</v>
      </c>
      <c r="J18" s="29">
        <v>-994163.0</v>
      </c>
      <c r="K18" s="27">
        <f t="shared" si="16"/>
        <v>-0.01764499383</v>
      </c>
      <c r="L18" s="29">
        <v>-976621.0</v>
      </c>
      <c r="M18" s="27">
        <f t="shared" si="17"/>
        <v>0.02503734816</v>
      </c>
      <c r="N18" s="29">
        <v>-1001073.0</v>
      </c>
      <c r="O18" s="27">
        <f t="shared" si="18"/>
        <v>0.0230552617</v>
      </c>
      <c r="P18" s="29">
        <v>-1024153.0</v>
      </c>
      <c r="Q18" s="27">
        <f t="shared" si="19"/>
        <v>-0.02928273412</v>
      </c>
      <c r="R18" s="29">
        <v>-994163.0</v>
      </c>
      <c r="S18" s="27">
        <f t="shared" si="20"/>
        <v>0</v>
      </c>
      <c r="T18" s="29">
        <v>-994163.0</v>
      </c>
      <c r="U18" s="27">
        <f t="shared" si="21"/>
        <v>0</v>
      </c>
      <c r="V18" s="29">
        <v>-994163.0</v>
      </c>
      <c r="W18" s="27">
        <f t="shared" si="22"/>
        <v>0</v>
      </c>
      <c r="X18" s="29">
        <v>-994163.0</v>
      </c>
    </row>
    <row r="19">
      <c r="A19" s="1" t="s">
        <v>50</v>
      </c>
      <c r="B19" s="30">
        <f>ABS(B18)/B3</f>
        <v>0.0670345853</v>
      </c>
      <c r="C19" s="31">
        <f t="shared" si="12"/>
        <v>-0.5214746032</v>
      </c>
      <c r="D19" s="30">
        <f>ABS(D18)/D3</f>
        <v>0.03207775153</v>
      </c>
      <c r="E19" s="31">
        <f t="shared" si="13"/>
        <v>0.9959147276</v>
      </c>
      <c r="F19" s="30">
        <f>ABS(F18)/F3</f>
        <v>0.0640244567</v>
      </c>
      <c r="G19" s="31">
        <f t="shared" si="14"/>
        <v>0.151952973</v>
      </c>
      <c r="H19" s="30">
        <f>ABS(H18)/H3</f>
        <v>0.07375316324</v>
      </c>
      <c r="I19" s="31">
        <f t="shared" si="15"/>
        <v>0.08912623796</v>
      </c>
      <c r="J19" s="30">
        <f>ABS(J18)/J3</f>
        <v>0.08032650522</v>
      </c>
      <c r="K19" s="31">
        <f t="shared" si="16"/>
        <v>-0.102159563</v>
      </c>
      <c r="L19" s="30">
        <f>ABS(L18)/L3</f>
        <v>0.07212038454</v>
      </c>
      <c r="M19" s="31">
        <f t="shared" si="17"/>
        <v>-0.01266451895</v>
      </c>
      <c r="N19" s="30">
        <f>ABS(N18)/N3</f>
        <v>0.07120701457</v>
      </c>
      <c r="O19" s="31">
        <f t="shared" si="18"/>
        <v>-0.414948531</v>
      </c>
      <c r="P19" s="30">
        <f>ABS(P18)/P3</f>
        <v>0.04165976848</v>
      </c>
      <c r="Q19" s="31">
        <f t="shared" si="19"/>
        <v>0.928155344</v>
      </c>
      <c r="R19" s="30">
        <f>ABS(R18)/R3</f>
        <v>0.08032650522</v>
      </c>
      <c r="S19" s="31">
        <f t="shared" si="20"/>
        <v>0</v>
      </c>
      <c r="T19" s="30">
        <f>ABS(T18)/T3</f>
        <v>0.08032650522</v>
      </c>
      <c r="U19" s="31">
        <f t="shared" si="21"/>
        <v>0</v>
      </c>
      <c r="V19" s="30">
        <f>ABS(V18)/V3</f>
        <v>0.08032650522</v>
      </c>
      <c r="W19" s="31">
        <f t="shared" si="22"/>
        <v>0</v>
      </c>
      <c r="X19" s="30">
        <f>ABS(X18)/X3</f>
        <v>0.08032650522</v>
      </c>
    </row>
    <row r="20">
      <c r="A20" s="32" t="s">
        <v>51</v>
      </c>
      <c r="B20" s="33">
        <v>-1198137.0</v>
      </c>
      <c r="C20" s="34">
        <f t="shared" si="12"/>
        <v>-0.4723299589</v>
      </c>
      <c r="D20" s="33">
        <v>-632221.0</v>
      </c>
      <c r="E20" s="34">
        <f t="shared" si="13"/>
        <v>0.09737575943</v>
      </c>
      <c r="F20" s="33">
        <v>-693784.0</v>
      </c>
      <c r="G20" s="34">
        <f t="shared" si="14"/>
        <v>-0.188819575</v>
      </c>
      <c r="H20" s="33">
        <v>-562784.0</v>
      </c>
      <c r="I20" s="34">
        <f t="shared" si="15"/>
        <v>0.195122818</v>
      </c>
      <c r="J20" s="33">
        <v>-672596.0</v>
      </c>
      <c r="K20" s="34">
        <f t="shared" si="16"/>
        <v>-0.09820308179</v>
      </c>
      <c r="L20" s="33">
        <v>-606545.0</v>
      </c>
      <c r="M20" s="34">
        <f t="shared" si="17"/>
        <v>0.4549225531</v>
      </c>
      <c r="N20" s="33">
        <v>-882476.0</v>
      </c>
      <c r="O20" s="34">
        <f t="shared" si="18"/>
        <v>-0.2824790703</v>
      </c>
      <c r="P20" s="33">
        <v>-633195.0</v>
      </c>
      <c r="Q20" s="34">
        <f t="shared" si="19"/>
        <v>0.06222569667</v>
      </c>
      <c r="R20" s="33">
        <v>-672596.0</v>
      </c>
      <c r="S20" s="34">
        <f t="shared" si="20"/>
        <v>0</v>
      </c>
      <c r="T20" s="33">
        <v>-672596.0</v>
      </c>
      <c r="U20" s="34">
        <f t="shared" si="21"/>
        <v>0</v>
      </c>
      <c r="V20" s="33">
        <v>-672596.0</v>
      </c>
      <c r="W20" s="34">
        <f t="shared" si="22"/>
        <v>0</v>
      </c>
      <c r="X20" s="33">
        <v>-672596.0</v>
      </c>
      <c r="Y20" s="35"/>
      <c r="Z20" s="35"/>
    </row>
    <row r="21">
      <c r="A21" s="1" t="s">
        <v>52</v>
      </c>
      <c r="B21" s="30">
        <f>ABS(B20)/B3</f>
        <v>0.07928456968</v>
      </c>
      <c r="C21" s="31">
        <f t="shared" si="12"/>
        <v>-0.7418858442</v>
      </c>
      <c r="D21" s="30">
        <f>ABS(D20)/D3</f>
        <v>0.02046446977</v>
      </c>
      <c r="E21" s="31">
        <f t="shared" si="13"/>
        <v>1.28788115</v>
      </c>
      <c r="F21" s="30">
        <f>ABS(F20)/F3</f>
        <v>0.04682027463</v>
      </c>
      <c r="G21" s="31">
        <f t="shared" si="14"/>
        <v>-0.08641055061</v>
      </c>
      <c r="H21" s="30">
        <f>ABS(H20)/H3</f>
        <v>0.04277450892</v>
      </c>
      <c r="I21" s="31">
        <f t="shared" si="15"/>
        <v>0.2704878745</v>
      </c>
      <c r="J21" s="30">
        <f>ABS(J20)/J3</f>
        <v>0.05434449492</v>
      </c>
      <c r="K21" s="31">
        <f t="shared" si="16"/>
        <v>-0.1757870281</v>
      </c>
      <c r="L21" s="30">
        <f>ABS(L20)/L3</f>
        <v>0.04479143766</v>
      </c>
      <c r="M21" s="31">
        <f t="shared" si="17"/>
        <v>0.4014090916</v>
      </c>
      <c r="N21" s="30">
        <f>ABS(N20)/N3</f>
        <v>0.06277112797</v>
      </c>
      <c r="O21" s="31">
        <f t="shared" si="18"/>
        <v>-0.5896735106</v>
      </c>
      <c r="P21" s="30">
        <f>ABS(P20)/P3</f>
        <v>0.02575665657</v>
      </c>
      <c r="Q21" s="31">
        <f t="shared" si="19"/>
        <v>1.109920391</v>
      </c>
      <c r="R21" s="30">
        <f>ABS(R20)/R3</f>
        <v>0.05434449492</v>
      </c>
      <c r="S21" s="31">
        <f t="shared" si="20"/>
        <v>0</v>
      </c>
      <c r="T21" s="30">
        <f>ABS(T20)/T3</f>
        <v>0.05434449492</v>
      </c>
      <c r="U21" s="31">
        <f t="shared" si="21"/>
        <v>0</v>
      </c>
      <c r="V21" s="30">
        <f>ABS(V20)/V3</f>
        <v>0.05434449492</v>
      </c>
      <c r="W21" s="31">
        <f t="shared" si="22"/>
        <v>0</v>
      </c>
      <c r="X21" s="30">
        <f>ABS(X20)/X3</f>
        <v>0.05434449492</v>
      </c>
    </row>
    <row r="22">
      <c r="A22" s="4" t="s">
        <v>53</v>
      </c>
      <c r="B22" s="15">
        <v>-3215688.0</v>
      </c>
      <c r="C22" s="13">
        <f t="shared" si="12"/>
        <v>-0.9512144835</v>
      </c>
      <c r="D22" s="15">
        <v>-156879.0</v>
      </c>
      <c r="E22" s="13">
        <f t="shared" si="13"/>
        <v>2.716545873</v>
      </c>
      <c r="F22" s="15">
        <v>-583048.0</v>
      </c>
      <c r="G22" s="13">
        <f t="shared" si="14"/>
        <v>-0.5483870968</v>
      </c>
      <c r="H22" s="15">
        <v>-263312.0</v>
      </c>
      <c r="I22" s="13">
        <f t="shared" si="15"/>
        <v>0.06505590326</v>
      </c>
      <c r="J22" s="15">
        <v>-280442.0</v>
      </c>
      <c r="K22" s="13">
        <f t="shared" si="16"/>
        <v>0.5298814015</v>
      </c>
      <c r="L22" s="15">
        <v>-429043.0</v>
      </c>
      <c r="M22" s="13">
        <f t="shared" si="17"/>
        <v>-1</v>
      </c>
      <c r="N22" s="15">
        <v>0.0</v>
      </c>
      <c r="O22" s="13">
        <f t="shared" si="18"/>
        <v>0</v>
      </c>
      <c r="P22" s="15">
        <v>-336699.0</v>
      </c>
      <c r="Q22" s="13">
        <f t="shared" si="19"/>
        <v>-0.1670839533</v>
      </c>
      <c r="R22" s="15">
        <v>-280442.0</v>
      </c>
      <c r="S22" s="13">
        <f t="shared" si="20"/>
        <v>0</v>
      </c>
      <c r="T22" s="15">
        <v>-280442.0</v>
      </c>
      <c r="U22" s="13">
        <f t="shared" si="21"/>
        <v>0</v>
      </c>
      <c r="V22" s="15">
        <v>-280442.0</v>
      </c>
      <c r="W22" s="13">
        <f t="shared" si="22"/>
        <v>0</v>
      </c>
      <c r="X22" s="15">
        <v>-280442.0</v>
      </c>
    </row>
    <row r="23">
      <c r="A23" s="1" t="s">
        <v>54</v>
      </c>
      <c r="B23" s="31">
        <f>ABS(B16)/B3</f>
        <v>0.3591115479</v>
      </c>
      <c r="C23" s="31">
        <f t="shared" si="12"/>
        <v>-0.839547726</v>
      </c>
      <c r="D23" s="31">
        <f>D16/D3</f>
        <v>0.0576202645</v>
      </c>
      <c r="E23" s="31">
        <f t="shared" si="13"/>
        <v>1.606582017</v>
      </c>
      <c r="F23" s="31">
        <f>F16/F3</f>
        <v>0.1501919453</v>
      </c>
      <c r="G23" s="31">
        <f t="shared" si="14"/>
        <v>-0.09089164269</v>
      </c>
      <c r="H23" s="31">
        <f>H16/H3</f>
        <v>0.1365407527</v>
      </c>
      <c r="I23" s="31">
        <f t="shared" si="15"/>
        <v>0.1522580953</v>
      </c>
      <c r="J23" s="31">
        <f>J16/J3</f>
        <v>0.1573301876</v>
      </c>
      <c r="K23" s="31">
        <f t="shared" si="16"/>
        <v>-0.05551948695</v>
      </c>
      <c r="L23" s="31">
        <f>L16/L3</f>
        <v>0.1485952963</v>
      </c>
      <c r="M23" s="31">
        <f t="shared" si="17"/>
        <v>-0.098368886</v>
      </c>
      <c r="N23" s="31">
        <f>N16/N3</f>
        <v>0.1339781425</v>
      </c>
      <c r="O23" s="31">
        <f t="shared" si="18"/>
        <v>-0.2648930699</v>
      </c>
      <c r="P23" s="31">
        <f>P16/P3</f>
        <v>0.09848826106</v>
      </c>
      <c r="Q23" s="31">
        <f t="shared" si="19"/>
        <v>0.5974511672</v>
      </c>
      <c r="R23" s="31">
        <f>R16/R3</f>
        <v>0.1573301876</v>
      </c>
      <c r="S23" s="31">
        <f t="shared" si="20"/>
        <v>0</v>
      </c>
      <c r="T23" s="31">
        <f>T16/T3</f>
        <v>0.1573301876</v>
      </c>
      <c r="U23" s="31">
        <f t="shared" si="21"/>
        <v>0</v>
      </c>
      <c r="V23" s="31">
        <f>V16/V3</f>
        <v>0.1573301876</v>
      </c>
      <c r="W23" s="31">
        <f t="shared" si="22"/>
        <v>0</v>
      </c>
      <c r="X23" s="31">
        <f>X16/X3</f>
        <v>0.1573301876</v>
      </c>
    </row>
    <row r="24">
      <c r="A24" s="36" t="s">
        <v>56</v>
      </c>
      <c r="B24" s="37">
        <f>B25/$B$3</f>
        <v>0.6408884521</v>
      </c>
      <c r="C24" s="38">
        <f t="shared" si="12"/>
        <v>0.4704270805</v>
      </c>
      <c r="D24" s="37">
        <f>D25/$D$3</f>
        <v>0.9423797355</v>
      </c>
      <c r="E24" s="38">
        <f t="shared" si="13"/>
        <v>-0.09823182449</v>
      </c>
      <c r="F24" s="37">
        <f>F25/$F$3</f>
        <v>0.8498080547</v>
      </c>
      <c r="G24" s="38">
        <f t="shared" si="14"/>
        <v>0.01606385413</v>
      </c>
      <c r="H24" s="37">
        <f>H25/$H$3</f>
        <v>0.8634592473</v>
      </c>
      <c r="I24" s="38">
        <f t="shared" si="15"/>
        <v>-0.02407691504</v>
      </c>
      <c r="J24" s="37">
        <f>J25/$J$3</f>
        <v>0.8426698124</v>
      </c>
      <c r="K24" s="38">
        <f t="shared" si="16"/>
        <v>0.0103657342</v>
      </c>
      <c r="L24" s="37">
        <f>L25/$L$3</f>
        <v>0.8514047037</v>
      </c>
      <c r="M24" s="38">
        <f t="shared" si="17"/>
        <v>0.01716827931</v>
      </c>
      <c r="N24" s="37">
        <f>N25/$N$3</f>
        <v>0.8660218575</v>
      </c>
      <c r="O24" s="38">
        <f t="shared" si="18"/>
        <v>0.04098035305</v>
      </c>
      <c r="P24" s="37">
        <f>P25/$P$3</f>
        <v>0.9015117389</v>
      </c>
      <c r="Q24" s="38">
        <f t="shared" si="19"/>
        <v>-0.06527028322</v>
      </c>
      <c r="R24" s="37">
        <f>R25/$R$3</f>
        <v>0.8426698124</v>
      </c>
      <c r="S24" s="38">
        <f t="shared" si="20"/>
        <v>0</v>
      </c>
      <c r="T24" s="37">
        <f>T25/$T$3</f>
        <v>0.8426698124</v>
      </c>
      <c r="U24" s="38">
        <f t="shared" si="21"/>
        <v>0</v>
      </c>
      <c r="V24" s="37">
        <f>V25/$V$3</f>
        <v>0.8426698124</v>
      </c>
      <c r="W24" s="38">
        <f t="shared" si="22"/>
        <v>0</v>
      </c>
      <c r="X24" s="37">
        <f>X25/$X$3</f>
        <v>0.8426698124</v>
      </c>
      <c r="Y24" s="13"/>
    </row>
    <row r="25">
      <c r="A25" s="23" t="s">
        <v>57</v>
      </c>
      <c r="B25" s="22">
        <f>B3-B16</f>
        <v>9685014</v>
      </c>
      <c r="C25" s="13">
        <f t="shared" si="12"/>
        <v>2.00603551</v>
      </c>
      <c r="D25" s="22">
        <f>D3-D16</f>
        <v>29113496</v>
      </c>
      <c r="E25" s="13">
        <f t="shared" si="13"/>
        <v>-0.5674694307</v>
      </c>
      <c r="F25" s="22">
        <f>F3-F16</f>
        <v>12592477</v>
      </c>
      <c r="G25" s="13">
        <f t="shared" si="14"/>
        <v>-0.09783206275</v>
      </c>
      <c r="H25" s="22">
        <f>H3-H16</f>
        <v>11360529</v>
      </c>
      <c r="I25" s="13">
        <f t="shared" si="15"/>
        <v>-0.08196845411</v>
      </c>
      <c r="J25" s="22">
        <f>J3-J16</f>
        <v>10429324</v>
      </c>
      <c r="K25" s="13">
        <f t="shared" si="16"/>
        <v>0.105472416</v>
      </c>
      <c r="L25" s="22">
        <f>L3-L16</f>
        <v>11529330</v>
      </c>
      <c r="M25" s="13">
        <f t="shared" si="17"/>
        <v>0.05600932578</v>
      </c>
      <c r="N25" s="22">
        <f>N3-N16</f>
        <v>12175080</v>
      </c>
      <c r="O25" s="13">
        <f t="shared" si="18"/>
        <v>0.8203192094</v>
      </c>
      <c r="P25" s="22">
        <f>P3-P16</f>
        <v>22162532</v>
      </c>
      <c r="Q25" s="13">
        <f t="shared" si="19"/>
        <v>-0.5294164042</v>
      </c>
      <c r="R25" s="22">
        <f>R3-R16</f>
        <v>10429324</v>
      </c>
      <c r="S25" s="13">
        <f t="shared" si="20"/>
        <v>0</v>
      </c>
      <c r="T25" s="22">
        <f>T3-T16</f>
        <v>10429324</v>
      </c>
      <c r="U25" s="13">
        <f t="shared" si="21"/>
        <v>0</v>
      </c>
      <c r="V25" s="22">
        <f>V3-V16</f>
        <v>10429324</v>
      </c>
      <c r="W25" s="13">
        <f t="shared" si="22"/>
        <v>0</v>
      </c>
      <c r="X25" s="22">
        <f>X3-X16</f>
        <v>10429324</v>
      </c>
    </row>
    <row r="26">
      <c r="A26" s="23" t="s">
        <v>58</v>
      </c>
      <c r="B26" s="39">
        <f>B25-ABS(B13)</f>
        <v>9627111</v>
      </c>
      <c r="C26" s="12">
        <f t="shared" si="12"/>
        <v>1.181742996</v>
      </c>
      <c r="D26" s="39">
        <f>D25-ABS(D13)</f>
        <v>21003882</v>
      </c>
      <c r="E26" s="12">
        <f t="shared" si="13"/>
        <v>-0.4004690657</v>
      </c>
      <c r="F26" s="39">
        <f>F25-ABS(F13)</f>
        <v>12592477</v>
      </c>
      <c r="G26" s="12">
        <f t="shared" si="14"/>
        <v>-0.09783206275</v>
      </c>
      <c r="H26" s="39">
        <f>H25-ABS(H13)</f>
        <v>11360529</v>
      </c>
      <c r="I26" s="12">
        <f t="shared" si="15"/>
        <v>-0.08196845411</v>
      </c>
      <c r="J26" s="39">
        <f>J25-ABS(J13)</f>
        <v>10429324</v>
      </c>
      <c r="K26" s="12">
        <f t="shared" si="16"/>
        <v>0.105472416</v>
      </c>
      <c r="L26" s="39">
        <f>L25-ABS(L13)</f>
        <v>11529330</v>
      </c>
      <c r="M26" s="12">
        <f t="shared" si="17"/>
        <v>0.05600932578</v>
      </c>
      <c r="N26" s="39">
        <f>N25-ABS(N13)</f>
        <v>12175080</v>
      </c>
      <c r="O26" s="12">
        <f t="shared" si="18"/>
        <v>0.2869928575</v>
      </c>
      <c r="P26" s="39">
        <f>P25-ABS(P13)</f>
        <v>15669241</v>
      </c>
      <c r="Q26" s="12">
        <f t="shared" si="19"/>
        <v>-0.3344078376</v>
      </c>
      <c r="R26" s="39">
        <f>R25-ABS(R13)</f>
        <v>10429324</v>
      </c>
      <c r="S26" s="12">
        <f t="shared" si="20"/>
        <v>0</v>
      </c>
      <c r="T26" s="39">
        <f>T25-ABS(T13)</f>
        <v>10429324</v>
      </c>
      <c r="U26" s="12">
        <f t="shared" si="21"/>
        <v>0</v>
      </c>
      <c r="V26" s="39">
        <f>V25-ABS(V13)</f>
        <v>10429324</v>
      </c>
      <c r="W26" s="12">
        <f t="shared" si="22"/>
        <v>0</v>
      </c>
      <c r="X26" s="39">
        <f>X25-ABS(X13)</f>
        <v>10429324</v>
      </c>
    </row>
    <row r="27">
      <c r="A27" s="1" t="s">
        <v>59</v>
      </c>
      <c r="B27" s="15">
        <f>(B35-B34)*B33</f>
        <v>-2339586</v>
      </c>
      <c r="C27" s="13">
        <f t="shared" si="12"/>
        <v>-7.467555798</v>
      </c>
      <c r="D27" s="15">
        <f>(D35-D34)*D33</f>
        <v>15131403</v>
      </c>
      <c r="E27" s="13">
        <f t="shared" si="13"/>
        <v>-1.09183656</v>
      </c>
      <c r="F27" s="15">
        <f>(F35-F34)*F33</f>
        <v>-1389616</v>
      </c>
      <c r="G27" s="13">
        <f t="shared" si="14"/>
        <v>0.8865384394</v>
      </c>
      <c r="H27" s="15">
        <f>(H35-H34)*H33</f>
        <v>-2621564</v>
      </c>
      <c r="I27" s="13">
        <f t="shared" si="15"/>
        <v>0.3552097145</v>
      </c>
      <c r="J27" s="15">
        <f>(J35-J34)*J33</f>
        <v>-3552769</v>
      </c>
      <c r="K27" s="13">
        <f t="shared" si="16"/>
        <v>-0.309619342</v>
      </c>
      <c r="L27" s="15">
        <f>(L35-L34)*L33</f>
        <v>-2452763</v>
      </c>
      <c r="M27" s="13">
        <f t="shared" si="17"/>
        <v>-0.2632745194</v>
      </c>
      <c r="N27" s="15">
        <f>(N35-N34)*N33</f>
        <v>-1807013</v>
      </c>
      <c r="O27" s="13">
        <f t="shared" si="18"/>
        <v>-5.527050442</v>
      </c>
      <c r="P27" s="15">
        <f>(P35-P34)*P33</f>
        <v>8180439</v>
      </c>
      <c r="Q27" s="13">
        <f t="shared" si="19"/>
        <v>-1.434300531</v>
      </c>
      <c r="R27" s="15">
        <f>(R35-R34)*R33</f>
        <v>-3552769</v>
      </c>
      <c r="S27" s="13">
        <f t="shared" si="20"/>
        <v>0</v>
      </c>
      <c r="T27" s="15">
        <f>(T35-T34)*T33</f>
        <v>-3552769</v>
      </c>
      <c r="U27" s="13">
        <f t="shared" si="21"/>
        <v>0</v>
      </c>
      <c r="V27" s="15">
        <f>(V35-V34)*V33</f>
        <v>-3552769</v>
      </c>
      <c r="W27" s="13">
        <f t="shared" si="22"/>
        <v>0</v>
      </c>
      <c r="X27" s="15">
        <f>(X35-X34)*X33</f>
        <v>-3552769</v>
      </c>
    </row>
    <row r="28">
      <c r="A28" s="4" t="s">
        <v>60</v>
      </c>
      <c r="B28" s="40">
        <f>B27/B25</f>
        <v>-0.2415676425</v>
      </c>
      <c r="C28" s="13">
        <f t="shared" si="12"/>
        <v>-3.151523419</v>
      </c>
      <c r="D28" s="40">
        <f>D27/D25</f>
        <v>0.5197384402</v>
      </c>
      <c r="E28" s="13">
        <f t="shared" si="13"/>
        <v>-1.21232386</v>
      </c>
      <c r="F28" s="40">
        <f>F27/F25</f>
        <v>-0.1103528718</v>
      </c>
      <c r="G28" s="13">
        <f t="shared" si="14"/>
        <v>1.0911167</v>
      </c>
      <c r="H28" s="40">
        <f>H27/H25</f>
        <v>-0.2307607331</v>
      </c>
      <c r="I28" s="13">
        <f t="shared" si="15"/>
        <v>0.4762125774</v>
      </c>
      <c r="J28" s="40">
        <f>J27/J25</f>
        <v>-0.3406518965</v>
      </c>
      <c r="K28" s="13">
        <f t="shared" si="16"/>
        <v>-0.3754881189</v>
      </c>
      <c r="L28" s="40">
        <f>L27/L25</f>
        <v>-0.2127411567</v>
      </c>
      <c r="M28" s="13">
        <f t="shared" si="17"/>
        <v>-0.302349456</v>
      </c>
      <c r="N28" s="40">
        <f>N27/N25</f>
        <v>-0.1484189837</v>
      </c>
      <c r="O28" s="13">
        <f t="shared" si="18"/>
        <v>-3.486954166</v>
      </c>
      <c r="P28" s="40">
        <f>P27/P25</f>
        <v>0.3691112099</v>
      </c>
      <c r="Q28" s="13">
        <f t="shared" si="19"/>
        <v>-1.922897727</v>
      </c>
      <c r="R28" s="40">
        <f>R27/R25</f>
        <v>-0.3406518965</v>
      </c>
      <c r="S28" s="13">
        <f t="shared" si="20"/>
        <v>0</v>
      </c>
      <c r="T28" s="40">
        <f>T27/T25</f>
        <v>-0.3406518965</v>
      </c>
      <c r="U28" s="13">
        <f t="shared" si="21"/>
        <v>0</v>
      </c>
      <c r="V28" s="40">
        <f>V27/V25</f>
        <v>-0.3406518965</v>
      </c>
      <c r="W28" s="13">
        <f t="shared" si="22"/>
        <v>0</v>
      </c>
      <c r="X28" s="40">
        <f>X27/X25</f>
        <v>-0.3406518965</v>
      </c>
    </row>
    <row r="29">
      <c r="A29" s="4" t="s">
        <v>61</v>
      </c>
      <c r="B29" s="41">
        <f>B39+B27</f>
        <v>43960844.57</v>
      </c>
      <c r="C29" s="13">
        <f t="shared" si="12"/>
        <v>1.388237727</v>
      </c>
      <c r="D29" s="41">
        <f>D39+D27</f>
        <v>104988947.5</v>
      </c>
      <c r="E29" s="13">
        <f t="shared" si="13"/>
        <v>-0.1916417767</v>
      </c>
      <c r="F29" s="41">
        <f>F39+F27</f>
        <v>84868679.08</v>
      </c>
      <c r="G29" s="13">
        <f t="shared" si="14"/>
        <v>-0.07700639554</v>
      </c>
      <c r="H29" s="41">
        <f>H39+H27</f>
        <v>78333248.01</v>
      </c>
      <c r="I29" s="13">
        <f t="shared" si="15"/>
        <v>-0.1457173628</v>
      </c>
      <c r="J29" s="41">
        <f>J39+J27</f>
        <v>66918733.69</v>
      </c>
      <c r="K29" s="13">
        <f t="shared" si="16"/>
        <v>-0.08051664254</v>
      </c>
      <c r="L29" s="41">
        <f>L39+L27</f>
        <v>61530661.93</v>
      </c>
      <c r="M29" s="13">
        <f t="shared" si="17"/>
        <v>-0.08023120644</v>
      </c>
      <c r="N29" s="41">
        <f>N39+N27</f>
        <v>56593982.69</v>
      </c>
      <c r="O29" s="13">
        <f t="shared" si="18"/>
        <v>0.6352345064</v>
      </c>
      <c r="P29" s="41">
        <f>P39+P27</f>
        <v>92544433.35</v>
      </c>
      <c r="Q29" s="13">
        <f t="shared" si="19"/>
        <v>-0.1267845896</v>
      </c>
      <c r="R29" s="41">
        <f>R39+R27</f>
        <v>80811225.35</v>
      </c>
      <c r="S29" s="13">
        <f t="shared" si="20"/>
        <v>0</v>
      </c>
      <c r="T29" s="41">
        <f>T39+T27</f>
        <v>80811225.35</v>
      </c>
      <c r="U29" s="13">
        <f t="shared" si="21"/>
        <v>0</v>
      </c>
      <c r="V29" s="41">
        <f>V39+V27</f>
        <v>80811225.35</v>
      </c>
      <c r="W29" s="13">
        <f t="shared" si="22"/>
        <v>0</v>
      </c>
      <c r="X29" s="41">
        <f>X39+X27</f>
        <v>80811225.35</v>
      </c>
      <c r="Y29" s="13"/>
      <c r="Z29" s="22"/>
    </row>
    <row r="30">
      <c r="A30" s="4" t="s">
        <v>62</v>
      </c>
      <c r="B30" s="42">
        <f>B29/B33</f>
        <v>3.144081832</v>
      </c>
      <c r="C30" s="13">
        <f t="shared" si="12"/>
        <v>1.388237727</v>
      </c>
      <c r="D30" s="42">
        <f>D29/D33</f>
        <v>7.508814848</v>
      </c>
      <c r="E30" s="13">
        <f t="shared" si="13"/>
        <v>-0.1916417767</v>
      </c>
      <c r="F30" s="42">
        <f>F29/F33</f>
        <v>6.069812229</v>
      </c>
      <c r="G30" s="13">
        <f t="shared" si="14"/>
        <v>-0.07700639554</v>
      </c>
      <c r="H30" s="42">
        <f>H29/H33</f>
        <v>5.602397868</v>
      </c>
      <c r="I30" s="13">
        <f t="shared" si="15"/>
        <v>-0.1457173628</v>
      </c>
      <c r="J30" s="42">
        <f>J29/J33</f>
        <v>4.786031225</v>
      </c>
      <c r="K30" s="13">
        <f t="shared" si="16"/>
        <v>-0.08051664254</v>
      </c>
      <c r="L30" s="42">
        <f>L29/L33</f>
        <v>4.40067606</v>
      </c>
      <c r="M30" s="13">
        <f t="shared" si="17"/>
        <v>-0.08023120644</v>
      </c>
      <c r="N30" s="42">
        <f>N29/N33</f>
        <v>4.04760451</v>
      </c>
      <c r="O30" s="13">
        <f t="shared" si="18"/>
        <v>0.6352345064</v>
      </c>
      <c r="P30" s="42">
        <f>P29/P33</f>
        <v>6.618782564</v>
      </c>
      <c r="Q30" s="13">
        <f t="shared" si="19"/>
        <v>-0.1267845896</v>
      </c>
      <c r="R30" s="42">
        <f>R29/R33</f>
        <v>5.779622933</v>
      </c>
      <c r="S30" s="13">
        <f t="shared" si="20"/>
        <v>0</v>
      </c>
      <c r="T30" s="42">
        <f>T29/T33</f>
        <v>5.779622933</v>
      </c>
      <c r="U30" s="13">
        <f t="shared" si="21"/>
        <v>0</v>
      </c>
      <c r="V30" s="42">
        <f>V29/V33</f>
        <v>5.779622933</v>
      </c>
      <c r="W30" s="13">
        <f t="shared" si="22"/>
        <v>0</v>
      </c>
      <c r="X30" s="42">
        <f>X29/X33</f>
        <v>5.779622933</v>
      </c>
      <c r="Y30" s="13"/>
      <c r="Z30" s="13"/>
    </row>
    <row r="31">
      <c r="A31" s="28" t="s">
        <v>63</v>
      </c>
      <c r="B31" s="15">
        <v>1.20246E7</v>
      </c>
      <c r="C31" s="13">
        <f t="shared" si="12"/>
        <v>0.1627906957</v>
      </c>
      <c r="D31" s="15">
        <v>1.3982093E7</v>
      </c>
      <c r="E31" s="13">
        <f t="shared" si="13"/>
        <v>0</v>
      </c>
      <c r="F31" s="15">
        <v>1.3982093E7</v>
      </c>
      <c r="G31" s="13">
        <f t="shared" si="14"/>
        <v>0</v>
      </c>
      <c r="H31" s="15">
        <v>1.3982093E7</v>
      </c>
      <c r="I31" s="13">
        <f t="shared" si="15"/>
        <v>0</v>
      </c>
      <c r="J31" s="15">
        <v>1.3982093E7</v>
      </c>
      <c r="K31" s="13">
        <f t="shared" si="16"/>
        <v>0</v>
      </c>
      <c r="L31" s="15">
        <v>1.3982093E7</v>
      </c>
      <c r="M31" s="13">
        <f t="shared" si="17"/>
        <v>0</v>
      </c>
      <c r="N31" s="15">
        <v>1.3982093E7</v>
      </c>
      <c r="O31" s="13">
        <f t="shared" si="18"/>
        <v>0</v>
      </c>
      <c r="P31" s="15">
        <v>1.3982093E7</v>
      </c>
      <c r="Q31" s="13">
        <f t="shared" si="19"/>
        <v>0</v>
      </c>
      <c r="R31" s="15">
        <v>1.3982093E7</v>
      </c>
      <c r="S31" s="13">
        <f t="shared" si="20"/>
        <v>0</v>
      </c>
      <c r="T31" s="15">
        <v>1.3982093E7</v>
      </c>
      <c r="U31" s="13">
        <f t="shared" si="21"/>
        <v>0</v>
      </c>
      <c r="V31" s="15">
        <v>1.3982093E7</v>
      </c>
      <c r="W31" s="13">
        <f t="shared" si="22"/>
        <v>0</v>
      </c>
      <c r="X31" s="15">
        <v>1.3982093E7</v>
      </c>
    </row>
    <row r="32">
      <c r="A32" s="1" t="s">
        <v>64</v>
      </c>
      <c r="B32" s="40">
        <f>B31/B25</f>
        <v>1.241567643</v>
      </c>
      <c r="C32" s="13">
        <f t="shared" si="12"/>
        <v>-0.6131813174</v>
      </c>
      <c r="D32" s="40">
        <f>D31/D25</f>
        <v>0.4802615598</v>
      </c>
      <c r="E32" s="13">
        <f t="shared" si="13"/>
        <v>1.311975317</v>
      </c>
      <c r="F32" s="40">
        <f>F31/F25</f>
        <v>1.110352872</v>
      </c>
      <c r="G32" s="13">
        <f t="shared" si="14"/>
        <v>0.108441077</v>
      </c>
      <c r="H32" s="40">
        <f>H31/H25</f>
        <v>1.230760733</v>
      </c>
      <c r="I32" s="13">
        <f t="shared" si="15"/>
        <v>0.08928718678</v>
      </c>
      <c r="J32" s="40">
        <f>J31/J25</f>
        <v>1.340651897</v>
      </c>
      <c r="K32" s="13">
        <f t="shared" si="16"/>
        <v>-0.0954093603</v>
      </c>
      <c r="L32" s="40">
        <f>L31/L25</f>
        <v>1.212741157</v>
      </c>
      <c r="M32" s="13">
        <f t="shared" si="17"/>
        <v>-0.05303866587</v>
      </c>
      <c r="N32" s="40">
        <f>N31/N25</f>
        <v>1.148418984</v>
      </c>
      <c r="O32" s="13">
        <f t="shared" si="18"/>
        <v>-0.4506458017</v>
      </c>
      <c r="P32" s="40">
        <f>P31/P25</f>
        <v>0.6308887901</v>
      </c>
      <c r="Q32" s="13">
        <f t="shared" si="19"/>
        <v>1.125020951</v>
      </c>
      <c r="R32" s="40">
        <f>R31/R25</f>
        <v>1.340651897</v>
      </c>
      <c r="S32" s="13">
        <f t="shared" si="20"/>
        <v>0</v>
      </c>
      <c r="T32" s="40">
        <f>T31/T25</f>
        <v>1.340651897</v>
      </c>
      <c r="U32" s="13">
        <f t="shared" si="21"/>
        <v>0</v>
      </c>
      <c r="V32" s="40">
        <f>V31/V25</f>
        <v>1.340651897</v>
      </c>
      <c r="W32" s="13">
        <f t="shared" si="22"/>
        <v>0</v>
      </c>
      <c r="X32" s="40">
        <f>X31/X25</f>
        <v>1.340651897</v>
      </c>
    </row>
    <row r="33">
      <c r="A33" s="4" t="s">
        <v>65</v>
      </c>
      <c r="B33" s="48">
        <v>1.3982093E7</v>
      </c>
      <c r="C33" s="13">
        <f t="shared" si="12"/>
        <v>0</v>
      </c>
      <c r="D33" s="48">
        <v>1.3982093E7</v>
      </c>
      <c r="E33" s="13">
        <f t="shared" si="13"/>
        <v>0</v>
      </c>
      <c r="F33" s="48">
        <v>1.3982093E7</v>
      </c>
      <c r="G33" s="13">
        <f t="shared" si="14"/>
        <v>0</v>
      </c>
      <c r="H33" s="48">
        <v>1.3982093E7</v>
      </c>
      <c r="I33" s="13">
        <f t="shared" si="15"/>
        <v>0</v>
      </c>
      <c r="J33" s="48">
        <v>1.3982093E7</v>
      </c>
      <c r="K33" s="13">
        <f t="shared" si="16"/>
        <v>0</v>
      </c>
      <c r="L33" s="48">
        <v>1.3982093E7</v>
      </c>
      <c r="M33" s="13">
        <f t="shared" si="17"/>
        <v>0</v>
      </c>
      <c r="N33" s="48">
        <v>1.3982093E7</v>
      </c>
      <c r="O33" s="13">
        <f t="shared" si="18"/>
        <v>0</v>
      </c>
      <c r="P33" s="48">
        <v>1.3982093E7</v>
      </c>
      <c r="Q33" s="13">
        <f t="shared" si="19"/>
        <v>0</v>
      </c>
      <c r="R33" s="48">
        <v>1.3982093E7</v>
      </c>
      <c r="S33" s="13">
        <f t="shared" si="20"/>
        <v>0</v>
      </c>
      <c r="T33" s="48">
        <v>1.3982093E7</v>
      </c>
      <c r="U33" s="13">
        <f t="shared" si="21"/>
        <v>0</v>
      </c>
      <c r="V33" s="48">
        <v>1.3982093E7</v>
      </c>
      <c r="W33" s="13">
        <f t="shared" si="22"/>
        <v>0</v>
      </c>
      <c r="X33" s="48">
        <v>1.3982093E7</v>
      </c>
    </row>
    <row r="34">
      <c r="A34" s="28" t="s">
        <v>66</v>
      </c>
      <c r="B34" s="49">
        <f>B31/B33</f>
        <v>0.8600000014</v>
      </c>
      <c r="C34" s="13">
        <f t="shared" si="12"/>
        <v>0.1627906957</v>
      </c>
      <c r="D34" s="49">
        <f>D31/D33</f>
        <v>1</v>
      </c>
      <c r="E34" s="13">
        <f t="shared" si="13"/>
        <v>0</v>
      </c>
      <c r="F34" s="50">
        <f>F31/F33</f>
        <v>1</v>
      </c>
      <c r="G34" s="13">
        <f t="shared" si="14"/>
        <v>0</v>
      </c>
      <c r="H34" s="50">
        <f>H31/H33</f>
        <v>1</v>
      </c>
      <c r="I34" s="13">
        <f t="shared" si="15"/>
        <v>0</v>
      </c>
      <c r="J34" s="49">
        <f>J31/J33</f>
        <v>1</v>
      </c>
      <c r="K34" s="13">
        <f t="shared" si="16"/>
        <v>0</v>
      </c>
      <c r="L34" s="49">
        <f>L31/L33</f>
        <v>1</v>
      </c>
      <c r="M34" s="13">
        <f t="shared" si="17"/>
        <v>0</v>
      </c>
      <c r="N34" s="49">
        <f>N31/N33</f>
        <v>1</v>
      </c>
      <c r="O34" s="13">
        <f t="shared" si="18"/>
        <v>0</v>
      </c>
      <c r="P34" s="49">
        <f>P31/P33</f>
        <v>1</v>
      </c>
      <c r="Q34" s="13">
        <f t="shared" si="19"/>
        <v>0</v>
      </c>
      <c r="R34" s="49">
        <f>R31/R33</f>
        <v>1</v>
      </c>
      <c r="S34" s="13">
        <f t="shared" si="20"/>
        <v>0</v>
      </c>
      <c r="T34" s="49">
        <f>T31/T33</f>
        <v>1</v>
      </c>
      <c r="U34" s="13">
        <f t="shared" si="21"/>
        <v>0</v>
      </c>
      <c r="V34" s="49">
        <f>V31/V33</f>
        <v>1</v>
      </c>
      <c r="W34" s="13">
        <f t="shared" si="22"/>
        <v>0</v>
      </c>
      <c r="X34" s="49">
        <f>X31/X33</f>
        <v>1</v>
      </c>
    </row>
    <row r="35">
      <c r="A35" s="28" t="s">
        <v>67</v>
      </c>
      <c r="B35" s="24">
        <f>B25/B33</f>
        <v>0.6926726921</v>
      </c>
      <c r="C35" s="13">
        <f t="shared" si="12"/>
        <v>2.00603551</v>
      </c>
      <c r="D35" s="24">
        <f>D25/D33</f>
        <v>2.082198709</v>
      </c>
      <c r="E35" s="13">
        <f t="shared" si="13"/>
        <v>-0.5674694307</v>
      </c>
      <c r="F35" s="24">
        <f>F25/F33</f>
        <v>0.9006145933</v>
      </c>
      <c r="G35" s="13">
        <f t="shared" si="14"/>
        <v>-0.09783206275</v>
      </c>
      <c r="H35" s="24">
        <f>H25/H33</f>
        <v>0.8125056099</v>
      </c>
      <c r="I35" s="13">
        <f t="shared" si="15"/>
        <v>-0.08196845411</v>
      </c>
      <c r="J35" s="24">
        <f>J25/J33</f>
        <v>0.7459057811</v>
      </c>
      <c r="K35" s="13">
        <f t="shared" si="16"/>
        <v>0.105472416</v>
      </c>
      <c r="L35" s="24">
        <f>L25/L33</f>
        <v>0.8245782659</v>
      </c>
      <c r="M35" s="13">
        <f t="shared" si="17"/>
        <v>0.05600932578</v>
      </c>
      <c r="N35" s="24">
        <f>N25/N33</f>
        <v>0.8707623387</v>
      </c>
      <c r="O35" s="13">
        <f t="shared" si="18"/>
        <v>0.8203192094</v>
      </c>
      <c r="P35" s="24">
        <f>P25/P33</f>
        <v>1.585065412</v>
      </c>
      <c r="Q35" s="13">
        <f t="shared" si="19"/>
        <v>-0.5294164042</v>
      </c>
      <c r="R35" s="24">
        <f>R25/R33</f>
        <v>0.7459057811</v>
      </c>
      <c r="S35" s="13">
        <f t="shared" si="20"/>
        <v>0</v>
      </c>
      <c r="T35" s="24">
        <f>T25/T33</f>
        <v>0.7459057811</v>
      </c>
      <c r="U35" s="13">
        <f t="shared" si="21"/>
        <v>0</v>
      </c>
      <c r="V35" s="24">
        <f>V25/V33</f>
        <v>0.7459057811</v>
      </c>
      <c r="W35" s="13">
        <f t="shared" si="22"/>
        <v>0</v>
      </c>
      <c r="X35" s="24">
        <f>X25/X33</f>
        <v>0.7459057811</v>
      </c>
    </row>
    <row r="36">
      <c r="A36" s="4" t="s">
        <v>68</v>
      </c>
      <c r="B36" s="51">
        <f>B26/B33</f>
        <v>0.6885314666</v>
      </c>
      <c r="C36" s="13">
        <f t="shared" si="12"/>
        <v>1.181742996</v>
      </c>
      <c r="D36" s="24">
        <f>D26/D33</f>
        <v>1.502198705</v>
      </c>
      <c r="E36" s="13">
        <f t="shared" si="13"/>
        <v>-0.4004690657</v>
      </c>
      <c r="F36" s="24">
        <f>F26/F33</f>
        <v>0.9006145933</v>
      </c>
      <c r="G36" s="13">
        <f t="shared" si="14"/>
        <v>-0.09783206275</v>
      </c>
      <c r="H36" s="24">
        <f>H26/H33</f>
        <v>0.8125056099</v>
      </c>
      <c r="I36" s="13">
        <f t="shared" si="15"/>
        <v>-0.08196845411</v>
      </c>
      <c r="J36" s="24">
        <f>J26/J33</f>
        <v>0.7459057811</v>
      </c>
      <c r="K36" s="13">
        <f t="shared" si="16"/>
        <v>0.105472416</v>
      </c>
      <c r="L36" s="24">
        <f>L26/L33</f>
        <v>0.8245782659</v>
      </c>
      <c r="M36" s="13">
        <f t="shared" si="17"/>
        <v>0.05600932578</v>
      </c>
      <c r="N36" s="24">
        <f>N26/N33</f>
        <v>0.8707623387</v>
      </c>
      <c r="O36" s="13">
        <f t="shared" si="18"/>
        <v>0.2869928575</v>
      </c>
      <c r="P36" s="24">
        <f>P26/P33</f>
        <v>1.12066491</v>
      </c>
      <c r="Q36" s="13">
        <f t="shared" si="19"/>
        <v>-0.3344078376</v>
      </c>
      <c r="R36" s="24">
        <f>R26/R33</f>
        <v>0.7459057811</v>
      </c>
      <c r="S36" s="13">
        <f t="shared" si="20"/>
        <v>0</v>
      </c>
      <c r="T36" s="24">
        <f>T26/T33</f>
        <v>0.7459057811</v>
      </c>
      <c r="U36" s="13">
        <f t="shared" si="21"/>
        <v>0</v>
      </c>
      <c r="V36" s="24">
        <f>V26/V33</f>
        <v>0.7459057811</v>
      </c>
      <c r="W36" s="13">
        <f t="shared" si="22"/>
        <v>0</v>
      </c>
      <c r="X36" s="24">
        <f>X26/X33</f>
        <v>0.7459057811</v>
      </c>
    </row>
    <row r="37">
      <c r="A37" s="52"/>
      <c r="B37" s="2" t="s">
        <v>1</v>
      </c>
      <c r="C37" s="3">
        <v>46037.0</v>
      </c>
      <c r="D37" s="2" t="s">
        <v>1</v>
      </c>
      <c r="E37" s="3">
        <v>46066.0</v>
      </c>
      <c r="F37" s="2" t="s">
        <v>1</v>
      </c>
      <c r="G37" s="3">
        <v>46094.0</v>
      </c>
      <c r="H37" s="2" t="s">
        <v>1</v>
      </c>
      <c r="I37" s="3">
        <v>46127.0</v>
      </c>
      <c r="J37" s="2" t="s">
        <v>1</v>
      </c>
      <c r="K37" s="3">
        <v>46157.0</v>
      </c>
      <c r="L37" s="2" t="s">
        <v>1</v>
      </c>
      <c r="M37" s="3">
        <v>46188.0</v>
      </c>
      <c r="N37" s="2" t="s">
        <v>1</v>
      </c>
      <c r="O37" s="3">
        <v>46218.0</v>
      </c>
      <c r="P37" s="2" t="s">
        <v>2</v>
      </c>
      <c r="Q37" s="3">
        <v>46248.0</v>
      </c>
      <c r="R37" s="2" t="s">
        <v>3</v>
      </c>
      <c r="S37" s="3">
        <v>46195.0</v>
      </c>
      <c r="T37" s="2" t="s">
        <v>3</v>
      </c>
      <c r="U37" s="3">
        <v>46195.0</v>
      </c>
      <c r="V37" s="2" t="s">
        <v>3</v>
      </c>
      <c r="W37" s="3">
        <v>46195.0</v>
      </c>
      <c r="X37" s="2" t="s">
        <v>3</v>
      </c>
      <c r="Y37" s="3">
        <v>46195.0</v>
      </c>
    </row>
    <row r="38">
      <c r="A38" s="1" t="s">
        <v>69</v>
      </c>
      <c r="B38" s="1" t="s">
        <v>5</v>
      </c>
      <c r="C38" s="53"/>
      <c r="D38" s="54" t="s">
        <v>6</v>
      </c>
      <c r="E38" s="55"/>
      <c r="F38" s="54" t="s">
        <v>7</v>
      </c>
      <c r="G38" s="55"/>
      <c r="H38" s="54" t="s">
        <v>8</v>
      </c>
      <c r="I38" s="55"/>
      <c r="J38" s="54" t="s">
        <v>9</v>
      </c>
      <c r="K38" s="55"/>
      <c r="L38" s="54" t="s">
        <v>10</v>
      </c>
      <c r="M38" s="55"/>
      <c r="N38" s="54" t="s">
        <v>11</v>
      </c>
      <c r="O38" s="55"/>
      <c r="P38" s="1" t="s">
        <v>12</v>
      </c>
      <c r="Q38" s="53"/>
      <c r="R38" s="1" t="s">
        <v>13</v>
      </c>
      <c r="S38" s="53"/>
      <c r="T38" s="1" t="s">
        <v>14</v>
      </c>
      <c r="U38" s="53"/>
      <c r="V38" s="1" t="s">
        <v>15</v>
      </c>
      <c r="W38" s="53"/>
      <c r="X38" s="1" t="s">
        <v>16</v>
      </c>
    </row>
    <row r="39">
      <c r="A39" s="4" t="s">
        <v>61</v>
      </c>
      <c r="B39" s="56">
        <v>4.630043057E7</v>
      </c>
      <c r="C39" s="13">
        <f t="shared" ref="C39:C42" si="23">IFERROR(SUM((D39/B39)-1),0)</f>
        <v>0.9407496521</v>
      </c>
      <c r="D39" s="56">
        <v>8.985754452E7</v>
      </c>
      <c r="E39" s="13">
        <f t="shared" ref="E39:E42" si="24">IFERROR(SUM((F39/D39)-1),0)</f>
        <v>-0.04005506114</v>
      </c>
      <c r="F39" s="56">
        <v>8.625829508E7</v>
      </c>
      <c r="G39" s="13">
        <f t="shared" ref="G39:G42" si="25">IFERROR(SUM((H39/F39)-1),0)</f>
        <v>-0.06148374559</v>
      </c>
      <c r="H39" s="56">
        <v>8.095481201E7</v>
      </c>
      <c r="I39" s="13">
        <f t="shared" ref="I39:I42" si="26">IFERROR(SUM((J39/H39)-1),0)</f>
        <v>-0.1294958145</v>
      </c>
      <c r="J39" s="56">
        <v>7.047150269E7</v>
      </c>
      <c r="K39" s="13">
        <f t="shared" ref="K39:K42" si="27">IFERROR(SUM((L39/J39)-1),0)</f>
        <v>-0.09206668671</v>
      </c>
      <c r="L39" s="56">
        <v>6.398342493E7</v>
      </c>
      <c r="M39" s="13">
        <f t="shared" ref="M39:M42" si="28">IFERROR(SUM((N39/L39)-1),0)</f>
        <v>-0.08724805285</v>
      </c>
      <c r="N39" s="56">
        <v>5.840099569E7</v>
      </c>
      <c r="O39" s="13">
        <f t="shared" ref="O39:O42" si="29">IFERROR(SUM((P39/N39)-1),0)</f>
        <v>0.4445643153</v>
      </c>
      <c r="P39" s="56">
        <v>8.436399435E7</v>
      </c>
      <c r="Q39" s="13">
        <f t="shared" ref="Q39:Q42" si="30">IFERROR(SUM((R39/P39)-1),0)</f>
        <v>0</v>
      </c>
      <c r="R39" s="56">
        <v>8.436399435E7</v>
      </c>
      <c r="S39" s="13">
        <f t="shared" ref="S39:S42" si="31">IFERROR(SUM((T39/R39)-1),0)</f>
        <v>0</v>
      </c>
      <c r="T39" s="56">
        <v>8.436399435E7</v>
      </c>
      <c r="U39" s="13">
        <f t="shared" ref="U39:U42" si="32">IFERROR(SUM((V39/T39)-1),0)</f>
        <v>0</v>
      </c>
      <c r="V39" s="56">
        <v>8.436399435E7</v>
      </c>
      <c r="W39" s="13">
        <f t="shared" ref="W39:W42" si="33">IFERROR(SUM((X39/V39)-1),0)</f>
        <v>0</v>
      </c>
      <c r="X39" s="56">
        <v>8.436399435E7</v>
      </c>
    </row>
    <row r="40">
      <c r="A40" s="4" t="s">
        <v>70</v>
      </c>
      <c r="B40" s="58">
        <v>1.75371695184E9</v>
      </c>
      <c r="C40" s="13">
        <f t="shared" si="23"/>
        <v>-0.02024944063</v>
      </c>
      <c r="D40" s="58">
        <v>1.71820516455E9</v>
      </c>
      <c r="E40" s="13">
        <f t="shared" si="24"/>
        <v>0.0005409921697</v>
      </c>
      <c r="F40" s="58">
        <v>1.71913470009E9</v>
      </c>
      <c r="G40" s="13">
        <f t="shared" si="25"/>
        <v>-0.0001670315944</v>
      </c>
      <c r="H40" s="58">
        <v>1.71884755028E9</v>
      </c>
      <c r="I40" s="13">
        <f t="shared" si="26"/>
        <v>0.0006162762892</v>
      </c>
      <c r="J40" s="58">
        <v>1.71990683527E9</v>
      </c>
      <c r="K40" s="13">
        <f t="shared" si="27"/>
        <v>0.0003276367931</v>
      </c>
      <c r="L40" s="58">
        <v>1.72047034003E9</v>
      </c>
      <c r="M40" s="13">
        <f t="shared" si="28"/>
        <v>0.272537748</v>
      </c>
      <c r="N40" s="58">
        <v>2.18936345204E9</v>
      </c>
      <c r="O40" s="13">
        <f t="shared" si="29"/>
        <v>-0.02435098302</v>
      </c>
      <c r="P40" s="58">
        <v>2.13605029979E9</v>
      </c>
      <c r="Q40" s="13">
        <f t="shared" si="30"/>
        <v>0</v>
      </c>
      <c r="R40" s="58">
        <v>2.13605029979E9</v>
      </c>
      <c r="S40" s="13">
        <f t="shared" si="31"/>
        <v>0</v>
      </c>
      <c r="T40" s="58">
        <v>2.13605029979E9</v>
      </c>
      <c r="U40" s="13">
        <f t="shared" si="32"/>
        <v>0</v>
      </c>
      <c r="V40" s="58">
        <v>2.13605029979E9</v>
      </c>
      <c r="W40" s="13">
        <f t="shared" si="33"/>
        <v>0</v>
      </c>
      <c r="X40" s="58">
        <v>2.13605029979E9</v>
      </c>
    </row>
    <row r="41">
      <c r="A41" s="4" t="s">
        <v>71</v>
      </c>
      <c r="B41" s="58">
        <v>2.237379732E7</v>
      </c>
      <c r="C41" s="13">
        <f t="shared" si="23"/>
        <v>0.2773016145</v>
      </c>
      <c r="D41" s="58">
        <v>2.857808744E7</v>
      </c>
      <c r="E41" s="13">
        <f t="shared" si="24"/>
        <v>-0.1784057922</v>
      </c>
      <c r="F41" s="58">
        <v>2.347959111E7</v>
      </c>
      <c r="G41" s="13">
        <f t="shared" si="25"/>
        <v>0.1316557386</v>
      </c>
      <c r="H41" s="58">
        <v>2.657081402E7</v>
      </c>
      <c r="I41" s="13">
        <f t="shared" si="26"/>
        <v>0.1291913491</v>
      </c>
      <c r="J41" s="58">
        <v>3.000353333E7</v>
      </c>
      <c r="K41" s="13">
        <f t="shared" si="27"/>
        <v>0.06007056303</v>
      </c>
      <c r="L41" s="58">
        <v>3.180586247E7</v>
      </c>
      <c r="M41" s="13">
        <f t="shared" si="28"/>
        <v>0.1540154151</v>
      </c>
      <c r="N41" s="58">
        <v>3.670445558E7</v>
      </c>
      <c r="O41" s="13">
        <f t="shared" si="29"/>
        <v>2.218363416</v>
      </c>
      <c r="P41" s="58">
        <v>1.1812827705E8</v>
      </c>
      <c r="Q41" s="13">
        <f t="shared" si="30"/>
        <v>0</v>
      </c>
      <c r="R41" s="58">
        <v>1.1812827705E8</v>
      </c>
      <c r="S41" s="13">
        <f t="shared" si="31"/>
        <v>0</v>
      </c>
      <c r="T41" s="58">
        <v>1.1812827705E8</v>
      </c>
      <c r="U41" s="13">
        <f t="shared" si="32"/>
        <v>0</v>
      </c>
      <c r="V41" s="58">
        <v>1.1812827705E8</v>
      </c>
      <c r="W41" s="13">
        <f t="shared" si="33"/>
        <v>0</v>
      </c>
      <c r="X41" s="58">
        <v>1.1812827705E8</v>
      </c>
    </row>
    <row r="42">
      <c r="A42" s="59" t="s">
        <v>72</v>
      </c>
      <c r="B42" s="24">
        <f>SUM(B39:B41)</f>
        <v>1822391180</v>
      </c>
      <c r="C42" s="13">
        <f t="shared" si="23"/>
        <v>0.007819186648</v>
      </c>
      <c r="D42" s="24">
        <f>SUM(D39:D41)</f>
        <v>1836640797</v>
      </c>
      <c r="E42" s="13">
        <f t="shared" si="24"/>
        <v>-0.004229575127</v>
      </c>
      <c r="F42" s="24">
        <f>SUM(F39:F41)</f>
        <v>1828872586</v>
      </c>
      <c r="G42" s="13">
        <f t="shared" si="25"/>
        <v>-0.001366639748</v>
      </c>
      <c r="H42" s="24">
        <f>SUM(H39:H41)</f>
        <v>1826373176</v>
      </c>
      <c r="I42" s="13">
        <f t="shared" si="26"/>
        <v>-0.003280438575</v>
      </c>
      <c r="J42" s="24">
        <f>SUM(J39:J41)</f>
        <v>1820381871</v>
      </c>
      <c r="K42" s="13">
        <f t="shared" si="27"/>
        <v>-0.002264494019</v>
      </c>
      <c r="L42" s="24">
        <f>SUM(L39:L41)</f>
        <v>1816259627</v>
      </c>
      <c r="M42" s="13">
        <f t="shared" si="28"/>
        <v>0.2577876361</v>
      </c>
      <c r="N42" s="24">
        <f>SUM(N39:N41)</f>
        <v>2284468903</v>
      </c>
      <c r="O42" s="13">
        <f t="shared" si="29"/>
        <v>0.02367012648</v>
      </c>
      <c r="P42" s="24">
        <f>SUM(P39:P41)</f>
        <v>2338542571</v>
      </c>
      <c r="Q42" s="13">
        <f t="shared" si="30"/>
        <v>0</v>
      </c>
      <c r="R42" s="24">
        <f>SUM(R39:R41)</f>
        <v>2338542571</v>
      </c>
      <c r="S42" s="13">
        <f t="shared" si="31"/>
        <v>0</v>
      </c>
      <c r="T42" s="24">
        <f>SUM(T39:T41)</f>
        <v>2338542571</v>
      </c>
      <c r="U42" s="13">
        <f t="shared" si="32"/>
        <v>0</v>
      </c>
      <c r="V42" s="24">
        <f>SUM(V39:V41)</f>
        <v>2338542571</v>
      </c>
      <c r="W42" s="13">
        <f t="shared" si="33"/>
        <v>0</v>
      </c>
      <c r="X42" s="24">
        <f>SUM(X39:X41)</f>
        <v>2338542571</v>
      </c>
    </row>
    <row r="44">
      <c r="A44" s="25" t="s">
        <v>73</v>
      </c>
      <c r="B44" s="15">
        <v>1.6874580632E8</v>
      </c>
      <c r="C44" s="13">
        <f t="shared" ref="C44:C54" si="34">IFERROR(SUM((D44/B44)-1),0)</f>
        <v>-0.001232360819</v>
      </c>
      <c r="D44" s="15">
        <v>1.685378506E8</v>
      </c>
      <c r="E44" s="13">
        <f t="shared" ref="E44:E54" si="35">IFERROR(SUM((F44/D44)-1),0)</f>
        <v>-0.0004920807386</v>
      </c>
      <c r="F44" s="15">
        <v>1.6845491637E8</v>
      </c>
      <c r="G44" s="13">
        <f t="shared" ref="G44:G54" si="36">IFERROR(SUM((H44/F44)-1),0)</f>
        <v>0.001472924183</v>
      </c>
      <c r="H44" s="15">
        <v>1.6870303769E8</v>
      </c>
      <c r="I44" s="13">
        <f t="shared" ref="I44:I54" si="37">IFERROR(SUM((J44/H44)-1),0)</f>
        <v>0.002966291638</v>
      </c>
      <c r="J44" s="15">
        <v>1.692034601E8</v>
      </c>
      <c r="K44" s="13">
        <f t="shared" ref="K44:K54" si="38">IFERROR(SUM((L44/J44)-1),0)</f>
        <v>0.003933303962</v>
      </c>
      <c r="L44" s="15">
        <v>1.6986898874E8</v>
      </c>
      <c r="M44" s="13">
        <f t="shared" ref="M44:M54" si="39">IFERROR(SUM((N44/L44)-1),0)</f>
        <v>0.004152556009</v>
      </c>
      <c r="N44" s="15">
        <v>1.7057437923E8</v>
      </c>
      <c r="O44" s="13">
        <f t="shared" ref="O44:O54" si="40">IFERROR(SUM((P44/N44)-1),0)</f>
        <v>0.002217374448</v>
      </c>
      <c r="P44" s="15">
        <v>1.709526065E8</v>
      </c>
      <c r="Q44" s="13">
        <f t="shared" ref="Q44:Q54" si="41">IFERROR(SUM((R44/P44)-1),0)</f>
        <v>0</v>
      </c>
      <c r="R44" s="15">
        <v>1.709526065E8</v>
      </c>
      <c r="S44" s="13">
        <f t="shared" ref="S44:S54" si="42">IFERROR(SUM((T44/R44)-1),0)</f>
        <v>0</v>
      </c>
      <c r="T44" s="15">
        <v>1.709526065E8</v>
      </c>
      <c r="U44" s="13">
        <f t="shared" ref="U44:U54" si="43">IFERROR(SUM((V44/T44)-1),0)</f>
        <v>0</v>
      </c>
      <c r="V44" s="15">
        <v>1.709526065E8</v>
      </c>
      <c r="W44" s="13">
        <f t="shared" ref="W44:W52" si="44">IFERROR(SUM((X44/V44)-1),0)</f>
        <v>0</v>
      </c>
      <c r="X44" s="15">
        <v>1.709526065E8</v>
      </c>
    </row>
    <row r="45">
      <c r="A45" s="25" t="s">
        <v>74</v>
      </c>
      <c r="B45" s="15">
        <v>0.0</v>
      </c>
      <c r="C45" s="13">
        <f t="shared" si="34"/>
        <v>0</v>
      </c>
      <c r="D45" s="15">
        <v>0.0</v>
      </c>
      <c r="E45" s="13">
        <f t="shared" si="35"/>
        <v>0</v>
      </c>
      <c r="F45" s="15">
        <v>0.0</v>
      </c>
      <c r="G45" s="13">
        <f t="shared" si="36"/>
        <v>0</v>
      </c>
      <c r="H45" s="15">
        <v>0.0</v>
      </c>
      <c r="I45" s="13">
        <f t="shared" si="37"/>
        <v>0</v>
      </c>
      <c r="J45" s="15">
        <v>0.0</v>
      </c>
      <c r="K45" s="13">
        <f t="shared" si="38"/>
        <v>0</v>
      </c>
      <c r="L45" s="15">
        <v>0.0</v>
      </c>
      <c r="M45" s="13">
        <f t="shared" si="39"/>
        <v>0</v>
      </c>
      <c r="N45" s="15">
        <v>0.0</v>
      </c>
      <c r="O45" s="13">
        <f t="shared" si="40"/>
        <v>0</v>
      </c>
      <c r="P45" s="15">
        <v>0.0</v>
      </c>
      <c r="Q45" s="13">
        <f t="shared" si="41"/>
        <v>0</v>
      </c>
      <c r="R45" s="15">
        <v>0.0</v>
      </c>
      <c r="S45" s="13">
        <f t="shared" si="42"/>
        <v>0</v>
      </c>
      <c r="T45" s="15">
        <v>0.0</v>
      </c>
      <c r="U45" s="13">
        <f t="shared" si="43"/>
        <v>0</v>
      </c>
      <c r="V45" s="15">
        <v>0.0</v>
      </c>
      <c r="W45" s="13">
        <f t="shared" si="44"/>
        <v>0</v>
      </c>
      <c r="X45" s="15">
        <v>0.0</v>
      </c>
    </row>
    <row r="46">
      <c r="A46" s="25" t="s">
        <v>75</v>
      </c>
      <c r="B46" s="26">
        <f>SUM(B44:B45)</f>
        <v>168745806.3</v>
      </c>
      <c r="C46" s="27">
        <f t="shared" si="34"/>
        <v>-0.001232360819</v>
      </c>
      <c r="D46" s="26">
        <f>SUM(D44:D45)</f>
        <v>168537850.6</v>
      </c>
      <c r="E46" s="27">
        <f t="shared" si="35"/>
        <v>-0.0004920807386</v>
      </c>
      <c r="F46" s="26">
        <f>SUM(F44:F45)</f>
        <v>168454916.4</v>
      </c>
      <c r="G46" s="27">
        <f t="shared" si="36"/>
        <v>0.001472924183</v>
      </c>
      <c r="H46" s="26">
        <f>SUM(H44:H45)</f>
        <v>168703037.7</v>
      </c>
      <c r="I46" s="27">
        <f t="shared" si="37"/>
        <v>0.002966291638</v>
      </c>
      <c r="J46" s="26">
        <f>SUM(J44:J45)</f>
        <v>169203460.1</v>
      </c>
      <c r="K46" s="27">
        <f t="shared" si="38"/>
        <v>0.003933303962</v>
      </c>
      <c r="L46" s="26">
        <f>SUM(L44:L45)</f>
        <v>169868988.7</v>
      </c>
      <c r="M46" s="27">
        <f t="shared" si="39"/>
        <v>0.004152556009</v>
      </c>
      <c r="N46" s="26">
        <f>SUM(N44:N45)</f>
        <v>170574379.2</v>
      </c>
      <c r="O46" s="27">
        <f t="shared" si="40"/>
        <v>0.002217374448</v>
      </c>
      <c r="P46" s="26">
        <f>SUM(P44:P45)</f>
        <v>170952606.5</v>
      </c>
      <c r="Q46" s="27">
        <f t="shared" si="41"/>
        <v>0</v>
      </c>
      <c r="R46" s="26">
        <f>SUM(R44:R45)</f>
        <v>170952606.5</v>
      </c>
      <c r="S46" s="27">
        <f t="shared" si="42"/>
        <v>0</v>
      </c>
      <c r="T46" s="26">
        <f>SUM(T44:T45)</f>
        <v>170952606.5</v>
      </c>
      <c r="U46" s="27">
        <f t="shared" si="43"/>
        <v>0</v>
      </c>
      <c r="V46" s="26">
        <f>SUM(V44:V45)</f>
        <v>170952606.5</v>
      </c>
      <c r="W46" s="27">
        <f t="shared" si="44"/>
        <v>0</v>
      </c>
      <c r="X46" s="26">
        <f>SUM(X44:X45)</f>
        <v>170952606.5</v>
      </c>
    </row>
    <row r="47">
      <c r="A47" s="1" t="s">
        <v>76</v>
      </c>
      <c r="B47" s="62">
        <f>ABS(B18)/B59</f>
        <v>0.0006177888423</v>
      </c>
      <c r="C47" s="31">
        <f t="shared" si="34"/>
        <v>-0.0294577001</v>
      </c>
      <c r="D47" s="62">
        <f>ABS(D18)/D59</f>
        <v>0.0005995902039</v>
      </c>
      <c r="E47" s="31">
        <f t="shared" si="35"/>
        <v>-0.03827096341</v>
      </c>
      <c r="F47" s="62">
        <f>ABS(F18)/F59</f>
        <v>0.0005766433091</v>
      </c>
      <c r="G47" s="31">
        <f t="shared" si="36"/>
        <v>0.02656802765</v>
      </c>
      <c r="H47" s="62">
        <f>ABS(H18)/H59</f>
        <v>0.0005919635845</v>
      </c>
      <c r="I47" s="31">
        <f t="shared" si="37"/>
        <v>0.02658160723</v>
      </c>
      <c r="J47" s="62">
        <f>ABS(J18)/J59</f>
        <v>0.000607698928</v>
      </c>
      <c r="K47" s="31">
        <f t="shared" si="38"/>
        <v>-0.01482393596</v>
      </c>
      <c r="L47" s="62">
        <f>ABS(L18)/L59</f>
        <v>0.000598690438</v>
      </c>
      <c r="M47" s="31">
        <f t="shared" si="39"/>
        <v>-0.2029850166</v>
      </c>
      <c r="N47" s="62">
        <f>ABS(N18)/N59</f>
        <v>0.0004771652495</v>
      </c>
      <c r="O47" s="31">
        <f t="shared" si="40"/>
        <v>-0.001140518932</v>
      </c>
      <c r="P47" s="62">
        <f>ABS(P18)/P59</f>
        <v>0.0004766210335</v>
      </c>
      <c r="Q47" s="31">
        <f t="shared" si="41"/>
        <v>-0.02926493427</v>
      </c>
      <c r="R47" s="62">
        <f>ABS(R18)/R59</f>
        <v>0.0004626727503</v>
      </c>
      <c r="S47" s="31">
        <f t="shared" si="42"/>
        <v>0</v>
      </c>
      <c r="T47" s="62">
        <f>ABS(T18)/T59</f>
        <v>0.0004626727503</v>
      </c>
      <c r="U47" s="31">
        <f t="shared" si="43"/>
        <v>0</v>
      </c>
      <c r="V47" s="62">
        <f>ABS(V18)/V59</f>
        <v>0.0004626727503</v>
      </c>
      <c r="W47" s="31">
        <f t="shared" si="44"/>
        <v>0</v>
      </c>
      <c r="X47" s="62">
        <f>ABS(X18)/X59</f>
        <v>0.0004626727503</v>
      </c>
    </row>
    <row r="48">
      <c r="A48" s="1" t="s">
        <v>77</v>
      </c>
      <c r="B48" s="31">
        <f>B46/B42</f>
        <v>0.09259582037</v>
      </c>
      <c r="C48" s="31">
        <f t="shared" si="34"/>
        <v>-0.008981320843</v>
      </c>
      <c r="D48" s="31">
        <f>D46/D42</f>
        <v>0.0917641876</v>
      </c>
      <c r="E48" s="31">
        <f t="shared" si="35"/>
        <v>0.003753369547</v>
      </c>
      <c r="F48" s="31">
        <f>F46/F42</f>
        <v>0.0921086125</v>
      </c>
      <c r="G48" s="31">
        <f t="shared" si="36"/>
        <v>0.002843449902</v>
      </c>
      <c r="H48" s="31">
        <f>H46/H42</f>
        <v>0.09237051873</v>
      </c>
      <c r="I48" s="31">
        <f t="shared" si="37"/>
        <v>0.006267289672</v>
      </c>
      <c r="J48" s="31">
        <f>J46/J42</f>
        <v>0.09294943153</v>
      </c>
      <c r="K48" s="31">
        <f t="shared" si="38"/>
        <v>0.006211864712</v>
      </c>
      <c r="L48" s="31">
        <f>L46/L42</f>
        <v>0.09352682082</v>
      </c>
      <c r="M48" s="31">
        <f t="shared" si="39"/>
        <v>-0.2016517517</v>
      </c>
      <c r="N48" s="31">
        <f>N46/N42</f>
        <v>0.07466697357</v>
      </c>
      <c r="O48" s="31">
        <f t="shared" si="40"/>
        <v>-0.02095670419</v>
      </c>
      <c r="P48" s="31">
        <f>P46/P42</f>
        <v>0.07310219989</v>
      </c>
      <c r="Q48" s="31">
        <f t="shared" si="41"/>
        <v>0</v>
      </c>
      <c r="R48" s="31">
        <f>R46/R42</f>
        <v>0.07310219989</v>
      </c>
      <c r="S48" s="31">
        <f t="shared" si="42"/>
        <v>0</v>
      </c>
      <c r="T48" s="31">
        <f>T46/T42</f>
        <v>0.07310219989</v>
      </c>
      <c r="U48" s="31">
        <f t="shared" si="43"/>
        <v>0</v>
      </c>
      <c r="V48" s="31">
        <f>V46/V42</f>
        <v>0.07310219989</v>
      </c>
      <c r="W48" s="31">
        <f t="shared" si="44"/>
        <v>0</v>
      </c>
      <c r="X48" s="31">
        <f>X46/X42</f>
        <v>0.07310219989</v>
      </c>
    </row>
    <row r="49">
      <c r="A49" s="1" t="s">
        <v>78</v>
      </c>
      <c r="B49" s="31">
        <f>B46/B59</f>
        <v>0.1029097008</v>
      </c>
      <c r="C49" s="31">
        <f t="shared" si="34"/>
        <v>-0.009114839278</v>
      </c>
      <c r="D49" s="31">
        <f>D46/D59</f>
        <v>0.1019716954</v>
      </c>
      <c r="E49" s="31">
        <f t="shared" si="35"/>
        <v>0.004095643368</v>
      </c>
      <c r="F49" s="31">
        <f>F46/F59</f>
        <v>0.1023893351</v>
      </c>
      <c r="G49" s="31">
        <f t="shared" si="36"/>
        <v>0.005138272477</v>
      </c>
      <c r="H49" s="31">
        <f>H46/H59</f>
        <v>0.1029154394</v>
      </c>
      <c r="I49" s="31">
        <f t="shared" si="37"/>
        <v>0.004985004602</v>
      </c>
      <c r="J49" s="31">
        <f>J46/J59</f>
        <v>0.1034284733</v>
      </c>
      <c r="K49" s="31">
        <f t="shared" si="38"/>
        <v>0.006816328864</v>
      </c>
      <c r="L49" s="31">
        <f>L46/L59</f>
        <v>0.1041334758</v>
      </c>
      <c r="M49" s="31">
        <f t="shared" si="39"/>
        <v>-0.2192239295</v>
      </c>
      <c r="N49" s="31">
        <f>N46/N59</f>
        <v>0.08130492604</v>
      </c>
      <c r="O49" s="31">
        <f t="shared" si="40"/>
        <v>-0.02148557949</v>
      </c>
      <c r="P49" s="31">
        <f>P46/P59</f>
        <v>0.07955804259</v>
      </c>
      <c r="Q49" s="31">
        <f t="shared" si="41"/>
        <v>0.00001833680094</v>
      </c>
      <c r="R49" s="31">
        <f>R46/R59</f>
        <v>0.07955950143</v>
      </c>
      <c r="S49" s="31">
        <f t="shared" si="42"/>
        <v>0</v>
      </c>
      <c r="T49" s="31">
        <f>T46/T59</f>
        <v>0.07955950143</v>
      </c>
      <c r="U49" s="31">
        <f t="shared" si="43"/>
        <v>0</v>
      </c>
      <c r="V49" s="31">
        <f>V46/V59</f>
        <v>0.07955950143</v>
      </c>
      <c r="W49" s="31">
        <f t="shared" si="44"/>
        <v>0</v>
      </c>
      <c r="X49" s="31">
        <f>X46/X59</f>
        <v>0.07955950143</v>
      </c>
    </row>
    <row r="50">
      <c r="A50" s="44" t="s">
        <v>79</v>
      </c>
      <c r="B50" s="43">
        <f>B31</f>
        <v>12024600</v>
      </c>
      <c r="C50" s="12">
        <f t="shared" si="34"/>
        <v>0.1627906957</v>
      </c>
      <c r="D50" s="43">
        <f>D31</f>
        <v>13982093</v>
      </c>
      <c r="E50" s="12">
        <f t="shared" si="35"/>
        <v>0</v>
      </c>
      <c r="F50" s="43">
        <f>F31</f>
        <v>13982093</v>
      </c>
      <c r="G50" s="12">
        <f t="shared" si="36"/>
        <v>0</v>
      </c>
      <c r="H50" s="43">
        <f>H31</f>
        <v>13982093</v>
      </c>
      <c r="I50" s="12">
        <f t="shared" si="37"/>
        <v>0</v>
      </c>
      <c r="J50" s="43">
        <f>J31</f>
        <v>13982093</v>
      </c>
      <c r="K50" s="12">
        <f t="shared" si="38"/>
        <v>0</v>
      </c>
      <c r="L50" s="43">
        <f>L31</f>
        <v>13982093</v>
      </c>
      <c r="M50" s="12">
        <f t="shared" si="39"/>
        <v>0</v>
      </c>
      <c r="N50" s="43">
        <f>N31</f>
        <v>13982093</v>
      </c>
      <c r="O50" s="12">
        <f t="shared" si="40"/>
        <v>0</v>
      </c>
      <c r="P50" s="43">
        <f>P31</f>
        <v>13982093</v>
      </c>
      <c r="Q50" s="12">
        <f t="shared" si="41"/>
        <v>0</v>
      </c>
      <c r="R50" s="43">
        <f>R31</f>
        <v>13982093</v>
      </c>
      <c r="S50" s="12">
        <f t="shared" si="42"/>
        <v>0</v>
      </c>
      <c r="T50" s="43">
        <f>T31</f>
        <v>13982093</v>
      </c>
      <c r="U50" s="12">
        <f t="shared" si="43"/>
        <v>0</v>
      </c>
      <c r="V50" s="43">
        <f>V31</f>
        <v>13982093</v>
      </c>
      <c r="W50" s="12">
        <f t="shared" si="44"/>
        <v>0</v>
      </c>
      <c r="X50" s="43">
        <f>X31</f>
        <v>13982093</v>
      </c>
    </row>
    <row r="51">
      <c r="A51" s="44" t="s">
        <v>80</v>
      </c>
      <c r="B51" s="43">
        <f>ABS(B20)</f>
        <v>1198137</v>
      </c>
      <c r="C51" s="12">
        <f t="shared" si="34"/>
        <v>-0.4723299589</v>
      </c>
      <c r="D51" s="43">
        <f>ABS(D20)</f>
        <v>632221</v>
      </c>
      <c r="E51" s="12">
        <f t="shared" si="35"/>
        <v>0.09737575943</v>
      </c>
      <c r="F51" s="43">
        <f>ABS(F20)</f>
        <v>693784</v>
      </c>
      <c r="G51" s="12">
        <f t="shared" si="36"/>
        <v>-0.188819575</v>
      </c>
      <c r="H51" s="43">
        <f>ABS(H20)</f>
        <v>562784</v>
      </c>
      <c r="I51" s="12">
        <f t="shared" si="37"/>
        <v>0.195122818</v>
      </c>
      <c r="J51" s="43">
        <f>ABS(J20)</f>
        <v>672596</v>
      </c>
      <c r="K51" s="12">
        <f t="shared" si="38"/>
        <v>-0.09820308179</v>
      </c>
      <c r="L51" s="43">
        <f>ABS(L20)</f>
        <v>606545</v>
      </c>
      <c r="M51" s="12">
        <f t="shared" si="39"/>
        <v>0.4549225531</v>
      </c>
      <c r="N51" s="43">
        <f>ABS(N20)</f>
        <v>882476</v>
      </c>
      <c r="O51" s="12">
        <f t="shared" si="40"/>
        <v>-0.2824790703</v>
      </c>
      <c r="P51" s="43">
        <f>ABS(P20)</f>
        <v>633195</v>
      </c>
      <c r="Q51" s="12">
        <f t="shared" si="41"/>
        <v>0.06222569667</v>
      </c>
      <c r="R51" s="43">
        <f>ABS(R20)</f>
        <v>672596</v>
      </c>
      <c r="S51" s="12">
        <f t="shared" si="42"/>
        <v>0</v>
      </c>
      <c r="T51" s="43">
        <f>ABS(T20)</f>
        <v>672596</v>
      </c>
      <c r="U51" s="12">
        <f t="shared" si="43"/>
        <v>0</v>
      </c>
      <c r="V51" s="43">
        <f>ABS(V20)</f>
        <v>672596</v>
      </c>
      <c r="W51" s="12">
        <f t="shared" si="44"/>
        <v>0</v>
      </c>
      <c r="X51" s="43">
        <f>ABS(X20)</f>
        <v>672596</v>
      </c>
    </row>
    <row r="52">
      <c r="A52" s="1" t="s">
        <v>81</v>
      </c>
      <c r="B52" s="62">
        <f>IFERROR(B51/B26,0)</f>
        <v>0.1244544703</v>
      </c>
      <c r="C52" s="31">
        <f t="shared" si="34"/>
        <v>-0.7581428968</v>
      </c>
      <c r="D52" s="62">
        <f>IFERROR(D51/D26,0)</f>
        <v>0.03010019767</v>
      </c>
      <c r="E52" s="31">
        <f t="shared" si="35"/>
        <v>0.8303905547</v>
      </c>
      <c r="F52" s="62">
        <f>IFERROR(F51/F26,0)</f>
        <v>0.05509511751</v>
      </c>
      <c r="G52" s="31">
        <f t="shared" si="36"/>
        <v>-0.100854296</v>
      </c>
      <c r="H52" s="62">
        <f>IFERROR(H51/H26,0)</f>
        <v>0.04953853821</v>
      </c>
      <c r="I52" s="31">
        <f t="shared" si="37"/>
        <v>0.3018319723</v>
      </c>
      <c r="J52" s="62">
        <f>IFERROR(J51/J26,0)</f>
        <v>0.06449085291</v>
      </c>
      <c r="K52" s="31">
        <f t="shared" si="38"/>
        <v>-0.1842429489</v>
      </c>
      <c r="L52" s="62">
        <f>IFERROR(L51/L26,0)</f>
        <v>0.05260886799</v>
      </c>
      <c r="M52" s="31">
        <f t="shared" si="39"/>
        <v>0.377755402</v>
      </c>
      <c r="N52" s="62">
        <f>IFERROR(N51/N26,0)</f>
        <v>0.07248215207</v>
      </c>
      <c r="O52" s="31">
        <f t="shared" si="40"/>
        <v>-0.442482586</v>
      </c>
      <c r="P52" s="62">
        <f>IFERROR(P51/P26,0)</f>
        <v>0.04041006198</v>
      </c>
      <c r="Q52" s="31">
        <f t="shared" si="41"/>
        <v>0.5959107644</v>
      </c>
      <c r="R52" s="62">
        <f>IFERROR(R51/R26,0)</f>
        <v>0.06449085291</v>
      </c>
      <c r="S52" s="31">
        <f t="shared" si="42"/>
        <v>0</v>
      </c>
      <c r="T52" s="62">
        <f>IFERROR(T51/T26,0)</f>
        <v>0.06449085291</v>
      </c>
      <c r="U52" s="31">
        <f t="shared" si="43"/>
        <v>0</v>
      </c>
      <c r="V52" s="62">
        <f>IFERROR(V51/V26,0)</f>
        <v>0.06449085291</v>
      </c>
      <c r="W52" s="31">
        <f t="shared" si="44"/>
        <v>0</v>
      </c>
      <c r="X52" s="62">
        <f>IFERROR(X51/X26,0)</f>
        <v>0.06449085291</v>
      </c>
      <c r="Y52" s="13"/>
    </row>
    <row r="53">
      <c r="A53" s="25" t="s">
        <v>82</v>
      </c>
      <c r="B53" s="63">
        <f>IFERROR(B51/(B77*B33),0)*12</f>
        <v>0.009770902961</v>
      </c>
      <c r="C53" s="27">
        <f t="shared" si="34"/>
        <v>-0.4777882723</v>
      </c>
      <c r="D53" s="63">
        <f>IFERROR(D51/(D77*D33),0)*12</f>
        <v>0.005102480116</v>
      </c>
      <c r="E53" s="27">
        <f t="shared" si="35"/>
        <v>0.07118540717</v>
      </c>
      <c r="F53" s="63">
        <f>IFERROR(F51/(F77*F33),0)*12</f>
        <v>0.005465702241</v>
      </c>
      <c r="G53" s="27">
        <f t="shared" si="36"/>
        <v>-0.1844024411</v>
      </c>
      <c r="H53" s="63">
        <f>IFERROR(H51/(H77*H33),0)*12</f>
        <v>0.004457813405</v>
      </c>
      <c r="I53" s="27">
        <f t="shared" si="37"/>
        <v>0.1717632552</v>
      </c>
      <c r="J53" s="63">
        <f>IFERROR(J51/(J77*J33),0)*12</f>
        <v>0.005223501946</v>
      </c>
      <c r="K53" s="27">
        <f t="shared" si="38"/>
        <v>-0.07165740632</v>
      </c>
      <c r="L53" s="63">
        <f>IFERROR(L51/(L77*L33),0)*12</f>
        <v>0.004849199345</v>
      </c>
      <c r="M53" s="27">
        <f t="shared" si="39"/>
        <v>0.4715087251</v>
      </c>
      <c r="N53" s="63">
        <f>IFERROR(N51/(N77*N33),0)*12</f>
        <v>0.007135639146</v>
      </c>
      <c r="O53" s="27">
        <f t="shared" si="40"/>
        <v>-0.2540874487</v>
      </c>
      <c r="P53" s="63">
        <f>IFERROR(P51/(P77*P33),0)*12</f>
        <v>0.0053225628</v>
      </c>
      <c r="Q53" s="27">
        <f t="shared" si="41"/>
        <v>0.02179426823</v>
      </c>
      <c r="R53" s="63">
        <f>IFERROR(R51/(R77*R33),0)*12</f>
        <v>0.005438564162</v>
      </c>
      <c r="S53" s="27">
        <f t="shared" si="42"/>
        <v>0</v>
      </c>
      <c r="T53" s="63">
        <f>IFERROR(T51/(T77*T33),0)*12</f>
        <v>0.005438564162</v>
      </c>
      <c r="U53" s="27">
        <f t="shared" si="43"/>
        <v>0</v>
      </c>
      <c r="V53" s="63">
        <f>IFERROR(V51/(V77*V33),0)*12</f>
        <v>0.005438564162</v>
      </c>
      <c r="W53" s="27">
        <f>IFERROR(SUM((X53/V57)-1),0)</f>
        <v>-0.9384307822</v>
      </c>
      <c r="X53" s="63">
        <f>IFERROR(X51/(X77*X33),0)*12</f>
        <v>0.005438564162</v>
      </c>
    </row>
    <row r="54">
      <c r="A54" s="4" t="s">
        <v>83</v>
      </c>
      <c r="B54" s="15">
        <v>676285.27</v>
      </c>
      <c r="C54" s="13">
        <f t="shared" si="34"/>
        <v>0.03228634567</v>
      </c>
      <c r="D54" s="15">
        <v>698120.05</v>
      </c>
      <c r="E54" s="13">
        <f t="shared" si="35"/>
        <v>-0.2796379505</v>
      </c>
      <c r="F54" s="15">
        <v>502899.19</v>
      </c>
      <c r="G54" s="13">
        <f t="shared" si="36"/>
        <v>6.727024118</v>
      </c>
      <c r="H54" s="15">
        <v>3885914.17</v>
      </c>
      <c r="I54" s="13">
        <f t="shared" si="37"/>
        <v>-0.8514856184</v>
      </c>
      <c r="J54" s="15">
        <v>577114.14</v>
      </c>
      <c r="K54" s="13">
        <f t="shared" si="38"/>
        <v>-0.06442067075</v>
      </c>
      <c r="L54" s="15">
        <v>539936.06</v>
      </c>
      <c r="M54" s="13">
        <f t="shared" si="39"/>
        <v>0.9839885671</v>
      </c>
      <c r="N54" s="15">
        <v>1071226.97</v>
      </c>
      <c r="O54" s="13">
        <f t="shared" si="40"/>
        <v>2.917226403</v>
      </c>
      <c r="P54" s="15">
        <v>4196238.57</v>
      </c>
      <c r="Q54" s="13">
        <f t="shared" si="41"/>
        <v>0</v>
      </c>
      <c r="R54" s="15">
        <v>4196238.57</v>
      </c>
      <c r="S54" s="13">
        <f t="shared" si="42"/>
        <v>0</v>
      </c>
      <c r="T54" s="15">
        <v>4196238.57</v>
      </c>
      <c r="U54" s="13">
        <f t="shared" si="43"/>
        <v>0</v>
      </c>
      <c r="V54" s="15">
        <v>4196238.57</v>
      </c>
      <c r="W54" s="13">
        <f>IFERROR(SUM((X54/V54)-1),0)</f>
        <v>0</v>
      </c>
      <c r="X54" s="15">
        <v>4196238.57</v>
      </c>
    </row>
    <row r="55">
      <c r="B55" s="15"/>
      <c r="C55" s="13"/>
      <c r="D55" s="15"/>
      <c r="E55" s="13"/>
      <c r="F55" s="15"/>
      <c r="G55" s="13"/>
      <c r="H55" s="15"/>
      <c r="I55" s="13"/>
      <c r="J55" s="15"/>
      <c r="K55" s="13"/>
      <c r="L55" s="15"/>
      <c r="M55" s="13"/>
      <c r="N55" s="15"/>
      <c r="O55" s="13"/>
      <c r="P55" s="15"/>
      <c r="Q55" s="13"/>
      <c r="R55" s="15"/>
      <c r="S55" s="13"/>
      <c r="T55" s="15"/>
      <c r="U55" s="13"/>
      <c r="V55" s="15"/>
      <c r="W55" s="13"/>
      <c r="X55" s="15"/>
    </row>
    <row r="56">
      <c r="A56" s="25" t="s">
        <v>84</v>
      </c>
      <c r="B56" s="24">
        <f>SUM(B50,B46,B51,B54)</f>
        <v>182644828.6</v>
      </c>
      <c r="C56" s="13">
        <f t="shared" ref="C56:C59" si="45">IFERROR(SUM((D56/B56)-1),0)</f>
        <v>0.006600001047</v>
      </c>
      <c r="D56" s="24">
        <f>SUM(D50,D46,D51,D54)</f>
        <v>183850284.7</v>
      </c>
      <c r="E56" s="13">
        <f t="shared" ref="E56:E59" si="46">IFERROR(SUM((F56/D56)-1),0)</f>
        <v>-0.0011780895</v>
      </c>
      <c r="F56" s="24">
        <f>SUM(F50,F46,F51,F54)</f>
        <v>183633692.6</v>
      </c>
      <c r="G56" s="13">
        <f t="shared" ref="G56:G59" si="47">IFERROR(SUM((H56/F56)-1),0)</f>
        <v>0.01906042541</v>
      </c>
      <c r="H56" s="24">
        <f>SUM(H50,H46,H51,H54)</f>
        <v>187133828.9</v>
      </c>
      <c r="I56" s="13">
        <f t="shared" ref="I56:I59" si="48">IFERROR(SUM((J56/H56)-1),0)</f>
        <v>-0.01442051197</v>
      </c>
      <c r="J56" s="24">
        <f>SUM(J50,J46,J51,J54)</f>
        <v>184435263.2</v>
      </c>
      <c r="K56" s="13">
        <f t="shared" ref="K56:K59" si="49">IFERROR(SUM((L56/J56)-1),0)</f>
        <v>0.003048763832</v>
      </c>
      <c r="L56" s="24">
        <f>SUM(L50,L46,L51,L54)</f>
        <v>184997562.8</v>
      </c>
      <c r="M56" s="13">
        <f t="shared" ref="M56:M59" si="50">IFERROR(SUM((N56/L56)-1),0)</f>
        <v>0.008176390959</v>
      </c>
      <c r="N56" s="24">
        <f>SUM(N50,N46,N51,N54)</f>
        <v>186510175.2</v>
      </c>
      <c r="O56" s="13">
        <f t="shared" ref="O56:O59" si="51">IFERROR(SUM((P56/N56)-1),0)</f>
        <v>0.01744654342</v>
      </c>
      <c r="P56" s="24">
        <f>SUM(P50,P46,P51,P54)</f>
        <v>189764133.1</v>
      </c>
      <c r="Q56" s="13">
        <f t="shared" ref="Q56:Q59" si="52">IFERROR(SUM((R56/P56)-1),0)</f>
        <v>0.0002076314389</v>
      </c>
      <c r="R56" s="24">
        <f>SUM(R50,R46,R51,R54)</f>
        <v>189803534.1</v>
      </c>
      <c r="S56" s="13">
        <f t="shared" ref="S56:S59" si="53">IFERROR(SUM((T56/R56)-1),0)</f>
        <v>0</v>
      </c>
      <c r="T56" s="24">
        <f>SUM(T50,T46,T51,T54)</f>
        <v>189803534.1</v>
      </c>
      <c r="U56" s="13">
        <f t="shared" ref="U56:U59" si="54">IFERROR(SUM((V56/T56)-1),0)</f>
        <v>0</v>
      </c>
      <c r="V56" s="24">
        <f>SUM(V50,V46,V51,V54)</f>
        <v>189803534.1</v>
      </c>
      <c r="W56" s="13">
        <f t="shared" ref="W56:W59" si="55">IFERROR(SUM((X56/V56)-1),0)</f>
        <v>0</v>
      </c>
      <c r="X56" s="24">
        <f>SUM(X50,X46,X51,X54)</f>
        <v>189803534.1</v>
      </c>
    </row>
    <row r="57">
      <c r="A57" s="4" t="s">
        <v>85</v>
      </c>
      <c r="B57" s="13">
        <f>(B42/B59)-1</f>
        <v>0.1113860253</v>
      </c>
      <c r="C57" s="13">
        <f t="shared" si="45"/>
        <v>-0.001344292013</v>
      </c>
      <c r="D57" s="13">
        <f>(D42/D59)-1</f>
        <v>0.11123629</v>
      </c>
      <c r="E57" s="13">
        <f t="shared" si="46"/>
        <v>0.003406485838</v>
      </c>
      <c r="F57" s="13">
        <f>(F42/F59)-1</f>
        <v>0.1116152148</v>
      </c>
      <c r="G57" s="13">
        <f t="shared" si="47"/>
        <v>0.02279014321</v>
      </c>
      <c r="H57" s="13">
        <f>(H42/H59)-1</f>
        <v>0.1141589416</v>
      </c>
      <c r="I57" s="13">
        <f t="shared" si="48"/>
        <v>-0.01243679417</v>
      </c>
      <c r="J57" s="13">
        <f>(J42/J59)-1</f>
        <v>0.1127391703</v>
      </c>
      <c r="K57" s="13">
        <f t="shared" si="49"/>
        <v>0.005929248574</v>
      </c>
      <c r="L57" s="13">
        <f>(L42/L59)-1</f>
        <v>0.1134076289</v>
      </c>
      <c r="M57" s="13">
        <f t="shared" si="50"/>
        <v>-0.2160952077</v>
      </c>
      <c r="N57" s="13">
        <f>(N42/N59)-1</f>
        <v>0.08890078375</v>
      </c>
      <c r="O57" s="13">
        <f t="shared" si="51"/>
        <v>-0.006616588157</v>
      </c>
      <c r="P57" s="13">
        <f>(P42/P59)-1</f>
        <v>0.08831256388</v>
      </c>
      <c r="Q57" s="13">
        <f t="shared" si="52"/>
        <v>0.0002259720471</v>
      </c>
      <c r="R57" s="13">
        <f>(R42/R59)-1</f>
        <v>0.08833252005</v>
      </c>
      <c r="S57" s="13">
        <f t="shared" si="53"/>
        <v>0</v>
      </c>
      <c r="T57" s="13">
        <f>(T42/T59)-1</f>
        <v>0.08833252005</v>
      </c>
      <c r="U57" s="13">
        <f t="shared" si="54"/>
        <v>0</v>
      </c>
      <c r="V57" s="13">
        <f>(V42/V59)-1</f>
        <v>0.08833252005</v>
      </c>
      <c r="W57" s="13">
        <f t="shared" si="55"/>
        <v>0</v>
      </c>
      <c r="X57" s="13">
        <f>(X42/X59)-1</f>
        <v>0.08833252005</v>
      </c>
    </row>
    <row r="58">
      <c r="A58" s="1" t="s">
        <v>86</v>
      </c>
      <c r="B58" s="69">
        <f>B26/ABS(B18)</f>
        <v>9.503405175</v>
      </c>
      <c r="C58" s="13">
        <f t="shared" si="45"/>
        <v>1.230221429</v>
      </c>
      <c r="D58" s="69">
        <f>D26/ABS(D18)</f>
        <v>21.19469786</v>
      </c>
      <c r="E58" s="13">
        <f t="shared" si="46"/>
        <v>-0.3737500397</v>
      </c>
      <c r="F58" s="69">
        <f>F26/ABS(F18)</f>
        <v>13.2731787</v>
      </c>
      <c r="G58" s="13">
        <f t="shared" si="47"/>
        <v>-0.1179641201</v>
      </c>
      <c r="H58" s="69">
        <f>H26/ABS(H18)</f>
        <v>11.70741985</v>
      </c>
      <c r="I58" s="13">
        <f t="shared" si="48"/>
        <v>-0.1039394232</v>
      </c>
      <c r="J58" s="69">
        <f>J26/ABS(J18)</f>
        <v>10.49055738</v>
      </c>
      <c r="K58" s="13">
        <f t="shared" si="49"/>
        <v>0.1253288364</v>
      </c>
      <c r="L58" s="69">
        <f>L26/ABS(L18)</f>
        <v>11.80532673</v>
      </c>
      <c r="M58" s="13">
        <f t="shared" si="50"/>
        <v>0.03021546256</v>
      </c>
      <c r="N58" s="69">
        <f>N26/ABS(N18)</f>
        <v>12.16203014</v>
      </c>
      <c r="O58" s="13">
        <f t="shared" si="51"/>
        <v>0.2579895786</v>
      </c>
      <c r="P58" s="69">
        <f>P26/ABS(P18)</f>
        <v>15.29970717</v>
      </c>
      <c r="Q58" s="13">
        <f t="shared" si="52"/>
        <v>-0.3143295316</v>
      </c>
      <c r="R58" s="69">
        <f>R26/ABS(R18)</f>
        <v>10.49055738</v>
      </c>
      <c r="S58" s="13">
        <f t="shared" si="53"/>
        <v>0</v>
      </c>
      <c r="T58" s="69">
        <f>T26/ABS(T18)</f>
        <v>10.49055738</v>
      </c>
      <c r="U58" s="13">
        <f t="shared" si="54"/>
        <v>0</v>
      </c>
      <c r="V58" s="69">
        <f>V26/ABS(V18)</f>
        <v>10.49055738</v>
      </c>
      <c r="W58" s="13">
        <f t="shared" si="55"/>
        <v>0</v>
      </c>
      <c r="X58" s="69">
        <f>X26/ABS(X18)</f>
        <v>10.49055738</v>
      </c>
    </row>
    <row r="59">
      <c r="A59" s="28" t="s">
        <v>87</v>
      </c>
      <c r="B59" s="22">
        <f>SUM(B42-B56)</f>
        <v>1639746351</v>
      </c>
      <c r="C59" s="13">
        <f t="shared" si="45"/>
        <v>0.007954986886</v>
      </c>
      <c r="D59" s="22">
        <f>SUM(D42-D56)</f>
        <v>1652790512</v>
      </c>
      <c r="E59" s="13">
        <f t="shared" si="46"/>
        <v>-0.004569011067</v>
      </c>
      <c r="F59" s="22">
        <f>SUM(F42-F56)</f>
        <v>1645238894</v>
      </c>
      <c r="G59" s="13">
        <f t="shared" si="47"/>
        <v>-0.003646611014</v>
      </c>
      <c r="H59" s="22">
        <f>SUM(H42-H56)</f>
        <v>1639239347</v>
      </c>
      <c r="I59" s="13">
        <f t="shared" si="48"/>
        <v>-0.002008699587</v>
      </c>
      <c r="J59" s="22">
        <f>SUM(J42-J56)</f>
        <v>1635946608</v>
      </c>
      <c r="K59" s="13">
        <f t="shared" si="49"/>
        <v>-0.002863506301</v>
      </c>
      <c r="L59" s="22">
        <f>SUM(L42-L56)</f>
        <v>1631262065</v>
      </c>
      <c r="M59" s="13">
        <f t="shared" si="50"/>
        <v>0.2860954555</v>
      </c>
      <c r="N59" s="22">
        <f>SUM(N42-N56)</f>
        <v>2097958728</v>
      </c>
      <c r="O59" s="13">
        <f t="shared" si="51"/>
        <v>0.02422340789</v>
      </c>
      <c r="P59" s="22">
        <f>SUM(P42-P56)</f>
        <v>2148778438</v>
      </c>
      <c r="Q59" s="13">
        <f t="shared" si="52"/>
        <v>-0.00001833646471</v>
      </c>
      <c r="R59" s="22">
        <f>SUM(R42-R56)</f>
        <v>2148739037</v>
      </c>
      <c r="S59" s="13">
        <f t="shared" si="53"/>
        <v>0</v>
      </c>
      <c r="T59" s="22">
        <f>SUM(T42-T56)</f>
        <v>2148739037</v>
      </c>
      <c r="U59" s="13">
        <f t="shared" si="54"/>
        <v>0</v>
      </c>
      <c r="V59" s="22">
        <f>SUM(V42-V56)</f>
        <v>2148739037</v>
      </c>
      <c r="W59" s="13">
        <f t="shared" si="55"/>
        <v>0</v>
      </c>
      <c r="X59" s="22">
        <f>SUM(X42-X56)</f>
        <v>2148739037</v>
      </c>
    </row>
    <row r="60">
      <c r="A60" s="52"/>
      <c r="B60" s="2" t="s">
        <v>1</v>
      </c>
      <c r="C60" s="3">
        <f>$C$1</f>
        <v>46052</v>
      </c>
      <c r="D60" s="2" t="s">
        <v>1</v>
      </c>
      <c r="E60" s="3">
        <f>$E$1</f>
        <v>46080</v>
      </c>
      <c r="F60" s="2" t="s">
        <v>1</v>
      </c>
      <c r="G60" s="3">
        <f>$G$1</f>
        <v>46108</v>
      </c>
      <c r="H60" s="2" t="s">
        <v>1</v>
      </c>
      <c r="I60" s="3">
        <f>$I$1</f>
        <v>46142</v>
      </c>
      <c r="J60" s="2" t="s">
        <v>1</v>
      </c>
      <c r="K60" s="3">
        <f>$K$1</f>
        <v>46163</v>
      </c>
      <c r="L60" s="2" t="s">
        <v>1</v>
      </c>
      <c r="M60" s="3">
        <f>$M$1</f>
        <v>46192</v>
      </c>
      <c r="N60" s="2" t="s">
        <v>1</v>
      </c>
      <c r="O60" s="3">
        <f>$O$1</f>
        <v>46224</v>
      </c>
      <c r="P60" s="2" t="s">
        <v>2</v>
      </c>
      <c r="Q60" s="3">
        <f>$Q$1</f>
        <v>46195</v>
      </c>
      <c r="R60" s="2" t="s">
        <v>3</v>
      </c>
      <c r="S60" s="3">
        <f>$S$1</f>
        <v>46195</v>
      </c>
      <c r="T60" s="2" t="s">
        <v>3</v>
      </c>
      <c r="U60" s="3">
        <f>$U$1</f>
        <v>46195</v>
      </c>
      <c r="V60" s="2" t="s">
        <v>3</v>
      </c>
      <c r="W60" s="3">
        <f>$W$1</f>
        <v>46195</v>
      </c>
      <c r="X60" s="2" t="s">
        <v>3</v>
      </c>
      <c r="Y60" s="3">
        <f>$Y$1</f>
        <v>46195</v>
      </c>
    </row>
    <row r="61">
      <c r="A61" s="1" t="s">
        <v>88</v>
      </c>
      <c r="B61" s="1" t="s">
        <v>5</v>
      </c>
      <c r="C61" s="53"/>
      <c r="D61" s="54" t="s">
        <v>6</v>
      </c>
      <c r="E61" s="55"/>
      <c r="F61" s="54" t="s">
        <v>7</v>
      </c>
      <c r="G61" s="55"/>
      <c r="H61" s="54" t="s">
        <v>8</v>
      </c>
      <c r="I61" s="55"/>
      <c r="J61" s="54" t="s">
        <v>9</v>
      </c>
      <c r="K61" s="55"/>
      <c r="L61" s="54" t="s">
        <v>10</v>
      </c>
      <c r="M61" s="55"/>
      <c r="N61" s="54" t="s">
        <v>11</v>
      </c>
      <c r="O61" s="55"/>
      <c r="P61" s="1" t="s">
        <v>12</v>
      </c>
      <c r="Q61" s="53"/>
      <c r="R61" s="1" t="s">
        <v>13</v>
      </c>
      <c r="S61" s="53"/>
      <c r="T61" s="1" t="s">
        <v>14</v>
      </c>
      <c r="U61" s="53"/>
      <c r="V61" s="1" t="s">
        <v>15</v>
      </c>
      <c r="W61" s="53"/>
      <c r="X61" s="1" t="s">
        <v>16</v>
      </c>
      <c r="Y61" s="15"/>
    </row>
    <row r="62">
      <c r="A62" s="4" t="s">
        <v>89</v>
      </c>
      <c r="B62" s="4">
        <v>15.0</v>
      </c>
      <c r="C62" s="13">
        <f t="shared" ref="C62:C65" si="56">IFERROR(SUM((D62/B62)-1),0)</f>
        <v>0</v>
      </c>
      <c r="D62" s="4">
        <v>15.0</v>
      </c>
      <c r="E62" s="13">
        <f t="shared" ref="E62:E65" si="57">IFERROR(SUM((F62/D62)-1),0)</f>
        <v>-0.06666666667</v>
      </c>
      <c r="F62" s="4">
        <v>14.0</v>
      </c>
      <c r="G62" s="13">
        <f t="shared" ref="G62:G65" si="58">IFERROR(SUM((H62/F62)-1),0)</f>
        <v>0</v>
      </c>
      <c r="H62" s="4">
        <v>14.0</v>
      </c>
      <c r="I62" s="13">
        <f t="shared" ref="I62:I65" si="59">IFERROR(SUM((J62/H62)-1),0)</f>
        <v>0</v>
      </c>
      <c r="J62" s="4">
        <v>14.0</v>
      </c>
      <c r="K62" s="13">
        <f t="shared" ref="K62:K65" si="60">IFERROR(SUM((L62/J62)-1),0)</f>
        <v>0</v>
      </c>
      <c r="L62" s="4">
        <v>14.0</v>
      </c>
      <c r="M62" s="13">
        <f t="shared" ref="M62:M65" si="61">IFERROR(SUM((N62/L62)-1),0)</f>
        <v>0.2857142857</v>
      </c>
      <c r="N62" s="4">
        <v>18.0</v>
      </c>
      <c r="O62" s="13">
        <f t="shared" ref="O62:O65" si="62">IFERROR(SUM((P62/N62)-1),0)</f>
        <v>0</v>
      </c>
      <c r="P62" s="4">
        <v>18.0</v>
      </c>
      <c r="Q62" s="13">
        <f t="shared" ref="Q62:Q65" si="63">IFERROR(SUM((R62/P62)-1),0)</f>
        <v>0</v>
      </c>
      <c r="R62" s="4">
        <v>18.0</v>
      </c>
      <c r="S62" s="13">
        <f t="shared" ref="S62:S65" si="64">IFERROR(SUM((T62/R62)-1),0)</f>
        <v>0</v>
      </c>
      <c r="T62" s="4">
        <v>18.0</v>
      </c>
      <c r="U62" s="13">
        <f t="shared" ref="U62:U65" si="65">IFERROR(SUM((V62/T62)-1),0)</f>
        <v>0</v>
      </c>
      <c r="V62" s="4">
        <v>18.0</v>
      </c>
      <c r="W62" s="13">
        <f t="shared" ref="W62:W65" si="66">IFERROR(SUM((X62/V62)-1),0)</f>
        <v>0</v>
      </c>
      <c r="X62" s="4">
        <v>18.0</v>
      </c>
      <c r="Y62" s="15"/>
    </row>
    <row r="63">
      <c r="A63" s="4" t="s">
        <v>91</v>
      </c>
      <c r="B63" s="58">
        <v>147744.0</v>
      </c>
      <c r="C63" s="13">
        <f t="shared" si="56"/>
        <v>0.00002707385748</v>
      </c>
      <c r="D63" s="58">
        <v>147748.0</v>
      </c>
      <c r="E63" s="13">
        <f t="shared" si="57"/>
        <v>-0.05912770393</v>
      </c>
      <c r="F63" s="58">
        <v>139012.0</v>
      </c>
      <c r="G63" s="13">
        <f t="shared" si="58"/>
        <v>0</v>
      </c>
      <c r="H63" s="58">
        <v>139012.0</v>
      </c>
      <c r="I63" s="13">
        <f t="shared" si="59"/>
        <v>0.001848761258</v>
      </c>
      <c r="J63" s="58">
        <v>139269.0</v>
      </c>
      <c r="K63" s="13">
        <f t="shared" si="60"/>
        <v>0.001026789881</v>
      </c>
      <c r="L63" s="58">
        <v>139412.0</v>
      </c>
      <c r="M63" s="13">
        <f t="shared" si="61"/>
        <v>0.0001004217714</v>
      </c>
      <c r="N63" s="58">
        <v>139426.0</v>
      </c>
      <c r="O63" s="13">
        <f t="shared" si="62"/>
        <v>0.07220317588</v>
      </c>
      <c r="P63" s="58">
        <v>149493.0</v>
      </c>
      <c r="Q63" s="13">
        <f t="shared" si="63"/>
        <v>-0.06734094573</v>
      </c>
      <c r="R63" s="58">
        <v>139426.0</v>
      </c>
      <c r="S63" s="13">
        <f t="shared" si="64"/>
        <v>0</v>
      </c>
      <c r="T63" s="58">
        <v>139426.0</v>
      </c>
      <c r="U63" s="13">
        <f t="shared" si="65"/>
        <v>0</v>
      </c>
      <c r="V63" s="58">
        <v>139426.0</v>
      </c>
      <c r="W63" s="13">
        <f t="shared" si="66"/>
        <v>0</v>
      </c>
      <c r="X63" s="58">
        <v>139426.0</v>
      </c>
      <c r="Y63" s="15"/>
    </row>
    <row r="64">
      <c r="A64" s="71" t="s">
        <v>224</v>
      </c>
      <c r="B64" s="15">
        <v>96.4</v>
      </c>
      <c r="C64" s="12">
        <f t="shared" si="56"/>
        <v>0</v>
      </c>
      <c r="D64" s="15">
        <v>96.4</v>
      </c>
      <c r="E64" s="12">
        <f t="shared" si="57"/>
        <v>0</v>
      </c>
      <c r="F64" s="15">
        <v>96.4</v>
      </c>
      <c r="G64" s="12">
        <f t="shared" si="58"/>
        <v>-0.00622406639</v>
      </c>
      <c r="H64" s="15">
        <v>95.8</v>
      </c>
      <c r="I64" s="12">
        <f t="shared" si="59"/>
        <v>0.001043841336</v>
      </c>
      <c r="J64" s="15">
        <v>95.9</v>
      </c>
      <c r="K64" s="12">
        <f t="shared" si="60"/>
        <v>0.005213764338</v>
      </c>
      <c r="L64" s="15">
        <v>96.4</v>
      </c>
      <c r="M64" s="12">
        <f t="shared" si="61"/>
        <v>-0.001037344398</v>
      </c>
      <c r="N64" s="15">
        <v>96.3</v>
      </c>
      <c r="O64" s="12">
        <f t="shared" si="62"/>
        <v>-0.001038421599</v>
      </c>
      <c r="P64" s="4">
        <v>96.2</v>
      </c>
      <c r="Q64" s="12">
        <f t="shared" si="63"/>
        <v>0.00103950104</v>
      </c>
      <c r="R64" s="15">
        <v>96.3</v>
      </c>
      <c r="S64" s="12">
        <f t="shared" si="64"/>
        <v>0</v>
      </c>
      <c r="T64" s="15">
        <v>96.3</v>
      </c>
      <c r="U64" s="12">
        <f t="shared" si="65"/>
        <v>0</v>
      </c>
      <c r="V64" s="15">
        <v>96.3</v>
      </c>
      <c r="W64" s="12">
        <f t="shared" si="66"/>
        <v>0</v>
      </c>
      <c r="X64" s="15">
        <v>96.3</v>
      </c>
      <c r="Y64" s="15"/>
    </row>
    <row r="65">
      <c r="A65" s="5" t="s">
        <v>97</v>
      </c>
      <c r="B65" s="64">
        <v>0.0</v>
      </c>
      <c r="C65" s="13">
        <f t="shared" si="56"/>
        <v>0</v>
      </c>
      <c r="D65" s="64">
        <v>-0.06</v>
      </c>
      <c r="E65" s="13">
        <f t="shared" si="57"/>
        <v>-2.333333333</v>
      </c>
      <c r="F65" s="64">
        <v>0.08</v>
      </c>
      <c r="G65" s="13">
        <f t="shared" si="58"/>
        <v>-0.5</v>
      </c>
      <c r="H65" s="64">
        <v>0.04</v>
      </c>
      <c r="I65" s="13">
        <f t="shared" si="59"/>
        <v>-0.5</v>
      </c>
      <c r="J65" s="64">
        <v>0.02</v>
      </c>
      <c r="K65" s="13">
        <f t="shared" si="60"/>
        <v>0</v>
      </c>
      <c r="L65" s="64">
        <v>0.02</v>
      </c>
      <c r="M65" s="13">
        <f t="shared" si="61"/>
        <v>0.5</v>
      </c>
      <c r="N65" s="64">
        <v>0.03</v>
      </c>
      <c r="O65" s="13">
        <f t="shared" si="62"/>
        <v>0</v>
      </c>
      <c r="P65" s="64">
        <v>0.03</v>
      </c>
      <c r="Q65" s="13">
        <f t="shared" si="63"/>
        <v>0</v>
      </c>
      <c r="R65" s="64">
        <v>0.03</v>
      </c>
      <c r="S65" s="13">
        <f t="shared" si="64"/>
        <v>0</v>
      </c>
      <c r="T65" s="64">
        <v>0.03</v>
      </c>
      <c r="U65" s="13">
        <f t="shared" si="65"/>
        <v>0</v>
      </c>
      <c r="V65" s="64">
        <v>0.03</v>
      </c>
      <c r="W65" s="13">
        <f t="shared" si="66"/>
        <v>0</v>
      </c>
      <c r="X65" s="64">
        <v>0.03</v>
      </c>
      <c r="Y65" s="15"/>
    </row>
    <row r="66">
      <c r="A66" s="1" t="s">
        <v>225</v>
      </c>
      <c r="B66" s="1"/>
      <c r="C66" s="31"/>
      <c r="D66" s="78"/>
      <c r="E66" s="53"/>
      <c r="F66" s="78"/>
      <c r="G66" s="79"/>
      <c r="H66" s="78"/>
      <c r="I66" s="79"/>
      <c r="J66" s="78"/>
      <c r="K66" s="79"/>
      <c r="L66" s="78"/>
      <c r="M66" s="79"/>
      <c r="N66" s="78"/>
      <c r="O66" s="79"/>
      <c r="P66" s="78"/>
      <c r="Q66" s="79"/>
      <c r="R66" s="78"/>
      <c r="S66" s="79"/>
      <c r="T66" s="78"/>
      <c r="U66" s="79"/>
      <c r="V66" s="78"/>
      <c r="W66" s="79"/>
      <c r="X66" s="78"/>
    </row>
    <row r="67">
      <c r="A67" s="65" t="s">
        <v>227</v>
      </c>
      <c r="B67" s="81">
        <v>0.297</v>
      </c>
      <c r="C67" s="68">
        <f t="shared" ref="C67:C75" si="67">IFERROR(SUM((D67/B67)-1),0)</f>
        <v>0.02356902357</v>
      </c>
      <c r="D67" s="81">
        <v>0.304</v>
      </c>
      <c r="E67" s="68">
        <f t="shared" ref="E67:E75" si="68">IFERROR(SUM((F67/D67)-1),0)</f>
        <v>-0.006578947368</v>
      </c>
      <c r="F67" s="81">
        <v>0.302</v>
      </c>
      <c r="G67" s="68">
        <f t="shared" ref="G67:G75" si="69">IFERROR(SUM((H67/F67)-1),0)</f>
        <v>0</v>
      </c>
      <c r="H67" s="81">
        <v>0.302</v>
      </c>
      <c r="I67" s="68">
        <f t="shared" ref="I67:I75" si="70">IFERROR(SUM((J67/H67)-1),0)</f>
        <v>0.006622516556</v>
      </c>
      <c r="J67" s="81">
        <v>0.304</v>
      </c>
      <c r="K67" s="68">
        <f t="shared" ref="K67:K75" si="71">IFERROR(SUM((L67/J67)-1),0)</f>
        <v>0</v>
      </c>
      <c r="L67" s="81">
        <v>0.304</v>
      </c>
      <c r="M67" s="68">
        <f t="shared" ref="M67:M75" si="72">IFERROR(SUM((N67/L67)-1),0)</f>
        <v>-0.1776315789</v>
      </c>
      <c r="N67" s="81">
        <v>0.25</v>
      </c>
      <c r="O67" s="34">
        <f t="shared" ref="O67:O75" si="73">IFERROR(SUM((P67/N67)-1),0)</f>
        <v>-0.22</v>
      </c>
      <c r="P67" s="81">
        <v>0.195</v>
      </c>
      <c r="Q67" s="68">
        <f t="shared" ref="Q67:Q75" si="74">IFERROR(SUM((R67/P67)-1),0)</f>
        <v>0.2820512821</v>
      </c>
      <c r="R67" s="81">
        <v>0.25</v>
      </c>
      <c r="S67" s="68">
        <f t="shared" ref="S67:S75" si="75">IFERROR(SUM((T67/R67)-1),0)</f>
        <v>0</v>
      </c>
      <c r="T67" s="81">
        <v>0.25</v>
      </c>
      <c r="U67" s="68">
        <f t="shared" ref="U67:U75" si="76">IFERROR(SUM((V67/T67)-1),0)</f>
        <v>0</v>
      </c>
      <c r="V67" s="81">
        <v>0.25</v>
      </c>
      <c r="W67" s="68">
        <f t="shared" ref="W67:W75" si="77">IFERROR(SUM((X67/V67)-1),0)</f>
        <v>0</v>
      </c>
      <c r="X67" s="81">
        <v>0.25</v>
      </c>
    </row>
    <row r="68">
      <c r="A68" s="65" t="s">
        <v>229</v>
      </c>
      <c r="B68" s="81">
        <v>0.252</v>
      </c>
      <c r="C68" s="68">
        <f t="shared" si="67"/>
        <v>0.01984126984</v>
      </c>
      <c r="D68" s="81">
        <v>0.257</v>
      </c>
      <c r="E68" s="68">
        <f t="shared" si="68"/>
        <v>0.003891050584</v>
      </c>
      <c r="F68" s="81">
        <v>0.258</v>
      </c>
      <c r="G68" s="68">
        <f t="shared" si="69"/>
        <v>0</v>
      </c>
      <c r="H68" s="81">
        <v>0.258</v>
      </c>
      <c r="I68" s="68">
        <f t="shared" si="70"/>
        <v>-0.003875968992</v>
      </c>
      <c r="J68" s="81">
        <v>0.257</v>
      </c>
      <c r="K68" s="68">
        <f t="shared" si="71"/>
        <v>-0.003891050584</v>
      </c>
      <c r="L68" s="81">
        <v>0.256</v>
      </c>
      <c r="M68" s="68">
        <f t="shared" si="72"/>
        <v>0.10546875</v>
      </c>
      <c r="N68" s="81">
        <v>0.283</v>
      </c>
      <c r="O68" s="171">
        <f t="shared" si="73"/>
        <v>0.1625441696</v>
      </c>
      <c r="P68" s="81">
        <v>0.329</v>
      </c>
      <c r="Q68" s="68">
        <f t="shared" si="74"/>
        <v>-0.1398176292</v>
      </c>
      <c r="R68" s="81">
        <v>0.283</v>
      </c>
      <c r="S68" s="68">
        <f t="shared" si="75"/>
        <v>0</v>
      </c>
      <c r="T68" s="81">
        <v>0.283</v>
      </c>
      <c r="U68" s="68">
        <f t="shared" si="76"/>
        <v>0</v>
      </c>
      <c r="V68" s="81">
        <v>0.283</v>
      </c>
      <c r="W68" s="68">
        <f t="shared" si="77"/>
        <v>0</v>
      </c>
      <c r="X68" s="81">
        <v>0.283</v>
      </c>
      <c r="Y68" s="49"/>
    </row>
    <row r="69">
      <c r="A69" s="65" t="s">
        <v>230</v>
      </c>
      <c r="B69" s="81">
        <v>0.145</v>
      </c>
      <c r="C69" s="68">
        <f t="shared" si="67"/>
        <v>0.02068965517</v>
      </c>
      <c r="D69" s="81">
        <v>0.148</v>
      </c>
      <c r="E69" s="68">
        <f t="shared" si="68"/>
        <v>0</v>
      </c>
      <c r="F69" s="81">
        <v>0.148</v>
      </c>
      <c r="G69" s="68">
        <f t="shared" si="69"/>
        <v>0</v>
      </c>
      <c r="H69" s="81">
        <v>0.148</v>
      </c>
      <c r="I69" s="68">
        <f t="shared" si="70"/>
        <v>0</v>
      </c>
      <c r="J69" s="81">
        <v>0.148</v>
      </c>
      <c r="K69" s="68">
        <f t="shared" si="71"/>
        <v>0</v>
      </c>
      <c r="L69" s="81">
        <v>0.148</v>
      </c>
      <c r="M69" s="68">
        <f t="shared" si="72"/>
        <v>-0.2162162162</v>
      </c>
      <c r="N69" s="81">
        <v>0.116</v>
      </c>
      <c r="O69" s="68">
        <f t="shared" si="73"/>
        <v>0.02586206897</v>
      </c>
      <c r="P69" s="81">
        <v>0.119</v>
      </c>
      <c r="Q69" s="68">
        <f t="shared" si="74"/>
        <v>-0.02521008403</v>
      </c>
      <c r="R69" s="81">
        <v>0.116</v>
      </c>
      <c r="S69" s="68">
        <f t="shared" si="75"/>
        <v>0</v>
      </c>
      <c r="T69" s="81">
        <v>0.116</v>
      </c>
      <c r="U69" s="68">
        <f t="shared" si="76"/>
        <v>0</v>
      </c>
      <c r="V69" s="81">
        <v>0.116</v>
      </c>
      <c r="W69" s="68">
        <f t="shared" si="77"/>
        <v>0</v>
      </c>
      <c r="X69" s="81">
        <v>0.116</v>
      </c>
      <c r="Y69" s="49"/>
    </row>
    <row r="70">
      <c r="A70" s="65" t="s">
        <v>231</v>
      </c>
      <c r="B70" s="81">
        <v>0.143</v>
      </c>
      <c r="C70" s="68">
        <f t="shared" si="67"/>
        <v>0.02097902098</v>
      </c>
      <c r="D70" s="81">
        <v>0.146</v>
      </c>
      <c r="E70" s="68">
        <f t="shared" si="68"/>
        <v>0.006849315068</v>
      </c>
      <c r="F70" s="81">
        <v>0.147</v>
      </c>
      <c r="G70" s="68">
        <f t="shared" si="69"/>
        <v>0</v>
      </c>
      <c r="H70" s="81">
        <v>0.147</v>
      </c>
      <c r="I70" s="68">
        <f t="shared" si="70"/>
        <v>-0.006802721088</v>
      </c>
      <c r="J70" s="81">
        <v>0.146</v>
      </c>
      <c r="K70" s="68">
        <f t="shared" si="71"/>
        <v>0</v>
      </c>
      <c r="L70" s="81">
        <v>0.146</v>
      </c>
      <c r="M70" s="68">
        <f t="shared" si="72"/>
        <v>-0.2123287671</v>
      </c>
      <c r="N70" s="81">
        <v>0.115</v>
      </c>
      <c r="O70" s="68">
        <f t="shared" si="73"/>
        <v>0.01739130435</v>
      </c>
      <c r="P70" s="81">
        <v>0.117</v>
      </c>
      <c r="Q70" s="68">
        <f t="shared" si="74"/>
        <v>-0.01709401709</v>
      </c>
      <c r="R70" s="81">
        <v>0.115</v>
      </c>
      <c r="S70" s="68">
        <f t="shared" si="75"/>
        <v>0</v>
      </c>
      <c r="T70" s="81">
        <v>0.115</v>
      </c>
      <c r="U70" s="68">
        <f t="shared" si="76"/>
        <v>0</v>
      </c>
      <c r="V70" s="81">
        <v>0.115</v>
      </c>
      <c r="W70" s="68">
        <f t="shared" si="77"/>
        <v>0</v>
      </c>
      <c r="X70" s="81">
        <v>0.115</v>
      </c>
      <c r="Y70" s="15"/>
    </row>
    <row r="71">
      <c r="A71" s="25" t="s">
        <v>232</v>
      </c>
      <c r="B71" s="81">
        <v>0.051</v>
      </c>
      <c r="C71" s="68">
        <f t="shared" si="67"/>
        <v>0</v>
      </c>
      <c r="D71" s="81">
        <v>0.051</v>
      </c>
      <c r="E71" s="68">
        <f t="shared" si="68"/>
        <v>-1</v>
      </c>
      <c r="F71" s="63">
        <v>0.0</v>
      </c>
      <c r="G71" s="68">
        <f t="shared" si="69"/>
        <v>0</v>
      </c>
      <c r="H71" s="63">
        <v>0.0</v>
      </c>
      <c r="I71" s="68">
        <f t="shared" si="70"/>
        <v>0</v>
      </c>
      <c r="J71" s="63">
        <v>0.0</v>
      </c>
      <c r="K71" s="68">
        <f t="shared" si="71"/>
        <v>0</v>
      </c>
      <c r="L71" s="63">
        <v>0.0</v>
      </c>
      <c r="M71" s="68">
        <f t="shared" si="72"/>
        <v>0</v>
      </c>
      <c r="N71" s="63">
        <v>0.0</v>
      </c>
      <c r="O71" s="68">
        <f t="shared" si="73"/>
        <v>0</v>
      </c>
      <c r="P71" s="63">
        <v>0.0</v>
      </c>
      <c r="Q71" s="68">
        <f t="shared" si="74"/>
        <v>0</v>
      </c>
      <c r="R71" s="63">
        <v>0.0</v>
      </c>
      <c r="S71" s="68">
        <f t="shared" si="75"/>
        <v>0</v>
      </c>
      <c r="T71" s="63">
        <v>0.0</v>
      </c>
      <c r="U71" s="68">
        <f t="shared" si="76"/>
        <v>0</v>
      </c>
      <c r="V71" s="63">
        <v>0.0</v>
      </c>
      <c r="W71" s="68">
        <f t="shared" si="77"/>
        <v>0</v>
      </c>
      <c r="X71" s="63">
        <v>0.0</v>
      </c>
    </row>
    <row r="72">
      <c r="A72" s="65" t="s">
        <v>233</v>
      </c>
      <c r="B72" s="81">
        <v>0.046</v>
      </c>
      <c r="C72" s="68">
        <f t="shared" si="67"/>
        <v>0.6956521739</v>
      </c>
      <c r="D72" s="81">
        <v>0.078</v>
      </c>
      <c r="E72" s="68">
        <f t="shared" si="68"/>
        <v>0</v>
      </c>
      <c r="F72" s="81">
        <v>0.078</v>
      </c>
      <c r="G72" s="68">
        <f t="shared" si="69"/>
        <v>0</v>
      </c>
      <c r="H72" s="81">
        <v>0.078</v>
      </c>
      <c r="I72" s="68">
        <f t="shared" si="70"/>
        <v>0</v>
      </c>
      <c r="J72" s="81">
        <v>0.078</v>
      </c>
      <c r="K72" s="68">
        <f t="shared" si="71"/>
        <v>0</v>
      </c>
      <c r="L72" s="81">
        <v>0.078</v>
      </c>
      <c r="M72" s="68">
        <f t="shared" si="72"/>
        <v>-0.2179487179</v>
      </c>
      <c r="N72" s="81">
        <v>0.061</v>
      </c>
      <c r="O72" s="68">
        <f t="shared" si="73"/>
        <v>0.01639344262</v>
      </c>
      <c r="P72" s="81">
        <v>0.062</v>
      </c>
      <c r="Q72" s="68">
        <f t="shared" si="74"/>
        <v>-0.01612903226</v>
      </c>
      <c r="R72" s="81">
        <v>0.061</v>
      </c>
      <c r="S72" s="68">
        <f t="shared" si="75"/>
        <v>0</v>
      </c>
      <c r="T72" s="81">
        <v>0.061</v>
      </c>
      <c r="U72" s="68">
        <f t="shared" si="76"/>
        <v>0</v>
      </c>
      <c r="V72" s="81">
        <v>0.061</v>
      </c>
      <c r="W72" s="68">
        <f t="shared" si="77"/>
        <v>0</v>
      </c>
      <c r="X72" s="81">
        <v>0.061</v>
      </c>
    </row>
    <row r="73">
      <c r="A73" s="65" t="s">
        <v>234</v>
      </c>
      <c r="B73" s="81">
        <v>0.041</v>
      </c>
      <c r="C73" s="68">
        <f t="shared" si="67"/>
        <v>0.0243902439</v>
      </c>
      <c r="D73" s="81">
        <v>0.042</v>
      </c>
      <c r="E73" s="68">
        <f t="shared" si="68"/>
        <v>0</v>
      </c>
      <c r="F73" s="81">
        <v>0.042</v>
      </c>
      <c r="G73" s="68">
        <f t="shared" si="69"/>
        <v>0</v>
      </c>
      <c r="H73" s="81">
        <v>0.042</v>
      </c>
      <c r="I73" s="68">
        <f t="shared" si="70"/>
        <v>0</v>
      </c>
      <c r="J73" s="81">
        <v>0.042</v>
      </c>
      <c r="K73" s="68">
        <f t="shared" si="71"/>
        <v>0</v>
      </c>
      <c r="L73" s="81">
        <v>0.042</v>
      </c>
      <c r="M73" s="68">
        <f t="shared" si="72"/>
        <v>-0.2142857143</v>
      </c>
      <c r="N73" s="81">
        <v>0.033</v>
      </c>
      <c r="O73" s="68">
        <f t="shared" si="73"/>
        <v>-0.06060606061</v>
      </c>
      <c r="P73" s="81">
        <v>0.031</v>
      </c>
      <c r="Q73" s="68">
        <f t="shared" si="74"/>
        <v>0.06451612903</v>
      </c>
      <c r="R73" s="81">
        <v>0.033</v>
      </c>
      <c r="S73" s="68">
        <f t="shared" si="75"/>
        <v>0</v>
      </c>
      <c r="T73" s="81">
        <v>0.033</v>
      </c>
      <c r="U73" s="68">
        <f t="shared" si="76"/>
        <v>0</v>
      </c>
      <c r="V73" s="81">
        <v>0.033</v>
      </c>
      <c r="W73" s="68">
        <f t="shared" si="77"/>
        <v>0</v>
      </c>
      <c r="X73" s="81">
        <v>0.033</v>
      </c>
    </row>
    <row r="74">
      <c r="A74" s="65" t="s">
        <v>235</v>
      </c>
      <c r="B74" s="81">
        <v>0.025</v>
      </c>
      <c r="C74" s="68">
        <f t="shared" si="67"/>
        <v>0</v>
      </c>
      <c r="D74" s="81">
        <v>0.025</v>
      </c>
      <c r="E74" s="68">
        <f t="shared" si="68"/>
        <v>0</v>
      </c>
      <c r="F74" s="81">
        <v>0.025</v>
      </c>
      <c r="G74" s="68">
        <f t="shared" si="69"/>
        <v>0</v>
      </c>
      <c r="H74" s="81">
        <v>0.025</v>
      </c>
      <c r="I74" s="68">
        <f t="shared" si="70"/>
        <v>0</v>
      </c>
      <c r="J74" s="81">
        <v>0.025</v>
      </c>
      <c r="K74" s="68">
        <f t="shared" si="71"/>
        <v>0</v>
      </c>
      <c r="L74" s="81">
        <v>0.025</v>
      </c>
      <c r="M74" s="68">
        <f t="shared" si="72"/>
        <v>-0.2</v>
      </c>
      <c r="N74" s="81">
        <v>0.02</v>
      </c>
      <c r="O74" s="68">
        <f t="shared" si="73"/>
        <v>0</v>
      </c>
      <c r="P74" s="81">
        <v>0.02</v>
      </c>
      <c r="Q74" s="68">
        <f t="shared" si="74"/>
        <v>0</v>
      </c>
      <c r="R74" s="81">
        <v>0.02</v>
      </c>
      <c r="S74" s="68">
        <f t="shared" si="75"/>
        <v>0</v>
      </c>
      <c r="T74" s="81">
        <v>0.02</v>
      </c>
      <c r="U74" s="68">
        <f t="shared" si="76"/>
        <v>0</v>
      </c>
      <c r="V74" s="81">
        <v>0.02</v>
      </c>
      <c r="W74" s="68">
        <f t="shared" si="77"/>
        <v>0</v>
      </c>
      <c r="X74" s="81">
        <v>0.02</v>
      </c>
    </row>
    <row r="75">
      <c r="A75" s="65" t="s">
        <v>236</v>
      </c>
      <c r="B75" s="81">
        <v>0.0</v>
      </c>
      <c r="C75" s="68">
        <f t="shared" si="67"/>
        <v>0</v>
      </c>
      <c r="D75" s="81">
        <v>0.0</v>
      </c>
      <c r="E75" s="68">
        <f t="shared" si="68"/>
        <v>0</v>
      </c>
      <c r="F75" s="81">
        <v>0.0</v>
      </c>
      <c r="G75" s="68">
        <f t="shared" si="69"/>
        <v>0</v>
      </c>
      <c r="H75" s="81">
        <v>0.0</v>
      </c>
      <c r="I75" s="68">
        <f t="shared" si="70"/>
        <v>0</v>
      </c>
      <c r="J75" s="81">
        <v>0.0</v>
      </c>
      <c r="K75" s="68">
        <f t="shared" si="71"/>
        <v>0</v>
      </c>
      <c r="L75" s="81">
        <v>0.0</v>
      </c>
      <c r="M75" s="68">
        <f t="shared" si="72"/>
        <v>0</v>
      </c>
      <c r="N75" s="81">
        <v>0.087</v>
      </c>
      <c r="O75" s="68">
        <f t="shared" si="73"/>
        <v>0.03448275862</v>
      </c>
      <c r="P75" s="81">
        <v>0.09</v>
      </c>
      <c r="Q75" s="68">
        <f t="shared" si="74"/>
        <v>-0.03333333333</v>
      </c>
      <c r="R75" s="81">
        <v>0.087</v>
      </c>
      <c r="S75" s="68">
        <f t="shared" si="75"/>
        <v>0</v>
      </c>
      <c r="T75" s="81">
        <v>0.087</v>
      </c>
      <c r="U75" s="68">
        <f t="shared" si="76"/>
        <v>0</v>
      </c>
      <c r="V75" s="81">
        <v>0.087</v>
      </c>
      <c r="W75" s="68">
        <f t="shared" si="77"/>
        <v>0</v>
      </c>
      <c r="X75" s="81">
        <v>0.087</v>
      </c>
    </row>
    <row r="76">
      <c r="A76" s="172" t="s">
        <v>237</v>
      </c>
      <c r="B76" s="173">
        <f>SUM(B67:B75)</f>
        <v>1</v>
      </c>
      <c r="C76" s="174"/>
      <c r="D76" s="173">
        <f>SUM(D67:D75)</f>
        <v>1.051</v>
      </c>
      <c r="E76" s="174"/>
      <c r="F76" s="173">
        <f>SUM(F67:F75)</f>
        <v>1</v>
      </c>
      <c r="G76" s="174"/>
      <c r="H76" s="173">
        <f>SUM(H67:H75)</f>
        <v>1</v>
      </c>
      <c r="I76" s="174"/>
      <c r="J76" s="173">
        <f>SUM(J67:J75)</f>
        <v>1</v>
      </c>
      <c r="K76" s="174"/>
      <c r="L76" s="173">
        <f>SUM(L67:L75)</f>
        <v>0.999</v>
      </c>
      <c r="M76" s="174"/>
      <c r="N76" s="173">
        <f>SUM(N67:N75)</f>
        <v>0.965</v>
      </c>
      <c r="O76" s="174"/>
      <c r="P76" s="173">
        <f>SUM(P67:P75)</f>
        <v>0.963</v>
      </c>
      <c r="Q76" s="174"/>
      <c r="R76" s="173">
        <f>SUM(R67:R75)</f>
        <v>0.965</v>
      </c>
      <c r="S76" s="174"/>
      <c r="T76" s="173">
        <f>SUM(T67:T75)</f>
        <v>0.965</v>
      </c>
      <c r="U76" s="174"/>
      <c r="V76" s="173">
        <f>SUM(V67:V75)</f>
        <v>0.965</v>
      </c>
      <c r="W76" s="174"/>
      <c r="X76" s="173">
        <f>SUM(X67:X75)</f>
        <v>0.965</v>
      </c>
    </row>
    <row r="77">
      <c r="A77" s="4" t="s">
        <v>113</v>
      </c>
      <c r="B77" s="75">
        <v>105.24</v>
      </c>
      <c r="C77" s="13">
        <f t="shared" ref="C77:C79" si="78">IFERROR(SUM((D77/B77)-1),0)</f>
        <v>0.01045229951</v>
      </c>
      <c r="D77" s="75">
        <v>106.34</v>
      </c>
      <c r="E77" s="13">
        <f t="shared" ref="E77:E79" si="79">IFERROR(SUM((F77/D77)-1),0)</f>
        <v>0.02444987775</v>
      </c>
      <c r="F77" s="75">
        <v>108.94</v>
      </c>
      <c r="G77" s="13">
        <f t="shared" ref="G77:G79" si="80">IFERROR(SUM((H77/F77)-1),0)</f>
        <v>-0.005415825225</v>
      </c>
      <c r="H77" s="75">
        <v>108.35</v>
      </c>
      <c r="I77" s="13">
        <f t="shared" ref="I77:I79" si="81">IFERROR(SUM((J77/H77)-1),0)</f>
        <v>0.01993539455</v>
      </c>
      <c r="J77" s="75">
        <v>110.51</v>
      </c>
      <c r="K77" s="13">
        <f t="shared" ref="K77:K79" si="82">IFERROR(SUM((L77/J77)-1),0)</f>
        <v>-0.02859469731</v>
      </c>
      <c r="L77" s="75">
        <v>107.35</v>
      </c>
      <c r="M77" s="13">
        <f t="shared" ref="M77:M79" si="83">IFERROR(SUM((N77/L77)-1),0)</f>
        <v>-0.01127154169</v>
      </c>
      <c r="N77" s="75">
        <v>106.14</v>
      </c>
      <c r="O77" s="13">
        <f t="shared" ref="O77:O79" si="84">IFERROR(SUM((P77/N77)-1),0)</f>
        <v>-0.03806293575</v>
      </c>
      <c r="P77" s="75">
        <v>102.1</v>
      </c>
      <c r="Q77" s="13">
        <f t="shared" ref="Q77:Q79" si="85">IFERROR(SUM((R77/P77)-1),0)</f>
        <v>0.03956904995</v>
      </c>
      <c r="R77" s="75">
        <v>106.14</v>
      </c>
      <c r="S77" s="13">
        <f t="shared" ref="S77:S79" si="86">IFERROR(SUM((T77/R77)-1),0)</f>
        <v>0</v>
      </c>
      <c r="T77" s="75">
        <v>106.14</v>
      </c>
      <c r="U77" s="13">
        <f t="shared" ref="U77:U79" si="87">IFERROR(SUM((V77/T77)-1),0)</f>
        <v>0</v>
      </c>
      <c r="V77" s="75">
        <v>106.14</v>
      </c>
      <c r="W77" s="13">
        <f t="shared" ref="W77:W79" si="88">IFERROR(SUM((X77/V77)-1),0)</f>
        <v>0</v>
      </c>
      <c r="X77" s="75">
        <v>106.14</v>
      </c>
    </row>
    <row r="78">
      <c r="A78" s="4" t="s">
        <v>116</v>
      </c>
      <c r="B78" s="75">
        <v>117.32</v>
      </c>
      <c r="C78" s="13">
        <f t="shared" si="78"/>
        <v>0.007586089328</v>
      </c>
      <c r="D78" s="75">
        <v>118.21</v>
      </c>
      <c r="E78" s="13">
        <f t="shared" si="79"/>
        <v>-0.004483546231</v>
      </c>
      <c r="F78" s="75">
        <v>117.68</v>
      </c>
      <c r="G78" s="13">
        <f t="shared" si="80"/>
        <v>-0.0038239293</v>
      </c>
      <c r="H78" s="75">
        <v>117.23</v>
      </c>
      <c r="I78" s="13">
        <f t="shared" si="81"/>
        <v>-0.001876652734</v>
      </c>
      <c r="J78" s="75">
        <v>117.01</v>
      </c>
      <c r="K78" s="13">
        <f t="shared" si="82"/>
        <v>-0.002905734553</v>
      </c>
      <c r="L78" s="75">
        <v>116.67</v>
      </c>
      <c r="M78" s="13">
        <f t="shared" si="83"/>
        <v>0.01225679266</v>
      </c>
      <c r="N78" s="75">
        <v>118.1</v>
      </c>
      <c r="O78" s="13">
        <f t="shared" si="84"/>
        <v>0.007451312447</v>
      </c>
      <c r="P78" s="75">
        <v>118.98</v>
      </c>
      <c r="Q78" s="13">
        <f t="shared" si="85"/>
        <v>-0.007396201042</v>
      </c>
      <c r="R78" s="75">
        <v>118.1</v>
      </c>
      <c r="S78" s="13">
        <f t="shared" si="86"/>
        <v>0</v>
      </c>
      <c r="T78" s="75">
        <v>118.1</v>
      </c>
      <c r="U78" s="13">
        <f t="shared" si="87"/>
        <v>0</v>
      </c>
      <c r="V78" s="75">
        <v>118.1</v>
      </c>
      <c r="W78" s="13">
        <f t="shared" si="88"/>
        <v>0</v>
      </c>
      <c r="X78" s="75">
        <v>118.1</v>
      </c>
    </row>
    <row r="79">
      <c r="A79" s="4" t="s">
        <v>119</v>
      </c>
      <c r="B79" s="24">
        <f>B77/B78</f>
        <v>0.8970337538</v>
      </c>
      <c r="C79" s="13">
        <f t="shared" si="78"/>
        <v>0.002844630556</v>
      </c>
      <c r="D79" s="24">
        <f>D77/D78</f>
        <v>0.8995854835</v>
      </c>
      <c r="E79" s="13">
        <f t="shared" si="79"/>
        <v>0.02906373257</v>
      </c>
      <c r="F79" s="24">
        <f>F77/F78</f>
        <v>0.9257307954</v>
      </c>
      <c r="G79" s="13">
        <f t="shared" si="80"/>
        <v>-0.001598006589</v>
      </c>
      <c r="H79" s="24">
        <f>H77/H78</f>
        <v>0.9242514715</v>
      </c>
      <c r="I79" s="13">
        <f t="shared" si="81"/>
        <v>0.02185305789</v>
      </c>
      <c r="J79" s="24">
        <f>J77/J78</f>
        <v>0.9444491924</v>
      </c>
      <c r="K79" s="13">
        <f t="shared" si="82"/>
        <v>-0.0257638256</v>
      </c>
      <c r="L79" s="24">
        <f>L77/L78</f>
        <v>0.9201165681</v>
      </c>
      <c r="M79" s="13">
        <f t="shared" si="83"/>
        <v>-0.02324344427</v>
      </c>
      <c r="N79" s="24">
        <f>N77/N78</f>
        <v>0.8987298899</v>
      </c>
      <c r="O79" s="13">
        <f t="shared" si="84"/>
        <v>-0.04517761566</v>
      </c>
      <c r="P79" s="24">
        <f>P77/P78</f>
        <v>0.8581274164</v>
      </c>
      <c r="Q79" s="13">
        <f t="shared" si="85"/>
        <v>0.04731520375</v>
      </c>
      <c r="R79" s="24">
        <f>R77/R78</f>
        <v>0.8987298899</v>
      </c>
      <c r="S79" s="13">
        <f t="shared" si="86"/>
        <v>0</v>
      </c>
      <c r="T79" s="24">
        <f>T77/T78</f>
        <v>0.8987298899</v>
      </c>
      <c r="U79" s="13">
        <f t="shared" si="87"/>
        <v>0</v>
      </c>
      <c r="V79" s="24">
        <f>V77/V78</f>
        <v>0.8987298899</v>
      </c>
      <c r="W79" s="13">
        <f t="shared" si="88"/>
        <v>0</v>
      </c>
      <c r="X79" s="24">
        <f>X77/X78</f>
        <v>0.8987298899</v>
      </c>
    </row>
    <row r="80">
      <c r="A80" s="4" t="s">
        <v>121</v>
      </c>
      <c r="B80" s="4" t="s">
        <v>240</v>
      </c>
    </row>
    <row r="81">
      <c r="A81" s="5" t="s">
        <v>123</v>
      </c>
      <c r="B81" s="64">
        <v>0.005</v>
      </c>
      <c r="D81" s="6"/>
      <c r="E81" s="6"/>
      <c r="F81" s="6"/>
      <c r="G81" s="6"/>
    </row>
    <row r="82">
      <c r="A82" s="4" t="s">
        <v>125</v>
      </c>
      <c r="B82" s="64">
        <v>0.0</v>
      </c>
      <c r="D82" s="6"/>
      <c r="E82" s="6"/>
      <c r="F82" s="6"/>
      <c r="G82" s="6"/>
    </row>
    <row r="83" ht="22.5" customHeight="1">
      <c r="A83" s="4" t="s">
        <v>126</v>
      </c>
      <c r="B83" s="83">
        <f>SUM(B25,D25,F25,H25,J25,L25,N25,P25,R25,T25,V25,X25)</f>
        <v>160765078</v>
      </c>
      <c r="D83" s="86" t="s">
        <v>128</v>
      </c>
      <c r="E83" s="86" t="s">
        <v>113</v>
      </c>
      <c r="F83" s="86" t="s">
        <v>116</v>
      </c>
      <c r="G83" s="86" t="s">
        <v>119</v>
      </c>
      <c r="H83" s="86" t="s">
        <v>129</v>
      </c>
      <c r="I83" s="92" t="s">
        <v>131</v>
      </c>
      <c r="J83" s="87" t="s">
        <v>132</v>
      </c>
      <c r="K83" s="87" t="s">
        <v>133</v>
      </c>
      <c r="L83" s="87" t="s">
        <v>134</v>
      </c>
    </row>
    <row r="84" ht="22.5" customHeight="1">
      <c r="A84" s="4" t="s">
        <v>135</v>
      </c>
      <c r="B84" s="83">
        <f>SUM(B51,D51,F51,H51,J51,L51,N51,P51,R51,T51,V51,X51)</f>
        <v>8572122</v>
      </c>
      <c r="D84" s="118" t="s">
        <v>240</v>
      </c>
      <c r="E84" s="131">
        <f t="array" ref="E84">IFERROR(INDEX(FCD[], MATCH(D84, FCD[FIIs], 0), MATCH(FCD[[#HEADERS],[V/Mercado]], FCD[#HEADERS], 0)),"")</f>
        <v>102.66</v>
      </c>
      <c r="F84" s="131">
        <f t="array" ref="F84">IFERROR(INDEX(Indicador_Fii[], MATCH(D84, Indicador_Fii[Fii], 0), MATCH(Indicador_Fii[[#HEADERS],[VP/Cota]], Indicador_Fii[#HEADERS], 0)),"")</f>
        <v>116.67</v>
      </c>
      <c r="G84" s="108">
        <f t="shared" ref="G84:G85" si="89">E84/F84</f>
        <v>0.8799177166</v>
      </c>
      <c r="H84" s="94">
        <f t="shared" ref="H84:H85" si="90">I84/F84</f>
        <v>0.8870707122</v>
      </c>
      <c r="I84" s="101">
        <f t="array" ref="I84">IFERROR(INDEX(FCD[], MATCH(D84, FCD[FIIs], 0), MATCH(FCD[[#HEADERS],[Preço_Justo]], FCD[#HEADERS], 0)),"")</f>
        <v>103.49454</v>
      </c>
      <c r="J84" s="98">
        <f t="array" ref="J84">IFERROR(INDEX(Indicador_Fii[], MATCH(D84, Indicador_Fii[Fii], 0), MATCH(Indicador_Fii[[#HEADERS],[FFO_Yield]], Indicador_Fii[#HEADERS], 0)),"")</f>
        <v>10.21</v>
      </c>
      <c r="K84" s="98">
        <f t="array" ref="K84">IFERROR(INDEX(Indicador_Fii[], MATCH(D84, Indicador_Fii[Fii], 0), MATCH(Indicador_Fii[[#HEADERS],[DIV_Yield]], Indicador_Fii[#HEADERS], 0)),"")</f>
        <v>9</v>
      </c>
      <c r="L84" s="100">
        <f>IFERROR(__xludf.DUMMYFUNCTION("GOOGLEFINANCE(D84, ""volumeavg"")"),37077.0)</f>
        <v>37077</v>
      </c>
    </row>
    <row r="85" ht="22.5" customHeight="1">
      <c r="A85" s="4" t="s">
        <v>144</v>
      </c>
      <c r="B85" s="13">
        <f>B84/B83</f>
        <v>0.05332079645</v>
      </c>
      <c r="D85" s="175" t="s">
        <v>246</v>
      </c>
      <c r="E85" s="131">
        <f t="array" ref="E85">IFERROR(INDEX(FCD[], MATCH(D85, FCD[FIIs], 0), MATCH(FCD[[#HEADERS],[V/Mercado]], FCD[#HEADERS], 0)),"")</f>
        <v>18.68</v>
      </c>
      <c r="F85" s="133">
        <f t="array" ref="F85">IFERROR(INDEX(Indicador_Fii[], MATCH(D85, Indicador_Fii[Fii], 0), MATCH(Indicador_Fii[[#HEADERS],[VP/Cota]], Indicador_Fii[#HEADERS], 0)),"")</f>
        <v>20.38</v>
      </c>
      <c r="G85" s="115">
        <f t="shared" si="89"/>
        <v>0.9165848871</v>
      </c>
      <c r="H85" s="94">
        <f t="shared" si="90"/>
        <v>0.9467618312</v>
      </c>
      <c r="I85" s="101">
        <f t="array" ref="I85">IFERROR(INDEX(FCD[], MATCH(D85, FCD[FIIs], 0), MATCH(FCD[[#HEADERS],[Preço_Justo]], FCD[#HEADERS], 0)),"")</f>
        <v>19.29500612</v>
      </c>
      <c r="J85" s="98">
        <f t="array" ref="J85">IFERROR(INDEX(Indicador_Fii[], MATCH(D85, Indicador_Fii[Fii], 0), MATCH(Indicador_Fii[[#HEADERS],[FFO_Yield]], Indicador_Fii[#HEADERS], 0)),"")</f>
        <v>8.17</v>
      </c>
      <c r="K85" s="98">
        <f t="array" ref="K85">IFERROR(INDEX(Indicador_Fii[], MATCH(D85, Indicador_Fii[Fii], 0), MATCH(Indicador_Fii[[#HEADERS],[DIV_Yield]], Indicador_Fii[#HEADERS], 0)),"")</f>
        <v>8.4</v>
      </c>
      <c r="L85" s="100">
        <f>IFERROR(__xludf.DUMMYFUNCTION("GOOGLEFINANCE(D85, ""volumeavg"")"),249872.0)</f>
        <v>249872</v>
      </c>
    </row>
    <row r="86">
      <c r="A86" s="4" t="s">
        <v>146</v>
      </c>
      <c r="B86" s="83">
        <f>IFERROR(__xludf.DUMMYFUNCTION("GOOGLEFINANCE(B80)*B88"),1.4354016673799999E9)</f>
        <v>1435401667</v>
      </c>
      <c r="D86" s="6"/>
      <c r="E86" s="6"/>
      <c r="F86" s="6"/>
      <c r="G86" s="6"/>
    </row>
    <row r="87">
      <c r="A87" s="4" t="s">
        <v>147</v>
      </c>
      <c r="B87" s="13">
        <f>B84/B86</f>
        <v>0.005971932592</v>
      </c>
    </row>
    <row r="88">
      <c r="A88" s="4" t="s">
        <v>149</v>
      </c>
      <c r="B88" s="22">
        <f t="array" ref="B88">IFERROR(INDEX(Indicador_Fii[], MATCH(B80, Indicador_Fii[Fii], 0), MATCH(Indicador_Fii[[#HEADERS],[Qtd_Cotas]], Indicador_Fii[#HEADERS], 0)),"")</f>
        <v>13982093</v>
      </c>
    </row>
    <row r="89">
      <c r="A89" s="4" t="s">
        <v>150</v>
      </c>
      <c r="B89" s="24">
        <f t="array" ref="B89">IFERROR(INDEX(Indicador_Fii[], MATCH(B80, Indicador_Fii[Fii], 0), MATCH(Indicador_Fii[[#HEADERS],[Patrimonio_Liq]], Indicador_Fii[#HEADERS], 0)),"")</f>
        <v>1631270000</v>
      </c>
    </row>
    <row r="90">
      <c r="A90" s="4" t="s">
        <v>151</v>
      </c>
      <c r="B90" s="40">
        <f>B83/B89</f>
        <v>0.09855209622</v>
      </c>
    </row>
    <row r="91">
      <c r="A91" s="4" t="s">
        <v>63</v>
      </c>
      <c r="B91" s="24">
        <f>SUM(B31,D31,F31,H31,J31,L31,N31,P31,R31,T31,V31,X31)</f>
        <v>165827623</v>
      </c>
    </row>
    <row r="92">
      <c r="A92" s="4" t="s">
        <v>152</v>
      </c>
      <c r="B92" s="40">
        <f>B91/B83</f>
        <v>1.031490328</v>
      </c>
    </row>
    <row r="93">
      <c r="A93" s="4" t="s">
        <v>153</v>
      </c>
      <c r="B93" s="4" t="s">
        <v>154</v>
      </c>
    </row>
    <row r="94">
      <c r="A94" s="4" t="s">
        <v>155</v>
      </c>
      <c r="B94" s="4" t="s">
        <v>3</v>
      </c>
    </row>
    <row r="95">
      <c r="A95" s="4" t="s">
        <v>156</v>
      </c>
      <c r="B95" s="4" t="s">
        <v>3</v>
      </c>
    </row>
    <row r="96">
      <c r="B96" s="124"/>
    </row>
  </sheetData>
  <mergeCells count="1">
    <mergeCell ref="B96:G101"/>
  </mergeCells>
  <dataValidations>
    <dataValidation type="list" allowBlank="1" showErrorMessage="1" sqref="B1 D1 F1 H1 J1 L1 N1 P1 R1 T1 V1 X1 B37 D37 F37 H37 J37 L37 N37 P37 R37 T37 V37 X37 B60 D60 F60 H60 J60 L60 N60 P60 R60 T60 V60 X60">
      <formula1>"Feito,Não,Atual"</formula1>
    </dataValidation>
    <dataValidation type="list" allowBlank="1" showErrorMessage="1" sqref="B93">
      <formula1>"Bom,Normal,Cuidado_Ver_DRE"</formula1>
    </dataValidation>
    <dataValidation type="list" allowBlank="1" showErrorMessage="1" sqref="B94:B95">
      <formula1>"Feito,Não"</formula1>
    </dataValidation>
    <dataValidation type="custom" allowBlank="1" showDropDown="1" sqref="E84:G85 L84:L85">
      <formula1>AND(ISNUMBER(E84),(NOT(OR(NOT(ISERROR(DATEVALUE(E84))), AND(ISNUMBER(E84), LEFT(CELL("format", E84))="D")))))</formula1>
    </dataValidation>
  </dataValidations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63"/>
    <col customWidth="1" min="2" max="2" width="18.63"/>
    <col customWidth="1" min="3" max="3" width="15.25"/>
    <col customWidth="1" min="4" max="4" width="17.38"/>
    <col customWidth="1" min="5" max="5" width="16.25"/>
    <col customWidth="1" min="6" max="6" width="17.63"/>
    <col customWidth="1" min="7" max="7" width="17.75"/>
    <col customWidth="1" min="8" max="8" width="17.88"/>
    <col customWidth="1" min="9" max="9" width="16.13"/>
    <col customWidth="1" min="10" max="10" width="15.75"/>
    <col customWidth="1" min="11" max="12" width="16.0"/>
    <col customWidth="1" min="13" max="13" width="16.5"/>
    <col customWidth="1" min="14" max="14" width="16.0"/>
    <col customWidth="1" min="15" max="15" width="15.38"/>
    <col customWidth="1" min="16" max="16" width="18.13"/>
    <col customWidth="1" min="17" max="17" width="15.63"/>
    <col customWidth="1" min="18" max="18" width="17.25"/>
    <col customWidth="1" min="19" max="19" width="15.5"/>
    <col customWidth="1" min="20" max="20" width="18.63"/>
    <col customWidth="1" min="21" max="21" width="15.13"/>
    <col customWidth="1" min="22" max="22" width="16.38"/>
    <col customWidth="1" min="23" max="23" width="15.38"/>
    <col customWidth="1" min="24" max="24" width="17.63"/>
    <col customWidth="1" min="25" max="25" width="15.63"/>
  </cols>
  <sheetData>
    <row r="1">
      <c r="A1" s="1" t="s">
        <v>0</v>
      </c>
      <c r="B1" s="2" t="s">
        <v>1</v>
      </c>
      <c r="C1" s="3">
        <v>46041.0</v>
      </c>
      <c r="D1" s="2" t="s">
        <v>1</v>
      </c>
      <c r="E1" s="3">
        <v>46077.0</v>
      </c>
      <c r="F1" s="2" t="s">
        <v>1</v>
      </c>
      <c r="G1" s="3">
        <v>46099.0</v>
      </c>
      <c r="H1" s="2" t="s">
        <v>1</v>
      </c>
      <c r="I1" s="3">
        <v>46122.0</v>
      </c>
      <c r="J1" s="2" t="s">
        <v>1</v>
      </c>
      <c r="K1" s="3">
        <v>46157.0</v>
      </c>
      <c r="L1" s="2" t="s">
        <v>1</v>
      </c>
      <c r="M1" s="3">
        <v>46185.0</v>
      </c>
      <c r="N1" s="2" t="s">
        <v>1</v>
      </c>
      <c r="O1" s="3">
        <v>46218.0</v>
      </c>
      <c r="P1" s="2" t="s">
        <v>2</v>
      </c>
      <c r="Q1" s="3">
        <v>46195.0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4" t="s">
        <v>4</v>
      </c>
      <c r="B2" s="4" t="s">
        <v>5</v>
      </c>
      <c r="D2" s="5" t="s">
        <v>6</v>
      </c>
      <c r="E2" s="6"/>
      <c r="F2" s="5" t="s">
        <v>7</v>
      </c>
      <c r="G2" s="6"/>
      <c r="H2" s="5" t="s">
        <v>8</v>
      </c>
      <c r="I2" s="6"/>
      <c r="J2" s="5" t="s">
        <v>9</v>
      </c>
      <c r="K2" s="6"/>
      <c r="L2" s="5" t="s">
        <v>10</v>
      </c>
      <c r="M2" s="6"/>
      <c r="N2" s="5" t="s">
        <v>11</v>
      </c>
      <c r="O2" s="6"/>
      <c r="P2" s="4" t="s">
        <v>12</v>
      </c>
      <c r="R2" s="4" t="s">
        <v>13</v>
      </c>
      <c r="T2" s="4" t="s">
        <v>14</v>
      </c>
      <c r="V2" s="4" t="s">
        <v>15</v>
      </c>
      <c r="X2" s="4" t="s">
        <v>16</v>
      </c>
    </row>
    <row r="3">
      <c r="A3" s="7" t="s">
        <v>17</v>
      </c>
      <c r="B3" s="8">
        <f>SUM(B6,B9,B11,B13,B15)</f>
        <v>24140030</v>
      </c>
      <c r="C3" s="9">
        <f t="shared" ref="C3:C18" si="1">IFERROR(SUM((D3/B3)-1),0)</f>
        <v>0.06726300672</v>
      </c>
      <c r="D3" s="8">
        <f>SUM(D6,D9,D11,D13,D15)</f>
        <v>25763761</v>
      </c>
      <c r="E3" s="9">
        <f t="shared" ref="E3:E18" si="2">IFERROR(SUM((F3/D3)-1),0)</f>
        <v>0.1578265689</v>
      </c>
      <c r="F3" s="8">
        <f>SUM(F6,F9,F11,F13,F15)</f>
        <v>29829967</v>
      </c>
      <c r="G3" s="9">
        <f t="shared" ref="G3:G18" si="3">IFERROR(SUM((H3/F3)-1),0)</f>
        <v>-0.0945700007</v>
      </c>
      <c r="H3" s="8">
        <f>SUM(H6,H9,H11,H13,H15)</f>
        <v>27008947</v>
      </c>
      <c r="I3" s="9">
        <f t="shared" ref="I3:I18" si="4">IFERROR(SUM((J3/H3)-1),0)</f>
        <v>0.05499970065</v>
      </c>
      <c r="J3" s="8">
        <f>SUM(J6,J9,J11,J13,J15)</f>
        <v>28494431</v>
      </c>
      <c r="K3" s="9">
        <f t="shared" ref="K3:K18" si="5">IFERROR(SUM((L3/J3)-1),0)</f>
        <v>0.2297706173</v>
      </c>
      <c r="L3" s="8">
        <f>SUM(L6,L9,L11,L13,L15)</f>
        <v>35041614</v>
      </c>
      <c r="M3" s="9">
        <f t="shared" ref="M3:M18" si="6">IFERROR(SUM((N3/L3)-1),0)</f>
        <v>-0.234309955</v>
      </c>
      <c r="N3" s="8">
        <f>SUM(N6,N9,N11,N13,N15)</f>
        <v>26831015</v>
      </c>
      <c r="O3" s="9">
        <f t="shared" ref="O3:O18" si="7">IFERROR(SUM((P3/N3)-1),0)</f>
        <v>0.04698950077</v>
      </c>
      <c r="P3" s="8">
        <f>SUM(P6,P9,P11,P13,P15)</f>
        <v>28091791</v>
      </c>
      <c r="Q3" s="9">
        <f t="shared" ref="Q3:Q18" si="8">IFERROR(SUM((R3/P3)-1),0)</f>
        <v>-0.04488058451</v>
      </c>
      <c r="R3" s="8">
        <f>SUM(R6,R9,R11,R13,R15)</f>
        <v>26831015</v>
      </c>
      <c r="S3" s="9">
        <f t="shared" ref="S3:S18" si="9">IFERROR(SUM((T3/R3)-1),0)</f>
        <v>0</v>
      </c>
      <c r="T3" s="8">
        <f>SUM(T6,T9,T11,T13,T15)</f>
        <v>26831015</v>
      </c>
      <c r="U3" s="9">
        <f t="shared" ref="U3:U18" si="10">IFERROR(SUM((V3/T3)-1),0)</f>
        <v>0</v>
      </c>
      <c r="V3" s="8">
        <f>SUM(V6,V9,V11,V13,V15)</f>
        <v>26831015</v>
      </c>
      <c r="W3" s="9">
        <f t="shared" ref="W3:W18" si="11">IFERROR(SUM((X3/V3)-1),0)</f>
        <v>0</v>
      </c>
      <c r="X3" s="8">
        <f>SUM(X6,X9,X11,X13,X15)</f>
        <v>26831015</v>
      </c>
      <c r="Y3" s="10"/>
      <c r="Z3" s="10"/>
    </row>
    <row r="4">
      <c r="A4" s="1" t="s">
        <v>18</v>
      </c>
      <c r="B4" s="11">
        <v>0.046</v>
      </c>
      <c r="C4" s="12">
        <f t="shared" si="1"/>
        <v>0</v>
      </c>
      <c r="D4" s="11">
        <v>0.046</v>
      </c>
      <c r="E4" s="12">
        <f t="shared" si="2"/>
        <v>0.02173913043</v>
      </c>
      <c r="F4" s="11">
        <v>0.047</v>
      </c>
      <c r="G4" s="12">
        <f t="shared" si="3"/>
        <v>-0.02127659574</v>
      </c>
      <c r="H4" s="11">
        <v>0.046</v>
      </c>
      <c r="I4" s="12">
        <f t="shared" si="4"/>
        <v>0.02173913043</v>
      </c>
      <c r="J4" s="11">
        <v>0.047</v>
      </c>
      <c r="K4" s="12">
        <f t="shared" si="5"/>
        <v>0.02127659574</v>
      </c>
      <c r="L4" s="11">
        <v>0.048</v>
      </c>
      <c r="M4" s="12">
        <f t="shared" si="6"/>
        <v>-0.02083333333</v>
      </c>
      <c r="N4" s="11">
        <v>0.047</v>
      </c>
      <c r="O4" s="12">
        <f t="shared" si="7"/>
        <v>0.04255319149</v>
      </c>
      <c r="P4" s="11">
        <v>0.049</v>
      </c>
      <c r="Q4" s="12">
        <f t="shared" si="8"/>
        <v>-0.04081632653</v>
      </c>
      <c r="R4" s="11">
        <v>0.047</v>
      </c>
      <c r="S4" s="12">
        <f t="shared" si="9"/>
        <v>0</v>
      </c>
      <c r="T4" s="11">
        <v>0.047</v>
      </c>
      <c r="U4" s="12">
        <f t="shared" si="10"/>
        <v>0</v>
      </c>
      <c r="V4" s="11">
        <v>0.047</v>
      </c>
      <c r="W4" s="12">
        <f t="shared" si="11"/>
        <v>0</v>
      </c>
      <c r="X4" s="11">
        <v>0.047</v>
      </c>
      <c r="Y4" s="13"/>
    </row>
    <row r="5">
      <c r="A5" s="1" t="s">
        <v>19</v>
      </c>
      <c r="B5" s="14">
        <f>B6/(1-B4)</f>
        <v>19783175.05</v>
      </c>
      <c r="C5" s="12">
        <f t="shared" si="1"/>
        <v>0.2247473381</v>
      </c>
      <c r="D5" s="14">
        <f>D6/(1-D4)</f>
        <v>24229390.99</v>
      </c>
      <c r="E5" s="12">
        <f t="shared" si="2"/>
        <v>0.1022719812</v>
      </c>
      <c r="F5" s="14">
        <f>F6/(1-F4)</f>
        <v>26707378.8</v>
      </c>
      <c r="G5" s="12">
        <f t="shared" si="3"/>
        <v>-0.3391092212</v>
      </c>
      <c r="H5" s="14">
        <f>H6/(1-H4)</f>
        <v>17650660.38</v>
      </c>
      <c r="I5" s="12">
        <f t="shared" si="4"/>
        <v>0.08140688435</v>
      </c>
      <c r="J5" s="14">
        <f>J6/(1-J4)</f>
        <v>19087545.65</v>
      </c>
      <c r="K5" s="12">
        <f t="shared" si="5"/>
        <v>-0.06408582047</v>
      </c>
      <c r="L5" s="14">
        <f>L6/(1-L4)</f>
        <v>17864304.62</v>
      </c>
      <c r="M5" s="12">
        <f t="shared" si="6"/>
        <v>0.1690649284</v>
      </c>
      <c r="N5" s="14">
        <f>N6/(1-N4)</f>
        <v>20884532</v>
      </c>
      <c r="O5" s="12">
        <f t="shared" si="7"/>
        <v>-0.09275853773</v>
      </c>
      <c r="P5" s="14">
        <f>P6/(1-P4)</f>
        <v>18947313.35</v>
      </c>
      <c r="Q5" s="12">
        <f t="shared" si="8"/>
        <v>0.1022423926</v>
      </c>
      <c r="R5" s="14">
        <f>R6/(1-R4)</f>
        <v>20884532</v>
      </c>
      <c r="S5" s="12">
        <f t="shared" si="9"/>
        <v>0</v>
      </c>
      <c r="T5" s="14">
        <f>T6/(1-T4)</f>
        <v>20884532</v>
      </c>
      <c r="U5" s="12">
        <f t="shared" si="10"/>
        <v>0</v>
      </c>
      <c r="V5" s="14">
        <f>V6/(1-V4)</f>
        <v>20884532</v>
      </c>
      <c r="W5" s="12">
        <f t="shared" si="11"/>
        <v>0</v>
      </c>
      <c r="X5" s="14">
        <f>X6/(1-X4)</f>
        <v>20884532</v>
      </c>
      <c r="Y5" s="13"/>
    </row>
    <row r="6">
      <c r="A6" s="4" t="s">
        <v>20</v>
      </c>
      <c r="B6" s="15">
        <v>1.8873149E7</v>
      </c>
      <c r="C6" s="13">
        <f t="shared" si="1"/>
        <v>0.2247473381</v>
      </c>
      <c r="D6" s="15">
        <v>2.3114839E7</v>
      </c>
      <c r="E6" s="13">
        <f t="shared" si="2"/>
        <v>0.1011165598</v>
      </c>
      <c r="F6" s="15">
        <v>2.5452132E7</v>
      </c>
      <c r="G6" s="13">
        <f t="shared" si="3"/>
        <v>-0.3384157366</v>
      </c>
      <c r="H6" s="15">
        <v>1.683873E7</v>
      </c>
      <c r="I6" s="13">
        <f t="shared" si="4"/>
        <v>0.08027333415</v>
      </c>
      <c r="J6" s="15">
        <v>1.8190431E7</v>
      </c>
      <c r="K6" s="13">
        <f t="shared" si="5"/>
        <v>-0.06506789201</v>
      </c>
      <c r="L6" s="15">
        <v>1.7006818E7</v>
      </c>
      <c r="M6" s="13">
        <f t="shared" si="6"/>
        <v>0.1702929378</v>
      </c>
      <c r="N6" s="15">
        <v>1.9902959E7</v>
      </c>
      <c r="O6" s="13">
        <f t="shared" si="7"/>
        <v>-0.09466250722</v>
      </c>
      <c r="P6" s="15">
        <v>1.8018895E7</v>
      </c>
      <c r="Q6" s="13">
        <f t="shared" si="8"/>
        <v>0.1045604628</v>
      </c>
      <c r="R6" s="15">
        <v>1.9902959E7</v>
      </c>
      <c r="S6" s="13">
        <f t="shared" si="9"/>
        <v>0</v>
      </c>
      <c r="T6" s="15">
        <v>1.9902959E7</v>
      </c>
      <c r="U6" s="13">
        <f t="shared" si="10"/>
        <v>0</v>
      </c>
      <c r="V6" s="15">
        <v>1.9902959E7</v>
      </c>
      <c r="W6" s="13">
        <f t="shared" si="11"/>
        <v>0</v>
      </c>
      <c r="X6" s="15">
        <v>1.9902959E7</v>
      </c>
      <c r="Y6" s="13"/>
    </row>
    <row r="7">
      <c r="A7" s="16" t="s">
        <v>21</v>
      </c>
      <c r="B7" s="17">
        <f>B6/B3</f>
        <v>0.7818196166</v>
      </c>
      <c r="C7" s="18">
        <f t="shared" si="1"/>
        <v>0.147559065</v>
      </c>
      <c r="D7" s="17">
        <f>D6/D3</f>
        <v>0.8971841883</v>
      </c>
      <c r="E7" s="18">
        <f t="shared" si="2"/>
        <v>-0.04897970957</v>
      </c>
      <c r="F7" s="17">
        <f>F6/F3</f>
        <v>0.8532403673</v>
      </c>
      <c r="G7" s="18">
        <f t="shared" si="3"/>
        <v>-0.2693148406</v>
      </c>
      <c r="H7" s="17">
        <f>H6/H3</f>
        <v>0.6234500738</v>
      </c>
      <c r="I7" s="18">
        <f t="shared" si="4"/>
        <v>0.02395605751</v>
      </c>
      <c r="J7" s="17">
        <f>J6/J3</f>
        <v>0.6383854796</v>
      </c>
      <c r="K7" s="18">
        <f t="shared" si="5"/>
        <v>-0.2397508163</v>
      </c>
      <c r="L7" s="17">
        <f>L6/L3</f>
        <v>0.4853320398</v>
      </c>
      <c r="M7" s="18">
        <f t="shared" si="6"/>
        <v>0.5284160287</v>
      </c>
      <c r="N7" s="17">
        <f>N6/N3</f>
        <v>0.7417892689</v>
      </c>
      <c r="O7" s="18">
        <f t="shared" si="7"/>
        <v>-0.1352945831</v>
      </c>
      <c r="P7" s="17">
        <f>P6/P3</f>
        <v>0.641429199</v>
      </c>
      <c r="Q7" s="18">
        <f t="shared" si="8"/>
        <v>0.1564632075</v>
      </c>
      <c r="R7" s="17">
        <f>R6/R3</f>
        <v>0.7417892689</v>
      </c>
      <c r="S7" s="18">
        <f t="shared" si="9"/>
        <v>0</v>
      </c>
      <c r="T7" s="17">
        <f>T6/T3</f>
        <v>0.7417892689</v>
      </c>
      <c r="U7" s="18">
        <f t="shared" si="10"/>
        <v>0</v>
      </c>
      <c r="V7" s="17">
        <f>V6/V3</f>
        <v>0.7417892689</v>
      </c>
      <c r="W7" s="18">
        <f t="shared" si="11"/>
        <v>0</v>
      </c>
      <c r="X7" s="17">
        <f>X6/X3</f>
        <v>0.7417892689</v>
      </c>
      <c r="Y7" s="13"/>
    </row>
    <row r="8">
      <c r="A8" s="1" t="s">
        <v>22</v>
      </c>
      <c r="B8" s="14">
        <f>B5-B6</f>
        <v>910026.0524</v>
      </c>
      <c r="C8" s="12">
        <f t="shared" si="1"/>
        <v>0.2247473381</v>
      </c>
      <c r="D8" s="14">
        <f>D5-D6</f>
        <v>1114551.985</v>
      </c>
      <c r="E8" s="12">
        <f t="shared" si="2"/>
        <v>0.1262344155</v>
      </c>
      <c r="F8" s="14">
        <f>F5-F6</f>
        <v>1255246.804</v>
      </c>
      <c r="G8" s="12">
        <f t="shared" si="3"/>
        <v>-0.3531707271</v>
      </c>
      <c r="H8" s="14">
        <f>H5-H6</f>
        <v>811930.3774</v>
      </c>
      <c r="I8" s="12">
        <f t="shared" si="4"/>
        <v>0.1049157297</v>
      </c>
      <c r="J8" s="14">
        <f>J5-J6</f>
        <v>897114.6453</v>
      </c>
      <c r="K8" s="12">
        <f t="shared" si="5"/>
        <v>-0.04417275282</v>
      </c>
      <c r="L8" s="14">
        <f>L5-L6</f>
        <v>857486.6218</v>
      </c>
      <c r="M8" s="12">
        <f t="shared" si="6"/>
        <v>0.1447094091</v>
      </c>
      <c r="N8" s="14">
        <f>N5-N6</f>
        <v>981573.0042</v>
      </c>
      <c r="O8" s="12">
        <f t="shared" si="7"/>
        <v>-0.05415251806</v>
      </c>
      <c r="P8" s="14">
        <f>P5-P6</f>
        <v>928418.3544</v>
      </c>
      <c r="Q8" s="12">
        <f t="shared" si="8"/>
        <v>0.05725290714</v>
      </c>
      <c r="R8" s="14">
        <f>R5-R6</f>
        <v>981573.0042</v>
      </c>
      <c r="S8" s="12">
        <f t="shared" si="9"/>
        <v>0</v>
      </c>
      <c r="T8" s="14">
        <f>T5-T6</f>
        <v>981573.0042</v>
      </c>
      <c r="U8" s="12">
        <f t="shared" si="10"/>
        <v>0</v>
      </c>
      <c r="V8" s="14">
        <f>V5-V6</f>
        <v>981573.0042</v>
      </c>
      <c r="W8" s="12">
        <f t="shared" si="11"/>
        <v>0</v>
      </c>
      <c r="X8" s="14">
        <f>X5-X6</f>
        <v>981573.0042</v>
      </c>
      <c r="Y8" s="13"/>
    </row>
    <row r="9">
      <c r="A9" s="4" t="s">
        <v>198</v>
      </c>
      <c r="B9" s="15">
        <v>731866.0</v>
      </c>
      <c r="C9" s="13">
        <f t="shared" si="1"/>
        <v>-3.585362621</v>
      </c>
      <c r="D9" s="15">
        <v>-1892139.0</v>
      </c>
      <c r="E9" s="13">
        <f t="shared" si="2"/>
        <v>-0.9953354378</v>
      </c>
      <c r="F9" s="15">
        <v>-8826.0</v>
      </c>
      <c r="G9" s="13">
        <f t="shared" si="3"/>
        <v>-421.4251076</v>
      </c>
      <c r="H9" s="15">
        <v>3710672.0</v>
      </c>
      <c r="I9" s="13">
        <f t="shared" si="4"/>
        <v>0.2402605242</v>
      </c>
      <c r="J9" s="15">
        <v>4602200.0</v>
      </c>
      <c r="K9" s="13">
        <f t="shared" si="5"/>
        <v>1.439020251</v>
      </c>
      <c r="L9" s="15">
        <v>1.1224859E7</v>
      </c>
      <c r="M9" s="13">
        <f t="shared" si="6"/>
        <v>-1.003907042</v>
      </c>
      <c r="N9" s="15">
        <v>-43856.0</v>
      </c>
      <c r="O9" s="13">
        <f t="shared" si="7"/>
        <v>-71.4171151</v>
      </c>
      <c r="P9" s="15">
        <v>3088213.0</v>
      </c>
      <c r="Q9" s="13">
        <f t="shared" si="8"/>
        <v>-1.014201093</v>
      </c>
      <c r="R9" s="15">
        <v>-43856.0</v>
      </c>
      <c r="S9" s="13">
        <f t="shared" si="9"/>
        <v>0</v>
      </c>
      <c r="T9" s="15">
        <v>-43856.0</v>
      </c>
      <c r="U9" s="13">
        <f t="shared" si="10"/>
        <v>0</v>
      </c>
      <c r="V9" s="15">
        <v>-43856.0</v>
      </c>
      <c r="W9" s="13">
        <f t="shared" si="11"/>
        <v>0</v>
      </c>
      <c r="X9" s="15">
        <v>-43856.0</v>
      </c>
    </row>
    <row r="10">
      <c r="A10" s="16" t="s">
        <v>24</v>
      </c>
      <c r="B10" s="17">
        <f>B9/B3</f>
        <v>0.03031752653</v>
      </c>
      <c r="C10" s="18">
        <f t="shared" si="1"/>
        <v>-3.422423156</v>
      </c>
      <c r="D10" s="17">
        <f>D9/D3</f>
        <v>-0.0734418783</v>
      </c>
      <c r="E10" s="18">
        <f t="shared" si="2"/>
        <v>-0.9959712773</v>
      </c>
      <c r="F10" s="17">
        <f>F9/F3</f>
        <v>-0.0002958769616</v>
      </c>
      <c r="G10" s="18">
        <f t="shared" si="3"/>
        <v>-465.3375059</v>
      </c>
      <c r="H10" s="17">
        <f>H9/H3</f>
        <v>0.1373867704</v>
      </c>
      <c r="I10" s="18">
        <f t="shared" si="4"/>
        <v>0.1756027262</v>
      </c>
      <c r="J10" s="17">
        <f>J9/J3</f>
        <v>0.1615122618</v>
      </c>
      <c r="K10" s="18">
        <f t="shared" si="5"/>
        <v>0.9833131617</v>
      </c>
      <c r="L10" s="17">
        <f>L9/L3</f>
        <v>0.3203293946</v>
      </c>
      <c r="M10" s="18">
        <f t="shared" si="6"/>
        <v>-1.005102642</v>
      </c>
      <c r="N10" s="17">
        <f>N9/N3</f>
        <v>-0.001634526312</v>
      </c>
      <c r="O10" s="18">
        <f t="shared" si="7"/>
        <v>-68.25675382</v>
      </c>
      <c r="P10" s="17">
        <f>P9/P3</f>
        <v>0.1099329338</v>
      </c>
      <c r="Q10" s="18">
        <f t="shared" si="8"/>
        <v>-1.014868395</v>
      </c>
      <c r="R10" s="17">
        <f>R9/R3</f>
        <v>-0.001634526312</v>
      </c>
      <c r="S10" s="18">
        <f t="shared" si="9"/>
        <v>0</v>
      </c>
      <c r="T10" s="17">
        <f>T9/T3</f>
        <v>-0.001634526312</v>
      </c>
      <c r="U10" s="18">
        <f t="shared" si="10"/>
        <v>0</v>
      </c>
      <c r="V10" s="17">
        <f>V9/V3</f>
        <v>-0.001634526312</v>
      </c>
      <c r="W10" s="18">
        <f t="shared" si="11"/>
        <v>0</v>
      </c>
      <c r="X10" s="17">
        <f>X9/X3</f>
        <v>-0.001634526312</v>
      </c>
    </row>
    <row r="11">
      <c r="A11" s="4" t="s">
        <v>199</v>
      </c>
      <c r="B11" s="15">
        <v>3221090.0</v>
      </c>
      <c r="C11" s="13">
        <f t="shared" si="1"/>
        <v>-0.05098677777</v>
      </c>
      <c r="D11" s="15">
        <v>3056857.0</v>
      </c>
      <c r="E11" s="13">
        <f t="shared" si="2"/>
        <v>0.06878044999</v>
      </c>
      <c r="F11" s="15">
        <v>3267109.0</v>
      </c>
      <c r="G11" s="13">
        <f t="shared" si="3"/>
        <v>0.6214237113</v>
      </c>
      <c r="H11" s="15">
        <v>5297368.0</v>
      </c>
      <c r="I11" s="13">
        <f t="shared" si="4"/>
        <v>-0.1411070554</v>
      </c>
      <c r="J11" s="15">
        <v>4549872.0</v>
      </c>
      <c r="K11" s="13">
        <f t="shared" si="5"/>
        <v>0.2843403067</v>
      </c>
      <c r="L11" s="15">
        <v>5843584.0</v>
      </c>
      <c r="M11" s="13">
        <f t="shared" si="6"/>
        <v>0.007230151907</v>
      </c>
      <c r="N11" s="15">
        <v>5885834.0</v>
      </c>
      <c r="O11" s="13">
        <f t="shared" si="7"/>
        <v>0.005970097016</v>
      </c>
      <c r="P11" s="15">
        <v>5920973.0</v>
      </c>
      <c r="Q11" s="13">
        <f t="shared" si="8"/>
        <v>-0.005934666481</v>
      </c>
      <c r="R11" s="15">
        <v>5885834.0</v>
      </c>
      <c r="S11" s="13">
        <f t="shared" si="9"/>
        <v>0</v>
      </c>
      <c r="T11" s="15">
        <v>5885834.0</v>
      </c>
      <c r="U11" s="13">
        <f t="shared" si="10"/>
        <v>0</v>
      </c>
      <c r="V11" s="15">
        <v>5885834.0</v>
      </c>
      <c r="W11" s="13">
        <f t="shared" si="11"/>
        <v>0</v>
      </c>
      <c r="X11" s="15">
        <v>5885834.0</v>
      </c>
    </row>
    <row r="12">
      <c r="A12" s="16" t="s">
        <v>200</v>
      </c>
      <c r="B12" s="17">
        <f>B11/B3</f>
        <v>0.1334335541</v>
      </c>
      <c r="C12" s="18">
        <f t="shared" si="1"/>
        <v>-0.1107972297</v>
      </c>
      <c r="D12" s="17">
        <f>D11/D3</f>
        <v>0.118649486</v>
      </c>
      <c r="E12" s="18">
        <f t="shared" si="2"/>
        <v>-0.07690799407</v>
      </c>
      <c r="F12" s="17">
        <f>F11/F3</f>
        <v>0.109524392</v>
      </c>
      <c r="G12" s="18">
        <f t="shared" si="3"/>
        <v>0.790777545</v>
      </c>
      <c r="H12" s="17">
        <f>H11/H3</f>
        <v>0.1961338219</v>
      </c>
      <c r="I12" s="18">
        <f t="shared" si="4"/>
        <v>-0.1858832339</v>
      </c>
      <c r="J12" s="17">
        <f>J11/J3</f>
        <v>0.1596758328</v>
      </c>
      <c r="K12" s="18">
        <f t="shared" si="5"/>
        <v>0.04437387645</v>
      </c>
      <c r="L12" s="17">
        <f>L11/L3</f>
        <v>0.1667612685</v>
      </c>
      <c r="M12" s="18">
        <f t="shared" si="6"/>
        <v>0.315454156</v>
      </c>
      <c r="N12" s="17">
        <f>N11/N3</f>
        <v>0.2193668037</v>
      </c>
      <c r="O12" s="18">
        <f t="shared" si="7"/>
        <v>-0.03917842894</v>
      </c>
      <c r="P12" s="17">
        <f>P11/P3</f>
        <v>0.2107723569</v>
      </c>
      <c r="Q12" s="18">
        <f t="shared" si="8"/>
        <v>0.04077596727</v>
      </c>
      <c r="R12" s="17">
        <f>R11/R3</f>
        <v>0.2193668037</v>
      </c>
      <c r="S12" s="18">
        <f t="shared" si="9"/>
        <v>0</v>
      </c>
      <c r="T12" s="17">
        <f>T11/T3</f>
        <v>0.2193668037</v>
      </c>
      <c r="U12" s="18">
        <f t="shared" si="10"/>
        <v>0</v>
      </c>
      <c r="V12" s="17">
        <f>V11/V3</f>
        <v>0.2193668037</v>
      </c>
      <c r="W12" s="18">
        <f t="shared" si="11"/>
        <v>0</v>
      </c>
      <c r="X12" s="17">
        <f>X11/X3</f>
        <v>0.2193668037</v>
      </c>
    </row>
    <row r="13">
      <c r="A13" s="4" t="s">
        <v>201</v>
      </c>
      <c r="B13" s="15">
        <v>1313925.0</v>
      </c>
      <c r="C13" s="13">
        <f t="shared" si="1"/>
        <v>0.1295956771</v>
      </c>
      <c r="D13" s="15">
        <v>1484204.0</v>
      </c>
      <c r="E13" s="13">
        <f t="shared" si="2"/>
        <v>-0.2456885981</v>
      </c>
      <c r="F13" s="15">
        <v>1119552.0</v>
      </c>
      <c r="G13" s="13">
        <f t="shared" si="3"/>
        <v>0.03807326502</v>
      </c>
      <c r="H13" s="15">
        <v>1162177.0</v>
      </c>
      <c r="I13" s="13">
        <f t="shared" si="4"/>
        <v>-0.008818794383</v>
      </c>
      <c r="J13" s="15">
        <v>1151928.0</v>
      </c>
      <c r="K13" s="13">
        <f t="shared" si="5"/>
        <v>-0.1610994784</v>
      </c>
      <c r="L13" s="15">
        <v>966353.0</v>
      </c>
      <c r="M13" s="13">
        <f t="shared" si="6"/>
        <v>0.1238936496</v>
      </c>
      <c r="N13" s="15">
        <v>1086078.0</v>
      </c>
      <c r="O13" s="13">
        <f t="shared" si="7"/>
        <v>-0.02059520587</v>
      </c>
      <c r="P13" s="15">
        <v>1063710.0</v>
      </c>
      <c r="Q13" s="13">
        <f t="shared" si="8"/>
        <v>0.02102828779</v>
      </c>
      <c r="R13" s="15">
        <v>1086078.0</v>
      </c>
      <c r="S13" s="13">
        <f t="shared" si="9"/>
        <v>0</v>
      </c>
      <c r="T13" s="15">
        <v>1086078.0</v>
      </c>
      <c r="U13" s="13">
        <f t="shared" si="10"/>
        <v>0</v>
      </c>
      <c r="V13" s="15">
        <v>1086078.0</v>
      </c>
      <c r="W13" s="13">
        <f t="shared" si="11"/>
        <v>0</v>
      </c>
      <c r="X13" s="15">
        <v>1086078.0</v>
      </c>
    </row>
    <row r="14">
      <c r="A14" s="16" t="s">
        <v>34</v>
      </c>
      <c r="B14" s="17">
        <f>B13/B3</f>
        <v>0.0544293027</v>
      </c>
      <c r="C14" s="18">
        <f t="shared" si="1"/>
        <v>0.05840422648</v>
      </c>
      <c r="D14" s="17">
        <f>D13/D3</f>
        <v>0.05760820402</v>
      </c>
      <c r="E14" s="18">
        <f t="shared" si="2"/>
        <v>-0.3485108891</v>
      </c>
      <c r="F14" s="17">
        <f>F13/F3</f>
        <v>0.03753111762</v>
      </c>
      <c r="G14" s="18">
        <f t="shared" si="3"/>
        <v>0.146497538</v>
      </c>
      <c r="H14" s="17">
        <f>H13/H3</f>
        <v>0.04302933395</v>
      </c>
      <c r="I14" s="18">
        <f t="shared" si="4"/>
        <v>-0.06049148165</v>
      </c>
      <c r="J14" s="17">
        <f>J13/J3</f>
        <v>0.04042642578</v>
      </c>
      <c r="K14" s="18">
        <f t="shared" si="5"/>
        <v>-0.3178398396</v>
      </c>
      <c r="L14" s="17">
        <f>L13/L3</f>
        <v>0.0275772971</v>
      </c>
      <c r="M14" s="18">
        <f t="shared" si="6"/>
        <v>0.467818025</v>
      </c>
      <c r="N14" s="17">
        <f>N13/N3</f>
        <v>0.04047845376</v>
      </c>
      <c r="O14" s="18">
        <f t="shared" si="7"/>
        <v>-0.0645514655</v>
      </c>
      <c r="P14" s="17">
        <f>P13/P3</f>
        <v>0.03786551025</v>
      </c>
      <c r="Q14" s="18">
        <f t="shared" si="8"/>
        <v>0.0690058973</v>
      </c>
      <c r="R14" s="17">
        <f>R13/R3</f>
        <v>0.04047845376</v>
      </c>
      <c r="S14" s="18">
        <f t="shared" si="9"/>
        <v>0</v>
      </c>
      <c r="T14" s="17">
        <f>T13/T3</f>
        <v>0.04047845376</v>
      </c>
      <c r="U14" s="18">
        <f t="shared" si="10"/>
        <v>0</v>
      </c>
      <c r="V14" s="17">
        <f>V13/V3</f>
        <v>0.04047845376</v>
      </c>
      <c r="W14" s="18">
        <f t="shared" si="11"/>
        <v>0</v>
      </c>
      <c r="X14" s="17">
        <f>X13/X3</f>
        <v>0.04047845376</v>
      </c>
    </row>
    <row r="15">
      <c r="A15" s="4" t="s">
        <v>45</v>
      </c>
      <c r="B15" s="15">
        <v>0.0</v>
      </c>
      <c r="C15" s="13">
        <f t="shared" si="1"/>
        <v>0</v>
      </c>
      <c r="D15" s="15">
        <v>0.0</v>
      </c>
      <c r="E15" s="13">
        <f t="shared" si="2"/>
        <v>0</v>
      </c>
      <c r="F15" s="15">
        <v>0.0</v>
      </c>
      <c r="G15" s="13">
        <f t="shared" si="3"/>
        <v>0</v>
      </c>
      <c r="H15" s="15">
        <v>0.0</v>
      </c>
      <c r="I15" s="13">
        <f t="shared" si="4"/>
        <v>0</v>
      </c>
      <c r="J15" s="15">
        <v>0.0</v>
      </c>
      <c r="K15" s="13">
        <f t="shared" si="5"/>
        <v>0</v>
      </c>
      <c r="L15" s="15">
        <v>0.0</v>
      </c>
      <c r="M15" s="13">
        <f t="shared" si="6"/>
        <v>0</v>
      </c>
      <c r="N15" s="15">
        <v>0.0</v>
      </c>
      <c r="O15" s="13">
        <f t="shared" si="7"/>
        <v>0</v>
      </c>
      <c r="P15" s="15">
        <v>0.0</v>
      </c>
      <c r="Q15" s="13">
        <f t="shared" si="8"/>
        <v>0</v>
      </c>
      <c r="R15" s="15">
        <v>0.0</v>
      </c>
      <c r="S15" s="13">
        <f t="shared" si="9"/>
        <v>0</v>
      </c>
      <c r="T15" s="15">
        <v>0.0</v>
      </c>
      <c r="U15" s="13">
        <f t="shared" si="10"/>
        <v>0</v>
      </c>
      <c r="V15" s="15">
        <v>0.0</v>
      </c>
      <c r="W15" s="13">
        <f t="shared" si="11"/>
        <v>0</v>
      </c>
      <c r="X15" s="15">
        <v>0.0</v>
      </c>
    </row>
    <row r="16">
      <c r="A16" s="16" t="s">
        <v>47</v>
      </c>
      <c r="B16" s="17">
        <f>B15/B3</f>
        <v>0</v>
      </c>
      <c r="C16" s="18">
        <f t="shared" si="1"/>
        <v>0</v>
      </c>
      <c r="D16" s="17">
        <f>D15/D3</f>
        <v>0</v>
      </c>
      <c r="E16" s="18">
        <f t="shared" si="2"/>
        <v>0</v>
      </c>
      <c r="F16" s="17">
        <f>F15/F3</f>
        <v>0</v>
      </c>
      <c r="G16" s="18">
        <f t="shared" si="3"/>
        <v>0</v>
      </c>
      <c r="H16" s="17">
        <f>H15/H3</f>
        <v>0</v>
      </c>
      <c r="I16" s="18">
        <f t="shared" si="4"/>
        <v>0</v>
      </c>
      <c r="J16" s="17">
        <f>J15/J3</f>
        <v>0</v>
      </c>
      <c r="K16" s="18">
        <f t="shared" si="5"/>
        <v>0</v>
      </c>
      <c r="L16" s="17">
        <f>L15/L3</f>
        <v>0</v>
      </c>
      <c r="M16" s="18">
        <f t="shared" si="6"/>
        <v>0</v>
      </c>
      <c r="N16" s="17">
        <f>N15/N3</f>
        <v>0</v>
      </c>
      <c r="O16" s="18">
        <f t="shared" si="7"/>
        <v>0</v>
      </c>
      <c r="P16" s="17">
        <f>P15/P3</f>
        <v>0</v>
      </c>
      <c r="Q16" s="18">
        <f t="shared" si="8"/>
        <v>0</v>
      </c>
      <c r="R16" s="17">
        <f>R15/R3</f>
        <v>0</v>
      </c>
      <c r="S16" s="18">
        <f t="shared" si="9"/>
        <v>0</v>
      </c>
      <c r="T16" s="17">
        <f>T15/T3</f>
        <v>0</v>
      </c>
      <c r="U16" s="18">
        <f t="shared" si="10"/>
        <v>0</v>
      </c>
      <c r="V16" s="17">
        <f>V15/V3</f>
        <v>0</v>
      </c>
      <c r="W16" s="18">
        <f t="shared" si="11"/>
        <v>0</v>
      </c>
      <c r="X16" s="17">
        <f>X15/X3</f>
        <v>0</v>
      </c>
    </row>
    <row r="17">
      <c r="A17" s="1" t="s">
        <v>36</v>
      </c>
      <c r="B17" s="24">
        <f>B9</f>
        <v>731866</v>
      </c>
      <c r="C17" s="13">
        <f t="shared" si="1"/>
        <v>-3.585362621</v>
      </c>
      <c r="D17" s="24">
        <f>D9</f>
        <v>-1892139</v>
      </c>
      <c r="E17" s="13">
        <f t="shared" si="2"/>
        <v>-0.9953354378</v>
      </c>
      <c r="F17" s="24">
        <f>F9</f>
        <v>-8826</v>
      </c>
      <c r="G17" s="13">
        <f t="shared" si="3"/>
        <v>-421.4251076</v>
      </c>
      <c r="H17" s="24">
        <f>H9</f>
        <v>3710672</v>
      </c>
      <c r="I17" s="13">
        <f t="shared" si="4"/>
        <v>0.2402605242</v>
      </c>
      <c r="J17" s="24">
        <f>J9</f>
        <v>4602200</v>
      </c>
      <c r="K17" s="13">
        <f t="shared" si="5"/>
        <v>1.439020251</v>
      </c>
      <c r="L17" s="24">
        <f>L9</f>
        <v>11224859</v>
      </c>
      <c r="M17" s="13">
        <f t="shared" si="6"/>
        <v>-1.003907042</v>
      </c>
      <c r="N17" s="24">
        <f>N9</f>
        <v>-43856</v>
      </c>
      <c r="O17" s="13">
        <f t="shared" si="7"/>
        <v>-71.4171151</v>
      </c>
      <c r="P17" s="24">
        <f>P9</f>
        <v>3088213</v>
      </c>
      <c r="Q17" s="13">
        <f t="shared" si="8"/>
        <v>-1.014201093</v>
      </c>
      <c r="R17" s="24">
        <f>R9</f>
        <v>-43856</v>
      </c>
      <c r="S17" s="13">
        <f t="shared" si="9"/>
        <v>0</v>
      </c>
      <c r="T17" s="24">
        <f>T9</f>
        <v>-43856</v>
      </c>
      <c r="U17" s="13">
        <f t="shared" si="10"/>
        <v>0</v>
      </c>
      <c r="V17" s="24">
        <f>V9</f>
        <v>-43856</v>
      </c>
      <c r="W17" s="13">
        <f t="shared" si="11"/>
        <v>0</v>
      </c>
      <c r="X17" s="24">
        <f>X9</f>
        <v>-43856</v>
      </c>
    </row>
    <row r="18">
      <c r="A18" s="28" t="s">
        <v>39</v>
      </c>
      <c r="B18" s="24">
        <f>B3-ABS(B17)</f>
        <v>23408164</v>
      </c>
      <c r="C18" s="13">
        <f t="shared" si="1"/>
        <v>0.01979898979</v>
      </c>
      <c r="D18" s="24">
        <f>D3-ABS(D17)</f>
        <v>23871622</v>
      </c>
      <c r="E18" s="13">
        <f t="shared" si="2"/>
        <v>0.2492297758</v>
      </c>
      <c r="F18" s="24">
        <f>F3-ABS(F17)</f>
        <v>29821141</v>
      </c>
      <c r="G18" s="13">
        <f t="shared" si="3"/>
        <v>-0.2187329452</v>
      </c>
      <c r="H18" s="24">
        <f>H3-ABS(H17)</f>
        <v>23298275</v>
      </c>
      <c r="I18" s="13">
        <f t="shared" si="4"/>
        <v>0.02549356122</v>
      </c>
      <c r="J18" s="24">
        <f>J3-ABS(J17)</f>
        <v>23892231</v>
      </c>
      <c r="K18" s="13">
        <f t="shared" si="5"/>
        <v>-0.003159018511</v>
      </c>
      <c r="L18" s="24">
        <f>L3-ABS(L17)</f>
        <v>23816755</v>
      </c>
      <c r="M18" s="13">
        <f t="shared" si="6"/>
        <v>0.1247190896</v>
      </c>
      <c r="N18" s="24">
        <f>N3-ABS(N17)</f>
        <v>26787159</v>
      </c>
      <c r="O18" s="13">
        <f t="shared" si="7"/>
        <v>-0.06658343276</v>
      </c>
      <c r="P18" s="24">
        <f>P3-ABS(P17)</f>
        <v>25003578</v>
      </c>
      <c r="Q18" s="13">
        <f t="shared" si="8"/>
        <v>0.07133303082</v>
      </c>
      <c r="R18" s="24">
        <f>R3-ABS(R17)</f>
        <v>26787159</v>
      </c>
      <c r="S18" s="13">
        <f t="shared" si="9"/>
        <v>0</v>
      </c>
      <c r="T18" s="24">
        <f>T3-ABS(T17)</f>
        <v>26787159</v>
      </c>
      <c r="U18" s="13">
        <f t="shared" si="10"/>
        <v>0</v>
      </c>
      <c r="V18" s="24">
        <f>V3-ABS(V17)</f>
        <v>26787159</v>
      </c>
      <c r="W18" s="13">
        <f t="shared" si="11"/>
        <v>0</v>
      </c>
      <c r="X18" s="24">
        <f>X3-ABS(X17)</f>
        <v>26787159</v>
      </c>
    </row>
    <row r="20">
      <c r="A20" s="25" t="s">
        <v>44</v>
      </c>
      <c r="B20" s="26">
        <f>ABS(SUM(B21,B22,B24,B26,B27))</f>
        <v>4347141</v>
      </c>
      <c r="C20" s="27">
        <f t="shared" ref="C20:C41" si="12">IFERROR(SUM((D20/B20)-1),0)</f>
        <v>0.2130913168</v>
      </c>
      <c r="D20" s="26">
        <f>ABS(SUM(D21,D22,D24,D26,D27))</f>
        <v>5273479</v>
      </c>
      <c r="E20" s="27">
        <f t="shared" ref="E20:E41" si="13">IFERROR(SUM((F20/D20)-1),0)</f>
        <v>0.1050951374</v>
      </c>
      <c r="F20" s="26">
        <f>ABS(SUM(F21,F22,F24,F26,F27))</f>
        <v>5827696</v>
      </c>
      <c r="G20" s="27">
        <f t="shared" ref="G20:G41" si="14">IFERROR(SUM((H20/F20)-1),0)</f>
        <v>0.01066218965</v>
      </c>
      <c r="H20" s="26">
        <f>ABS(SUM(H21,H22,H24,H26,H27))</f>
        <v>5889832</v>
      </c>
      <c r="I20" s="27">
        <f t="shared" ref="I20:I41" si="15">IFERROR(SUM((J20/H20)-1),0)</f>
        <v>0.01642763325</v>
      </c>
      <c r="J20" s="26">
        <f>ABS(SUM(J21,J22,J24,J26,J27))</f>
        <v>5986588</v>
      </c>
      <c r="K20" s="27">
        <f t="shared" ref="K20:K41" si="16">IFERROR(SUM((L20/J20)-1),0)</f>
        <v>-0.04860798839</v>
      </c>
      <c r="L20" s="26">
        <f>ABS(SUM(L21,L22,L24,L26,L27))</f>
        <v>5695592</v>
      </c>
      <c r="M20" s="27">
        <f t="shared" ref="M20:M41" si="17">IFERROR(SUM((N20/L20)-1),0)</f>
        <v>0.08963212253</v>
      </c>
      <c r="N20" s="26">
        <f>ABS(SUM(N21,N22,N24,N26,N27))</f>
        <v>6206100</v>
      </c>
      <c r="O20" s="27">
        <f t="shared" ref="O20:O41" si="18">IFERROR(SUM((P20/N20)-1),0)</f>
        <v>-0.02826606081</v>
      </c>
      <c r="P20" s="26">
        <f>ABS(SUM(P21,P22,P24,P26,P27))</f>
        <v>6030678</v>
      </c>
      <c r="Q20" s="27">
        <f t="shared" ref="Q20:Q41" si="19">IFERROR(SUM((R20/P20)-1),0)</f>
        <v>0.02908827167</v>
      </c>
      <c r="R20" s="26">
        <f>ABS(SUM(R21,R22,R24,R26,R27))</f>
        <v>6206100</v>
      </c>
      <c r="S20" s="27">
        <f t="shared" ref="S20:S41" si="20">IFERROR(SUM((T20/R20)-1),0)</f>
        <v>0</v>
      </c>
      <c r="T20" s="26">
        <f>ABS(SUM(T21,T22,T24,T26,T27))</f>
        <v>6206100</v>
      </c>
      <c r="U20" s="27">
        <f t="shared" ref="U20:U41" si="21">IFERROR(SUM((V20/T20)-1),0)</f>
        <v>0</v>
      </c>
      <c r="V20" s="26">
        <f>ABS(SUM(V21,V22,V24,V26,V27))</f>
        <v>6206100</v>
      </c>
      <c r="W20" s="27">
        <f t="shared" ref="W20:W41" si="22">IFERROR(SUM((X20/V20)-1),0)</f>
        <v>0</v>
      </c>
      <c r="X20" s="26">
        <f>ABS(SUM(X21,X22,X24,X26,X27))</f>
        <v>6206100</v>
      </c>
    </row>
    <row r="21">
      <c r="A21" s="4" t="s">
        <v>48</v>
      </c>
      <c r="B21" s="15">
        <v>-1445157.0</v>
      </c>
      <c r="C21" s="13">
        <f t="shared" si="12"/>
        <v>0.1134458055</v>
      </c>
      <c r="D21" s="15">
        <v>-1609104.0</v>
      </c>
      <c r="E21" s="13">
        <f t="shared" si="13"/>
        <v>-0.04056729708</v>
      </c>
      <c r="F21" s="15">
        <v>-1543827.0</v>
      </c>
      <c r="G21" s="13">
        <f t="shared" si="14"/>
        <v>0.1002949165</v>
      </c>
      <c r="H21" s="15">
        <v>-1698665.0</v>
      </c>
      <c r="I21" s="13">
        <f t="shared" si="15"/>
        <v>0.06806462722</v>
      </c>
      <c r="J21" s="15">
        <v>-1814284.0</v>
      </c>
      <c r="K21" s="13">
        <f t="shared" si="16"/>
        <v>-0.09427024655</v>
      </c>
      <c r="L21" s="15">
        <v>-1643251.0</v>
      </c>
      <c r="M21" s="13">
        <f t="shared" si="17"/>
        <v>0.04705306736</v>
      </c>
      <c r="N21" s="15">
        <v>-1720571.0</v>
      </c>
      <c r="O21" s="13">
        <f t="shared" si="18"/>
        <v>0.03570442603</v>
      </c>
      <c r="P21" s="15">
        <v>-1782003.0</v>
      </c>
      <c r="Q21" s="13">
        <f t="shared" si="19"/>
        <v>-0.0344735671</v>
      </c>
      <c r="R21" s="15">
        <v>-1720571.0</v>
      </c>
      <c r="S21" s="13">
        <f t="shared" si="20"/>
        <v>0</v>
      </c>
      <c r="T21" s="15">
        <v>-1720571.0</v>
      </c>
      <c r="U21" s="13">
        <f t="shared" si="21"/>
        <v>0</v>
      </c>
      <c r="V21" s="15">
        <v>-1720571.0</v>
      </c>
      <c r="W21" s="13">
        <f t="shared" si="22"/>
        <v>0</v>
      </c>
      <c r="X21" s="15">
        <v>-1720571.0</v>
      </c>
    </row>
    <row r="22">
      <c r="A22" s="25" t="s">
        <v>49</v>
      </c>
      <c r="B22" s="15">
        <v>-2901984.0</v>
      </c>
      <c r="C22" s="13">
        <f t="shared" si="12"/>
        <v>0.2627137159</v>
      </c>
      <c r="D22" s="15">
        <v>-3664375.0</v>
      </c>
      <c r="E22" s="13">
        <f t="shared" si="13"/>
        <v>0.1690585707</v>
      </c>
      <c r="F22" s="15">
        <v>-4283869.0</v>
      </c>
      <c r="G22" s="13">
        <f t="shared" si="14"/>
        <v>-0.02163978404</v>
      </c>
      <c r="H22" s="15">
        <v>-4191167.0</v>
      </c>
      <c r="I22" s="13">
        <f t="shared" si="15"/>
        <v>-0.004500655784</v>
      </c>
      <c r="J22" s="15">
        <v>-4172304.0</v>
      </c>
      <c r="K22" s="13">
        <f t="shared" si="16"/>
        <v>-0.0287522194</v>
      </c>
      <c r="L22" s="15">
        <v>-4052341.0</v>
      </c>
      <c r="M22" s="13">
        <f t="shared" si="17"/>
        <v>0.1068982102</v>
      </c>
      <c r="N22" s="15">
        <v>-4485529.0</v>
      </c>
      <c r="O22" s="13">
        <f t="shared" si="18"/>
        <v>-0.05280402824</v>
      </c>
      <c r="P22" s="15">
        <v>-4248675.0</v>
      </c>
      <c r="Q22" s="13">
        <f t="shared" si="19"/>
        <v>0.05574773312</v>
      </c>
      <c r="R22" s="15">
        <v>-4485529.0</v>
      </c>
      <c r="S22" s="13">
        <f t="shared" si="20"/>
        <v>0</v>
      </c>
      <c r="T22" s="15">
        <v>-4485529.0</v>
      </c>
      <c r="U22" s="13">
        <f t="shared" si="21"/>
        <v>0</v>
      </c>
      <c r="V22" s="15">
        <v>-4485529.0</v>
      </c>
      <c r="W22" s="13">
        <f t="shared" si="22"/>
        <v>0</v>
      </c>
      <c r="X22" s="15">
        <v>-4485529.0</v>
      </c>
    </row>
    <row r="23">
      <c r="A23" s="1" t="s">
        <v>50</v>
      </c>
      <c r="B23" s="30">
        <f>ABS(B22)/B3</f>
        <v>0.1202145979</v>
      </c>
      <c r="C23" s="31">
        <f t="shared" si="12"/>
        <v>0.1831326561</v>
      </c>
      <c r="D23" s="30">
        <f>ABS(D22)/D3</f>
        <v>0.1422298165</v>
      </c>
      <c r="E23" s="31">
        <f t="shared" si="13"/>
        <v>0.009700936325</v>
      </c>
      <c r="F23" s="30">
        <f>ABS(F22)/F3</f>
        <v>0.1436095789</v>
      </c>
      <c r="G23" s="31">
        <f t="shared" si="14"/>
        <v>0.08054760359</v>
      </c>
      <c r="H23" s="30">
        <f>ABS(H22)/H3</f>
        <v>0.1551769864</v>
      </c>
      <c r="I23" s="31">
        <f t="shared" si="15"/>
        <v>-0.05639845812</v>
      </c>
      <c r="J23" s="30">
        <f>ABS(J22)/J3</f>
        <v>0.1464252436</v>
      </c>
      <c r="K23" s="31">
        <f t="shared" si="16"/>
        <v>-0.210220372</v>
      </c>
      <c r="L23" s="30">
        <f>ABS(L22)/L3</f>
        <v>0.1156436744</v>
      </c>
      <c r="M23" s="31">
        <f t="shared" si="17"/>
        <v>0.4456217858</v>
      </c>
      <c r="N23" s="30">
        <f>ABS(N22)/N3</f>
        <v>0.1671770151</v>
      </c>
      <c r="O23" s="31">
        <f t="shared" si="18"/>
        <v>-0.0953147371</v>
      </c>
      <c r="P23" s="30">
        <f>ABS(P22)/P3</f>
        <v>0.1512425819</v>
      </c>
      <c r="Q23" s="31">
        <f t="shared" si="19"/>
        <v>0.105356792</v>
      </c>
      <c r="R23" s="30">
        <f>ABS(R22)/R3</f>
        <v>0.1671770151</v>
      </c>
      <c r="S23" s="31">
        <f t="shared" si="20"/>
        <v>0</v>
      </c>
      <c r="T23" s="30">
        <f>ABS(T22)/T3</f>
        <v>0.1671770151</v>
      </c>
      <c r="U23" s="31">
        <f t="shared" si="21"/>
        <v>0</v>
      </c>
      <c r="V23" s="30">
        <f>ABS(V22)/V3</f>
        <v>0.1671770151</v>
      </c>
      <c r="W23" s="31">
        <f t="shared" si="22"/>
        <v>0</v>
      </c>
      <c r="X23" s="30">
        <f>ABS(X22)/X3</f>
        <v>0.1671770151</v>
      </c>
    </row>
    <row r="24">
      <c r="A24" s="4" t="s">
        <v>51</v>
      </c>
      <c r="B24" s="15">
        <v>0.0</v>
      </c>
      <c r="C24" s="13">
        <f t="shared" si="12"/>
        <v>0</v>
      </c>
      <c r="D24" s="15">
        <v>0.0</v>
      </c>
      <c r="E24" s="13">
        <f t="shared" si="13"/>
        <v>0</v>
      </c>
      <c r="F24" s="15">
        <v>0.0</v>
      </c>
      <c r="G24" s="13">
        <f t="shared" si="14"/>
        <v>0</v>
      </c>
      <c r="H24" s="15">
        <v>0.0</v>
      </c>
      <c r="I24" s="13">
        <f t="shared" si="15"/>
        <v>0</v>
      </c>
      <c r="J24" s="15">
        <v>0.0</v>
      </c>
      <c r="K24" s="13">
        <f t="shared" si="16"/>
        <v>0</v>
      </c>
      <c r="L24" s="15">
        <v>0.0</v>
      </c>
      <c r="M24" s="13">
        <f t="shared" si="17"/>
        <v>0</v>
      </c>
      <c r="N24" s="15">
        <v>0.0</v>
      </c>
      <c r="O24" s="13">
        <f t="shared" si="18"/>
        <v>0</v>
      </c>
      <c r="P24" s="15">
        <v>0.0</v>
      </c>
      <c r="Q24" s="13">
        <f t="shared" si="19"/>
        <v>0</v>
      </c>
      <c r="R24" s="15">
        <v>0.0</v>
      </c>
      <c r="S24" s="13">
        <f t="shared" si="20"/>
        <v>0</v>
      </c>
      <c r="T24" s="15">
        <v>0.0</v>
      </c>
      <c r="U24" s="13">
        <f t="shared" si="21"/>
        <v>0</v>
      </c>
      <c r="V24" s="15">
        <v>0.0</v>
      </c>
      <c r="W24" s="13">
        <f t="shared" si="22"/>
        <v>0</v>
      </c>
      <c r="X24" s="15">
        <v>0.0</v>
      </c>
    </row>
    <row r="25">
      <c r="A25" s="1" t="s">
        <v>52</v>
      </c>
      <c r="B25" s="30">
        <f>B24/B3</f>
        <v>0</v>
      </c>
      <c r="C25" s="31">
        <f t="shared" si="12"/>
        <v>0</v>
      </c>
      <c r="D25" s="30">
        <f>D24/D3</f>
        <v>0</v>
      </c>
      <c r="E25" s="31">
        <f t="shared" si="13"/>
        <v>0</v>
      </c>
      <c r="F25" s="30">
        <f>F24/F3</f>
        <v>0</v>
      </c>
      <c r="G25" s="31">
        <f t="shared" si="14"/>
        <v>0</v>
      </c>
      <c r="H25" s="30">
        <f>H24/H3</f>
        <v>0</v>
      </c>
      <c r="I25" s="31">
        <f t="shared" si="15"/>
        <v>0</v>
      </c>
      <c r="J25" s="30">
        <f>J24/J3</f>
        <v>0</v>
      </c>
      <c r="K25" s="31">
        <f t="shared" si="16"/>
        <v>0</v>
      </c>
      <c r="L25" s="30">
        <f>L24/L3</f>
        <v>0</v>
      </c>
      <c r="M25" s="31">
        <f t="shared" si="17"/>
        <v>0</v>
      </c>
      <c r="N25" s="30">
        <f>N24/N3</f>
        <v>0</v>
      </c>
      <c r="O25" s="31">
        <f t="shared" si="18"/>
        <v>0</v>
      </c>
      <c r="P25" s="30">
        <f>P24/P3</f>
        <v>0</v>
      </c>
      <c r="Q25" s="31">
        <f t="shared" si="19"/>
        <v>0</v>
      </c>
      <c r="R25" s="30">
        <f>R24/R3</f>
        <v>0</v>
      </c>
      <c r="S25" s="31">
        <f t="shared" si="20"/>
        <v>0</v>
      </c>
      <c r="T25" s="30">
        <f>T24/T3</f>
        <v>0</v>
      </c>
      <c r="U25" s="31">
        <f t="shared" si="21"/>
        <v>0</v>
      </c>
      <c r="V25" s="30">
        <f>V24/V3</f>
        <v>0</v>
      </c>
      <c r="W25" s="31">
        <f t="shared" si="22"/>
        <v>0</v>
      </c>
      <c r="X25" s="30">
        <f>X24/X3</f>
        <v>0</v>
      </c>
    </row>
    <row r="26">
      <c r="A26" s="4" t="s">
        <v>55</v>
      </c>
      <c r="B26" s="15">
        <v>0.0</v>
      </c>
      <c r="C26" s="13">
        <f t="shared" si="12"/>
        <v>0</v>
      </c>
      <c r="D26" s="15">
        <v>0.0</v>
      </c>
      <c r="E26" s="13">
        <f t="shared" si="13"/>
        <v>0</v>
      </c>
      <c r="F26" s="15">
        <v>0.0</v>
      </c>
      <c r="G26" s="13">
        <f t="shared" si="14"/>
        <v>0</v>
      </c>
      <c r="H26" s="15">
        <v>0.0</v>
      </c>
      <c r="I26" s="13">
        <f t="shared" si="15"/>
        <v>0</v>
      </c>
      <c r="J26" s="15">
        <v>0.0</v>
      </c>
      <c r="K26" s="13">
        <f t="shared" si="16"/>
        <v>0</v>
      </c>
      <c r="L26" s="15">
        <v>0.0</v>
      </c>
      <c r="M26" s="13">
        <f t="shared" si="17"/>
        <v>0</v>
      </c>
      <c r="N26" s="15">
        <v>0.0</v>
      </c>
      <c r="O26" s="13">
        <f t="shared" si="18"/>
        <v>0</v>
      </c>
      <c r="P26" s="15">
        <v>0.0</v>
      </c>
      <c r="Q26" s="13">
        <f t="shared" si="19"/>
        <v>0</v>
      </c>
      <c r="R26" s="15">
        <v>0.0</v>
      </c>
      <c r="S26" s="13">
        <f t="shared" si="20"/>
        <v>0</v>
      </c>
      <c r="T26" s="15">
        <v>0.0</v>
      </c>
      <c r="U26" s="13">
        <f t="shared" si="21"/>
        <v>0</v>
      </c>
      <c r="V26" s="15">
        <v>0.0</v>
      </c>
      <c r="W26" s="13">
        <f t="shared" si="22"/>
        <v>0</v>
      </c>
      <c r="X26" s="15">
        <v>0.0</v>
      </c>
    </row>
    <row r="27">
      <c r="A27" s="4" t="s">
        <v>53</v>
      </c>
      <c r="B27" s="15">
        <v>0.0</v>
      </c>
      <c r="C27" s="13">
        <f t="shared" si="12"/>
        <v>0</v>
      </c>
      <c r="D27" s="15">
        <v>0.0</v>
      </c>
      <c r="E27" s="13">
        <f t="shared" si="13"/>
        <v>0</v>
      </c>
      <c r="F27" s="15">
        <v>0.0</v>
      </c>
      <c r="G27" s="13">
        <f t="shared" si="14"/>
        <v>0</v>
      </c>
      <c r="H27" s="15">
        <v>0.0</v>
      </c>
      <c r="I27" s="13">
        <f t="shared" si="15"/>
        <v>0</v>
      </c>
      <c r="J27" s="15">
        <v>0.0</v>
      </c>
      <c r="K27" s="13">
        <f t="shared" si="16"/>
        <v>0</v>
      </c>
      <c r="L27" s="15">
        <v>0.0</v>
      </c>
      <c r="M27" s="13">
        <f t="shared" si="17"/>
        <v>0</v>
      </c>
      <c r="N27" s="15">
        <v>0.0</v>
      </c>
      <c r="O27" s="13">
        <f t="shared" si="18"/>
        <v>0</v>
      </c>
      <c r="P27" s="15">
        <v>0.0</v>
      </c>
      <c r="Q27" s="13">
        <f t="shared" si="19"/>
        <v>0</v>
      </c>
      <c r="R27" s="15">
        <v>0.0</v>
      </c>
      <c r="S27" s="13">
        <f t="shared" si="20"/>
        <v>0</v>
      </c>
      <c r="T27" s="15">
        <v>0.0</v>
      </c>
      <c r="U27" s="13">
        <f t="shared" si="21"/>
        <v>0</v>
      </c>
      <c r="V27" s="15">
        <v>0.0</v>
      </c>
      <c r="W27" s="13">
        <f t="shared" si="22"/>
        <v>0</v>
      </c>
      <c r="X27" s="15">
        <v>0.0</v>
      </c>
    </row>
    <row r="28">
      <c r="A28" s="1" t="s">
        <v>54</v>
      </c>
      <c r="B28" s="30">
        <f>B20/B3</f>
        <v>0.1800801822</v>
      </c>
      <c r="C28" s="31">
        <f t="shared" si="12"/>
        <v>0.1366376509</v>
      </c>
      <c r="D28" s="30">
        <f>D20/D3</f>
        <v>0.2046859152</v>
      </c>
      <c r="E28" s="31">
        <f t="shared" si="13"/>
        <v>-0.04554346299</v>
      </c>
      <c r="F28" s="30">
        <f>F20/F3</f>
        <v>0.1953638098</v>
      </c>
      <c r="G28" s="31">
        <f t="shared" si="14"/>
        <v>0.1162234413</v>
      </c>
      <c r="H28" s="30">
        <f>H20/H3</f>
        <v>0.2180696641</v>
      </c>
      <c r="I28" s="31">
        <f t="shared" si="15"/>
        <v>-0.03656121171</v>
      </c>
      <c r="J28" s="30">
        <f>J20/J3</f>
        <v>0.2100967729</v>
      </c>
      <c r="K28" s="31">
        <f t="shared" si="16"/>
        <v>-0.2263662847</v>
      </c>
      <c r="L28" s="30">
        <f>L20/L3</f>
        <v>0.162537947</v>
      </c>
      <c r="M28" s="31">
        <f t="shared" si="17"/>
        <v>0.4230720768</v>
      </c>
      <c r="N28" s="30">
        <f>N20/N3</f>
        <v>0.2313032138</v>
      </c>
      <c r="O28" s="31">
        <f t="shared" si="18"/>
        <v>-0.07187804799</v>
      </c>
      <c r="P28" s="30">
        <f>P20/P3</f>
        <v>0.2146775903</v>
      </c>
      <c r="Q28" s="31">
        <f t="shared" si="19"/>
        <v>0.0774446158</v>
      </c>
      <c r="R28" s="30">
        <f>R20/R3</f>
        <v>0.2313032138</v>
      </c>
      <c r="S28" s="31">
        <f t="shared" si="20"/>
        <v>0</v>
      </c>
      <c r="T28" s="30">
        <f>T20/T3</f>
        <v>0.2313032138</v>
      </c>
      <c r="U28" s="31">
        <f t="shared" si="21"/>
        <v>0</v>
      </c>
      <c r="V28" s="30">
        <f>V20/V3</f>
        <v>0.2313032138</v>
      </c>
      <c r="W28" s="31">
        <f t="shared" si="22"/>
        <v>0</v>
      </c>
      <c r="X28" s="30">
        <f>X20/X3</f>
        <v>0.2313032138</v>
      </c>
    </row>
    <row r="29">
      <c r="A29" s="36" t="s">
        <v>56</v>
      </c>
      <c r="B29" s="37">
        <f>B30/$B$3</f>
        <v>0.8199198178</v>
      </c>
      <c r="C29" s="38">
        <f t="shared" si="12"/>
        <v>-0.030009926</v>
      </c>
      <c r="D29" s="37">
        <f>D30/$D$3</f>
        <v>0.7953140848</v>
      </c>
      <c r="E29" s="38">
        <f t="shared" si="13"/>
        <v>0.01172128796</v>
      </c>
      <c r="F29" s="37">
        <f>F30/$F$3</f>
        <v>0.8046361902</v>
      </c>
      <c r="G29" s="38">
        <f t="shared" si="14"/>
        <v>-0.02821878329</v>
      </c>
      <c r="H29" s="37">
        <f>H30/$H$3</f>
        <v>0.7819303359</v>
      </c>
      <c r="I29" s="38">
        <f t="shared" si="15"/>
        <v>0.01019642133</v>
      </c>
      <c r="J29" s="37">
        <f>J30/$J$3</f>
        <v>0.7899032271</v>
      </c>
      <c r="K29" s="38">
        <f t="shared" si="16"/>
        <v>0.06020842084</v>
      </c>
      <c r="L29" s="37">
        <f>L30/$L$3</f>
        <v>0.837462053</v>
      </c>
      <c r="M29" s="38">
        <f t="shared" si="17"/>
        <v>-0.08211150173</v>
      </c>
      <c r="N29" s="37">
        <f>N30/$N$3</f>
        <v>0.7686967862</v>
      </c>
      <c r="O29" s="38">
        <f t="shared" si="18"/>
        <v>0.0696341294</v>
      </c>
      <c r="P29" s="37">
        <f>P30/$N$3</f>
        <v>0.8222243176</v>
      </c>
      <c r="Q29" s="38">
        <f t="shared" si="19"/>
        <v>-0.06510088589</v>
      </c>
      <c r="R29" s="37">
        <f>R30/$N$3</f>
        <v>0.7686967862</v>
      </c>
      <c r="S29" s="38">
        <f t="shared" si="20"/>
        <v>0</v>
      </c>
      <c r="T29" s="37">
        <f>T30/$N$3</f>
        <v>0.7686967862</v>
      </c>
      <c r="U29" s="38">
        <f t="shared" si="21"/>
        <v>0</v>
      </c>
      <c r="V29" s="37">
        <f>V30/$N$3</f>
        <v>0.7686967862</v>
      </c>
      <c r="W29" s="38">
        <f t="shared" si="22"/>
        <v>0</v>
      </c>
      <c r="X29" s="37">
        <f>X30/$N$3</f>
        <v>0.7686967862</v>
      </c>
      <c r="Y29" s="13"/>
    </row>
    <row r="30">
      <c r="A30" s="28" t="s">
        <v>57</v>
      </c>
      <c r="B30" s="24">
        <f>B3-B20</f>
        <v>19792889</v>
      </c>
      <c r="C30" s="13">
        <f t="shared" si="12"/>
        <v>0.03523452286</v>
      </c>
      <c r="D30" s="24">
        <f>D3-D20</f>
        <v>20490282</v>
      </c>
      <c r="E30" s="13">
        <f t="shared" si="13"/>
        <v>0.1713977875</v>
      </c>
      <c r="F30" s="24">
        <f>F3-F20</f>
        <v>24002271</v>
      </c>
      <c r="G30" s="13">
        <f t="shared" si="14"/>
        <v>-0.1201201336</v>
      </c>
      <c r="H30" s="24">
        <f>H3-H20</f>
        <v>21119115</v>
      </c>
      <c r="I30" s="13">
        <f t="shared" si="15"/>
        <v>0.06575692211</v>
      </c>
      <c r="J30" s="24">
        <f>J3-J20</f>
        <v>22507843</v>
      </c>
      <c r="K30" s="13">
        <f t="shared" si="16"/>
        <v>0.3038131641</v>
      </c>
      <c r="L30" s="24">
        <f>L3-L20</f>
        <v>29346022</v>
      </c>
      <c r="M30" s="13">
        <f t="shared" si="17"/>
        <v>-0.2971819145</v>
      </c>
      <c r="N30" s="24">
        <f>N3-N20</f>
        <v>20624915</v>
      </c>
      <c r="O30" s="13">
        <f t="shared" si="18"/>
        <v>0.0696341294</v>
      </c>
      <c r="P30" s="24">
        <f>P3-P20</f>
        <v>22061113</v>
      </c>
      <c r="Q30" s="13">
        <f t="shared" si="19"/>
        <v>-0.06510088589</v>
      </c>
      <c r="R30" s="24">
        <f>R3-R20</f>
        <v>20624915</v>
      </c>
      <c r="S30" s="13">
        <f t="shared" si="20"/>
        <v>0</v>
      </c>
      <c r="T30" s="24">
        <f>T3-T20</f>
        <v>20624915</v>
      </c>
      <c r="U30" s="13">
        <f t="shared" si="21"/>
        <v>0</v>
      </c>
      <c r="V30" s="24">
        <f>V3-V20</f>
        <v>20624915</v>
      </c>
      <c r="W30" s="13">
        <f t="shared" si="22"/>
        <v>0</v>
      </c>
      <c r="X30" s="24">
        <f>X3-X20</f>
        <v>20624915</v>
      </c>
    </row>
    <row r="31">
      <c r="A31" s="28" t="s">
        <v>58</v>
      </c>
      <c r="B31" s="39">
        <f>B30-ABS(B17)</f>
        <v>19061023</v>
      </c>
      <c r="C31" s="12">
        <f t="shared" si="12"/>
        <v>-0.02428411109</v>
      </c>
      <c r="D31" s="39">
        <f>D30-ABS(D17)</f>
        <v>18598143</v>
      </c>
      <c r="E31" s="12">
        <f t="shared" si="13"/>
        <v>0.2900989631</v>
      </c>
      <c r="F31" s="39">
        <f>F30-ABS(F17)</f>
        <v>23993445</v>
      </c>
      <c r="G31" s="12">
        <f t="shared" si="14"/>
        <v>-0.2744500425</v>
      </c>
      <c r="H31" s="39">
        <f>H30-ABS(H17)</f>
        <v>17408443</v>
      </c>
      <c r="I31" s="12">
        <f t="shared" si="15"/>
        <v>0.02856085406</v>
      </c>
      <c r="J31" s="39">
        <f>J30-ABS(J17)</f>
        <v>17905643</v>
      </c>
      <c r="K31" s="12">
        <f t="shared" si="16"/>
        <v>0.01203642896</v>
      </c>
      <c r="L31" s="39">
        <f>L30-ABS(L17)</f>
        <v>18121163</v>
      </c>
      <c r="M31" s="12">
        <f t="shared" si="17"/>
        <v>0.1357471372</v>
      </c>
      <c r="N31" s="39">
        <f>N30-ABS(N17)</f>
        <v>20581059</v>
      </c>
      <c r="O31" s="12">
        <f t="shared" si="18"/>
        <v>-0.07813781594</v>
      </c>
      <c r="P31" s="39">
        <f>P30-ABS(P17)</f>
        <v>18972900</v>
      </c>
      <c r="Q31" s="12">
        <f t="shared" si="19"/>
        <v>0.0847608431</v>
      </c>
      <c r="R31" s="39">
        <f>R30-ABS(R17)</f>
        <v>20581059</v>
      </c>
      <c r="S31" s="12">
        <f t="shared" si="20"/>
        <v>0</v>
      </c>
      <c r="T31" s="39">
        <f>T30-ABS(T17)</f>
        <v>20581059</v>
      </c>
      <c r="U31" s="12">
        <f t="shared" si="21"/>
        <v>0</v>
      </c>
      <c r="V31" s="39">
        <f>V30-ABS(V17)</f>
        <v>20581059</v>
      </c>
      <c r="W31" s="12">
        <f t="shared" si="22"/>
        <v>0</v>
      </c>
      <c r="X31" s="39">
        <f>X30-ABS(X17)</f>
        <v>20581059</v>
      </c>
    </row>
    <row r="32">
      <c r="A32" s="1" t="s">
        <v>59</v>
      </c>
      <c r="B32" s="15">
        <f>(B40-B39)*B38</f>
        <v>422937</v>
      </c>
      <c r="C32" s="13">
        <f t="shared" si="12"/>
        <v>-1.404315536</v>
      </c>
      <c r="D32" s="15">
        <f>(D40-D39)*D38</f>
        <v>-171000</v>
      </c>
      <c r="E32" s="13">
        <f t="shared" si="13"/>
        <v>-12.98630994</v>
      </c>
      <c r="F32" s="15">
        <f>(F40-F39)*F38</f>
        <v>2049659</v>
      </c>
      <c r="G32" s="13">
        <f t="shared" si="14"/>
        <v>-1.406651545</v>
      </c>
      <c r="H32" s="15">
        <f>(H40-H39)*H38</f>
        <v>-833497</v>
      </c>
      <c r="I32" s="13">
        <f t="shared" si="15"/>
        <v>-1.666146369</v>
      </c>
      <c r="J32" s="15">
        <f>(J40-J39)*J38</f>
        <v>555231</v>
      </c>
      <c r="K32" s="13">
        <f t="shared" si="16"/>
        <v>7.655044477</v>
      </c>
      <c r="L32" s="15">
        <f>(L40-L39)*L38</f>
        <v>4805549</v>
      </c>
      <c r="M32" s="13">
        <f t="shared" si="17"/>
        <v>-1.814799308</v>
      </c>
      <c r="N32" s="15">
        <f>(N40-N39)*N38</f>
        <v>-3915558</v>
      </c>
      <c r="O32" s="13">
        <f t="shared" si="18"/>
        <v>-0.3667926768</v>
      </c>
      <c r="P32" s="15">
        <f>(P40-P39)*P38</f>
        <v>-2479360</v>
      </c>
      <c r="Q32" s="13">
        <f t="shared" si="19"/>
        <v>0.5792615836</v>
      </c>
      <c r="R32" s="15">
        <f>(R40-R39)*R38</f>
        <v>-3915558</v>
      </c>
      <c r="S32" s="13">
        <f t="shared" si="20"/>
        <v>0</v>
      </c>
      <c r="T32" s="15">
        <f>(T40-T39)*T38</f>
        <v>-3915558</v>
      </c>
      <c r="U32" s="13">
        <f t="shared" si="21"/>
        <v>0</v>
      </c>
      <c r="V32" s="15">
        <f>(V40-V39)*V38</f>
        <v>-3915558</v>
      </c>
      <c r="W32" s="13">
        <f t="shared" si="22"/>
        <v>0</v>
      </c>
      <c r="X32" s="15">
        <f>(X40-X39)*X38</f>
        <v>-3915558</v>
      </c>
    </row>
    <row r="33">
      <c r="A33" s="4" t="s">
        <v>60</v>
      </c>
      <c r="B33" s="40">
        <f>B32/B30</f>
        <v>0.02136812873</v>
      </c>
      <c r="C33" s="13">
        <f t="shared" si="12"/>
        <v>-1.390554534</v>
      </c>
      <c r="D33" s="40">
        <f>D32/D30</f>
        <v>-0.008345419551</v>
      </c>
      <c r="E33" s="13">
        <f t="shared" si="13"/>
        <v>-11.2324847</v>
      </c>
      <c r="F33" s="40">
        <f>F32/F30</f>
        <v>0.08539437789</v>
      </c>
      <c r="G33" s="13">
        <f t="shared" si="14"/>
        <v>-1.462167122</v>
      </c>
      <c r="H33" s="40">
        <f>H32/H30</f>
        <v>-0.03946647386</v>
      </c>
      <c r="I33" s="13">
        <f t="shared" si="15"/>
        <v>-1.625045313</v>
      </c>
      <c r="J33" s="40">
        <f>J32/J30</f>
        <v>0.0246683345</v>
      </c>
      <c r="K33" s="13">
        <f t="shared" si="16"/>
        <v>5.63825517</v>
      </c>
      <c r="L33" s="40">
        <f>L32/L30</f>
        <v>0.163754699</v>
      </c>
      <c r="M33" s="13">
        <f t="shared" si="17"/>
        <v>-2.159331732</v>
      </c>
      <c r="N33" s="40">
        <f>N32/N30</f>
        <v>-0.1898460188</v>
      </c>
      <c r="O33" s="13">
        <f t="shared" si="18"/>
        <v>-0.4080150345</v>
      </c>
      <c r="P33" s="40">
        <f>P32/P30</f>
        <v>-0.1123859889</v>
      </c>
      <c r="Q33" s="13">
        <f t="shared" si="19"/>
        <v>0.6892320891</v>
      </c>
      <c r="R33" s="40">
        <f>R32/R30</f>
        <v>-0.1898460188</v>
      </c>
      <c r="S33" s="13">
        <f t="shared" si="20"/>
        <v>0</v>
      </c>
      <c r="T33" s="40">
        <f>T32/T30</f>
        <v>-0.1898460188</v>
      </c>
      <c r="U33" s="13">
        <f t="shared" si="21"/>
        <v>0</v>
      </c>
      <c r="V33" s="40">
        <f>V32/V30</f>
        <v>-0.1898460188</v>
      </c>
      <c r="W33" s="13">
        <f t="shared" si="22"/>
        <v>0</v>
      </c>
      <c r="X33" s="40">
        <f>X32/X30</f>
        <v>-0.1898460188</v>
      </c>
    </row>
    <row r="34">
      <c r="A34" s="4" t="s">
        <v>61</v>
      </c>
      <c r="B34" s="41">
        <f>B44+B32</f>
        <v>37975858.5</v>
      </c>
      <c r="C34" s="13">
        <f t="shared" si="12"/>
        <v>0.5025903549</v>
      </c>
      <c r="D34" s="41">
        <f>D44+D32</f>
        <v>57062158.7</v>
      </c>
      <c r="E34" s="13">
        <f t="shared" si="13"/>
        <v>-0.04750193143</v>
      </c>
      <c r="F34" s="41">
        <f>F44+F32</f>
        <v>54351595.95</v>
      </c>
      <c r="G34" s="13">
        <f t="shared" si="14"/>
        <v>-0.9279775094</v>
      </c>
      <c r="H34" s="41">
        <f>H44+H32</f>
        <v>3914537.31</v>
      </c>
      <c r="I34" s="13">
        <f t="shared" si="15"/>
        <v>20.03172519</v>
      </c>
      <c r="J34" s="41">
        <f>J44+J32</f>
        <v>82329472.94</v>
      </c>
      <c r="K34" s="13">
        <f t="shared" si="16"/>
        <v>-0.3692015319</v>
      </c>
      <c r="L34" s="41">
        <f>L44+L32</f>
        <v>51933305.41</v>
      </c>
      <c r="M34" s="13">
        <f t="shared" si="17"/>
        <v>-0.9441725171</v>
      </c>
      <c r="N34" s="41">
        <f>N44+N32</f>
        <v>2899305.72</v>
      </c>
      <c r="O34" s="13">
        <f t="shared" si="18"/>
        <v>9.02910055</v>
      </c>
      <c r="P34" s="41">
        <f>P44+P32</f>
        <v>29077428.59</v>
      </c>
      <c r="Q34" s="13">
        <f t="shared" si="19"/>
        <v>0.4861079712</v>
      </c>
      <c r="R34" s="41">
        <f>R44+R32</f>
        <v>43212198.41</v>
      </c>
      <c r="S34" s="13">
        <f t="shared" si="20"/>
        <v>0</v>
      </c>
      <c r="T34" s="41">
        <f>T44+T32</f>
        <v>43212198.41</v>
      </c>
      <c r="U34" s="13">
        <f t="shared" si="21"/>
        <v>0</v>
      </c>
      <c r="V34" s="41">
        <f>V44+V32</f>
        <v>43212198.41</v>
      </c>
      <c r="W34" s="13">
        <f t="shared" si="22"/>
        <v>0</v>
      </c>
      <c r="X34" s="41">
        <f>X44+X32</f>
        <v>43212198.41</v>
      </c>
      <c r="Y34" s="13"/>
      <c r="Z34" s="22"/>
    </row>
    <row r="35">
      <c r="A35" s="4" t="s">
        <v>62</v>
      </c>
      <c r="B35" s="42">
        <f>B34/B38</f>
        <v>0.2940832751</v>
      </c>
      <c r="C35" s="13">
        <f t="shared" si="12"/>
        <v>0.5025903549</v>
      </c>
      <c r="D35" s="42">
        <f>D34/D38</f>
        <v>0.4418866926</v>
      </c>
      <c r="E35" s="13">
        <f t="shared" si="13"/>
        <v>-0.04750193143</v>
      </c>
      <c r="F35" s="42">
        <f>F34/F38</f>
        <v>0.4208962213</v>
      </c>
      <c r="G35" s="13">
        <f t="shared" si="14"/>
        <v>-0.9279775094</v>
      </c>
      <c r="H35" s="42">
        <f>H34/H38</f>
        <v>0.03031399415</v>
      </c>
      <c r="I35" s="13">
        <f t="shared" si="15"/>
        <v>20.03172519</v>
      </c>
      <c r="J35" s="42">
        <f>J34/J38</f>
        <v>0.6375555943</v>
      </c>
      <c r="K35" s="13">
        <f t="shared" si="16"/>
        <v>-0.4357209988</v>
      </c>
      <c r="L35" s="42">
        <f>L34/L38</f>
        <v>0.359759234</v>
      </c>
      <c r="M35" s="13">
        <f t="shared" si="17"/>
        <v>-0.9441725171</v>
      </c>
      <c r="N35" s="42">
        <f>N34/N38</f>
        <v>0.02008445249</v>
      </c>
      <c r="O35" s="13">
        <f t="shared" si="18"/>
        <v>9.02910055</v>
      </c>
      <c r="P35" s="42">
        <f>P34/P38</f>
        <v>0.2014289935</v>
      </c>
      <c r="Q35" s="13">
        <f t="shared" si="19"/>
        <v>0.4861079712</v>
      </c>
      <c r="R35" s="42">
        <f>R34/R38</f>
        <v>0.2993452328</v>
      </c>
      <c r="S35" s="13">
        <f t="shared" si="20"/>
        <v>0</v>
      </c>
      <c r="T35" s="42">
        <f>T34/T38</f>
        <v>0.2993452328</v>
      </c>
      <c r="U35" s="13">
        <f t="shared" si="21"/>
        <v>0</v>
      </c>
      <c r="V35" s="42">
        <f>V34/V38</f>
        <v>0.2993452328</v>
      </c>
      <c r="W35" s="13">
        <f t="shared" si="22"/>
        <v>0</v>
      </c>
      <c r="X35" s="42">
        <f>X34/X38</f>
        <v>0.2993452328</v>
      </c>
      <c r="Y35" s="13"/>
      <c r="Z35" s="13"/>
    </row>
    <row r="36">
      <c r="A36" s="28" t="s">
        <v>63</v>
      </c>
      <c r="B36" s="15">
        <v>1.9369952E7</v>
      </c>
      <c r="C36" s="13">
        <f t="shared" si="12"/>
        <v>0.06666665978</v>
      </c>
      <c r="D36" s="15">
        <v>2.0661282E7</v>
      </c>
      <c r="E36" s="13">
        <f t="shared" si="13"/>
        <v>0.06249999395</v>
      </c>
      <c r="F36" s="15">
        <v>2.1952612E7</v>
      </c>
      <c r="G36" s="13">
        <f t="shared" si="14"/>
        <v>0</v>
      </c>
      <c r="H36" s="15">
        <v>2.1952612E7</v>
      </c>
      <c r="I36" s="13">
        <f t="shared" si="15"/>
        <v>0</v>
      </c>
      <c r="J36" s="15">
        <v>2.1952612E7</v>
      </c>
      <c r="K36" s="13">
        <f t="shared" si="16"/>
        <v>0.1178839675</v>
      </c>
      <c r="L36" s="15">
        <v>2.4540473E7</v>
      </c>
      <c r="M36" s="13">
        <f t="shared" si="17"/>
        <v>0</v>
      </c>
      <c r="N36" s="15">
        <v>2.4540473E7</v>
      </c>
      <c r="O36" s="13">
        <f t="shared" si="18"/>
        <v>0</v>
      </c>
      <c r="P36" s="15">
        <v>2.4540473E7</v>
      </c>
      <c r="Q36" s="13">
        <f t="shared" si="19"/>
        <v>0</v>
      </c>
      <c r="R36" s="15">
        <v>2.4540473E7</v>
      </c>
      <c r="S36" s="13">
        <f t="shared" si="20"/>
        <v>0</v>
      </c>
      <c r="T36" s="15">
        <v>2.4540473E7</v>
      </c>
      <c r="U36" s="13">
        <f t="shared" si="21"/>
        <v>0</v>
      </c>
      <c r="V36" s="15">
        <v>2.4540473E7</v>
      </c>
      <c r="W36" s="13">
        <f t="shared" si="22"/>
        <v>0</v>
      </c>
      <c r="X36" s="15">
        <v>2.4540473E7</v>
      </c>
    </row>
    <row r="37">
      <c r="A37" s="1" t="s">
        <v>64</v>
      </c>
      <c r="B37" s="40">
        <f>B36/B30</f>
        <v>0.9786318713</v>
      </c>
      <c r="C37" s="13">
        <f t="shared" si="12"/>
        <v>0.03036233455</v>
      </c>
      <c r="D37" s="40">
        <f>D36/D30</f>
        <v>1.00834542</v>
      </c>
      <c r="E37" s="13">
        <f t="shared" si="13"/>
        <v>-0.09296397407</v>
      </c>
      <c r="F37" s="40">
        <f>F36/F30</f>
        <v>0.9146056221</v>
      </c>
      <c r="G37" s="13">
        <f t="shared" si="14"/>
        <v>0.1365187888</v>
      </c>
      <c r="H37" s="40">
        <f>H36/H30</f>
        <v>1.039466474</v>
      </c>
      <c r="I37" s="13">
        <f t="shared" si="15"/>
        <v>-0.06169973729</v>
      </c>
      <c r="J37" s="40">
        <f>J36/J30</f>
        <v>0.9753316655</v>
      </c>
      <c r="K37" s="13">
        <f t="shared" si="16"/>
        <v>-0.1426041719</v>
      </c>
      <c r="L37" s="40">
        <f>L36/L30</f>
        <v>0.836245301</v>
      </c>
      <c r="M37" s="13">
        <f t="shared" si="17"/>
        <v>0.4228432941</v>
      </c>
      <c r="N37" s="40">
        <f>N36/N30</f>
        <v>1.189846019</v>
      </c>
      <c r="O37" s="13">
        <f t="shared" si="18"/>
        <v>-0.06510088589</v>
      </c>
      <c r="P37" s="40">
        <f>P36/P30</f>
        <v>1.112385989</v>
      </c>
      <c r="Q37" s="13">
        <f t="shared" si="19"/>
        <v>0.0696341294</v>
      </c>
      <c r="R37" s="40">
        <f>R36/R30</f>
        <v>1.189846019</v>
      </c>
      <c r="S37" s="13">
        <f t="shared" si="20"/>
        <v>0</v>
      </c>
      <c r="T37" s="40">
        <f>T36/T30</f>
        <v>1.189846019</v>
      </c>
      <c r="U37" s="13">
        <f t="shared" si="21"/>
        <v>0</v>
      </c>
      <c r="V37" s="40">
        <f>V36/V30</f>
        <v>1.189846019</v>
      </c>
      <c r="W37" s="13">
        <f t="shared" si="22"/>
        <v>0</v>
      </c>
      <c r="X37" s="40">
        <f>X36/X30</f>
        <v>1.189846019</v>
      </c>
    </row>
    <row r="38">
      <c r="A38" s="4" t="s">
        <v>65</v>
      </c>
      <c r="B38" s="48">
        <v>1.2913301E8</v>
      </c>
      <c r="C38" s="13">
        <f t="shared" si="12"/>
        <v>0</v>
      </c>
      <c r="D38" s="48">
        <v>1.2913301E8</v>
      </c>
      <c r="E38" s="13">
        <f t="shared" si="13"/>
        <v>0</v>
      </c>
      <c r="F38" s="48">
        <v>1.2913301E8</v>
      </c>
      <c r="G38" s="13">
        <f t="shared" si="14"/>
        <v>0</v>
      </c>
      <c r="H38" s="48">
        <v>1.2913301E8</v>
      </c>
      <c r="I38" s="13">
        <f t="shared" si="15"/>
        <v>0</v>
      </c>
      <c r="J38" s="48">
        <v>1.2913301E8</v>
      </c>
      <c r="K38" s="13">
        <f t="shared" si="16"/>
        <v>0.1178840019</v>
      </c>
      <c r="L38" s="48">
        <v>1.44355726E8</v>
      </c>
      <c r="M38" s="13">
        <f t="shared" si="17"/>
        <v>0</v>
      </c>
      <c r="N38" s="48">
        <v>1.44355726E8</v>
      </c>
      <c r="O38" s="13">
        <f t="shared" si="18"/>
        <v>0</v>
      </c>
      <c r="P38" s="48">
        <v>1.44355726E8</v>
      </c>
      <c r="Q38" s="13">
        <f t="shared" si="19"/>
        <v>0</v>
      </c>
      <c r="R38" s="48">
        <v>1.44355726E8</v>
      </c>
      <c r="S38" s="13">
        <f t="shared" si="20"/>
        <v>0</v>
      </c>
      <c r="T38" s="48">
        <v>1.44355726E8</v>
      </c>
      <c r="U38" s="13">
        <f t="shared" si="21"/>
        <v>0</v>
      </c>
      <c r="V38" s="48">
        <v>1.44355726E8</v>
      </c>
      <c r="W38" s="13">
        <f t="shared" si="22"/>
        <v>0</v>
      </c>
      <c r="X38" s="48">
        <v>1.44355726E8</v>
      </c>
    </row>
    <row r="39">
      <c r="A39" s="28" t="s">
        <v>66</v>
      </c>
      <c r="B39" s="50">
        <f>B36/B38</f>
        <v>0.1500000039</v>
      </c>
      <c r="C39" s="13">
        <f t="shared" si="12"/>
        <v>0.06666665978</v>
      </c>
      <c r="D39" s="50">
        <f>D36/D38</f>
        <v>0.1600000031</v>
      </c>
      <c r="E39" s="13">
        <f t="shared" si="13"/>
        <v>0.06249999395</v>
      </c>
      <c r="F39" s="50">
        <f>F36/F38</f>
        <v>0.1700000023</v>
      </c>
      <c r="G39" s="13">
        <f t="shared" si="14"/>
        <v>0</v>
      </c>
      <c r="H39" s="50">
        <f>H36/H38</f>
        <v>0.1700000023</v>
      </c>
      <c r="I39" s="13">
        <f t="shared" si="15"/>
        <v>0</v>
      </c>
      <c r="J39" s="50">
        <f>J36/J38</f>
        <v>0.1700000023</v>
      </c>
      <c r="K39" s="13">
        <f t="shared" si="16"/>
        <v>-0.00000003078038369</v>
      </c>
      <c r="L39" s="50">
        <f>L36/L38</f>
        <v>0.1699999971</v>
      </c>
      <c r="M39" s="13">
        <f t="shared" si="17"/>
        <v>0</v>
      </c>
      <c r="N39" s="50">
        <f>N36/N38</f>
        <v>0.1699999971</v>
      </c>
      <c r="O39" s="13">
        <f t="shared" si="18"/>
        <v>0</v>
      </c>
      <c r="P39" s="50">
        <f>P36/P38</f>
        <v>0.1699999971</v>
      </c>
      <c r="Q39" s="13">
        <f t="shared" si="19"/>
        <v>0</v>
      </c>
      <c r="R39" s="50">
        <f>R36/R38</f>
        <v>0.1699999971</v>
      </c>
      <c r="S39" s="13">
        <f t="shared" si="20"/>
        <v>0</v>
      </c>
      <c r="T39" s="50">
        <f>T36/T38</f>
        <v>0.1699999971</v>
      </c>
      <c r="U39" s="13">
        <f t="shared" si="21"/>
        <v>0</v>
      </c>
      <c r="V39" s="50">
        <f>V36/V38</f>
        <v>0.1699999971</v>
      </c>
      <c r="W39" s="13">
        <f t="shared" si="22"/>
        <v>0</v>
      </c>
      <c r="X39" s="50">
        <f>X36/X38</f>
        <v>0.1699999971</v>
      </c>
    </row>
    <row r="40">
      <c r="A40" s="28" t="s">
        <v>67</v>
      </c>
      <c r="B40" s="51">
        <f>B30/B38</f>
        <v>0.1532752083</v>
      </c>
      <c r="C40" s="13">
        <f t="shared" si="12"/>
        <v>0.03523452286</v>
      </c>
      <c r="D40" s="50">
        <f>D30/D38</f>
        <v>0.1586757871</v>
      </c>
      <c r="E40" s="13">
        <f t="shared" si="13"/>
        <v>0.1713977875</v>
      </c>
      <c r="F40" s="50">
        <f>F30/F38</f>
        <v>0.1858724659</v>
      </c>
      <c r="G40" s="13">
        <f t="shared" si="14"/>
        <v>-0.1201201336</v>
      </c>
      <c r="H40" s="51">
        <f>H30/H38</f>
        <v>0.1635454405</v>
      </c>
      <c r="I40" s="13">
        <f t="shared" si="15"/>
        <v>0.06575692211</v>
      </c>
      <c r="J40" s="50">
        <f>J30/J38</f>
        <v>0.1742996853</v>
      </c>
      <c r="K40" s="13">
        <f t="shared" si="16"/>
        <v>0.1663224108</v>
      </c>
      <c r="L40" s="50">
        <f>L30/L38</f>
        <v>0.2032896291</v>
      </c>
      <c r="M40" s="13">
        <f t="shared" si="17"/>
        <v>-0.2971819145</v>
      </c>
      <c r="N40" s="50">
        <f>N30/N38</f>
        <v>0.1428756279</v>
      </c>
      <c r="O40" s="13">
        <f t="shared" si="18"/>
        <v>0.0696341294</v>
      </c>
      <c r="P40" s="50">
        <f>P30/P38</f>
        <v>0.1528246479</v>
      </c>
      <c r="Q40" s="13">
        <f t="shared" si="19"/>
        <v>-0.06510088589</v>
      </c>
      <c r="R40" s="50">
        <f>R30/R38</f>
        <v>0.1428756279</v>
      </c>
      <c r="S40" s="13">
        <f t="shared" si="20"/>
        <v>0</v>
      </c>
      <c r="T40" s="50">
        <f>T30/T38</f>
        <v>0.1428756279</v>
      </c>
      <c r="U40" s="13">
        <f t="shared" si="21"/>
        <v>0</v>
      </c>
      <c r="V40" s="50">
        <f>V30/V38</f>
        <v>0.1428756279</v>
      </c>
      <c r="W40" s="13">
        <f t="shared" si="22"/>
        <v>0</v>
      </c>
      <c r="X40" s="50">
        <f>X30/X38</f>
        <v>0.1428756279</v>
      </c>
    </row>
    <row r="41">
      <c r="A41" s="4" t="s">
        <v>68</v>
      </c>
      <c r="B41" s="51">
        <f>B31/B38</f>
        <v>0.1476076721</v>
      </c>
      <c r="C41" s="13">
        <f t="shared" si="12"/>
        <v>-0.02428411109</v>
      </c>
      <c r="D41" s="50">
        <f>D31/D38</f>
        <v>0.144023151</v>
      </c>
      <c r="E41" s="13">
        <f t="shared" si="13"/>
        <v>0.2900989631</v>
      </c>
      <c r="F41" s="50">
        <f>F31/F38</f>
        <v>0.1858041178</v>
      </c>
      <c r="G41" s="13">
        <f t="shared" si="14"/>
        <v>-0.2744500425</v>
      </c>
      <c r="H41" s="51">
        <f>H31/H38</f>
        <v>0.1348101698</v>
      </c>
      <c r="I41" s="13">
        <f t="shared" si="15"/>
        <v>0.02856085406</v>
      </c>
      <c r="J41" s="50">
        <f>J31/J38</f>
        <v>0.1386604633</v>
      </c>
      <c r="K41" s="13">
        <f t="shared" si="16"/>
        <v>-0.09468564966</v>
      </c>
      <c r="L41" s="50">
        <f>L31/L38</f>
        <v>0.1255313073</v>
      </c>
      <c r="M41" s="13">
        <f t="shared" si="17"/>
        <v>0.1357471372</v>
      </c>
      <c r="N41" s="50">
        <f>N31/N38</f>
        <v>0.1425718229</v>
      </c>
      <c r="O41" s="13">
        <f t="shared" si="18"/>
        <v>-0.07813781594</v>
      </c>
      <c r="P41" s="50">
        <f>P31/P38</f>
        <v>0.131431572</v>
      </c>
      <c r="Q41" s="13">
        <f t="shared" si="19"/>
        <v>0.0847608431</v>
      </c>
      <c r="R41" s="50">
        <f>R31/R38</f>
        <v>0.1425718229</v>
      </c>
      <c r="S41" s="13">
        <f t="shared" si="20"/>
        <v>0</v>
      </c>
      <c r="T41" s="50">
        <f>T31/T38</f>
        <v>0.1425718229</v>
      </c>
      <c r="U41" s="13">
        <f t="shared" si="21"/>
        <v>0</v>
      </c>
      <c r="V41" s="50">
        <f>V31/V38</f>
        <v>0.1425718229</v>
      </c>
      <c r="W41" s="13">
        <f t="shared" si="22"/>
        <v>0</v>
      </c>
      <c r="X41" s="50">
        <f>X31/X38</f>
        <v>0.1425718229</v>
      </c>
    </row>
    <row r="42">
      <c r="A42" s="52"/>
      <c r="B42" s="2" t="s">
        <v>1</v>
      </c>
      <c r="C42" s="3">
        <v>46037.0</v>
      </c>
      <c r="D42" s="2" t="s">
        <v>1</v>
      </c>
      <c r="E42" s="3">
        <v>46079.0</v>
      </c>
      <c r="F42" s="2" t="s">
        <v>1</v>
      </c>
      <c r="G42" s="3">
        <v>46093.0</v>
      </c>
      <c r="H42" s="2" t="s">
        <v>1</v>
      </c>
      <c r="I42" s="3">
        <v>46126.0</v>
      </c>
      <c r="J42" s="2" t="s">
        <v>1</v>
      </c>
      <c r="K42" s="3">
        <v>46154.0</v>
      </c>
      <c r="L42" s="2" t="s">
        <v>1</v>
      </c>
      <c r="M42" s="3">
        <v>46185.0</v>
      </c>
      <c r="N42" s="2" t="s">
        <v>1</v>
      </c>
      <c r="O42" s="3">
        <v>46217.0</v>
      </c>
      <c r="P42" s="2" t="s">
        <v>2</v>
      </c>
      <c r="Q42" s="3">
        <v>46247.0</v>
      </c>
      <c r="R42" s="2" t="s">
        <v>3</v>
      </c>
      <c r="S42" s="3">
        <v>46195.0</v>
      </c>
      <c r="T42" s="2" t="s">
        <v>3</v>
      </c>
      <c r="U42" s="3">
        <v>46195.0</v>
      </c>
      <c r="V42" s="2" t="s">
        <v>3</v>
      </c>
      <c r="W42" s="3">
        <v>46195.0</v>
      </c>
      <c r="X42" s="2" t="s">
        <v>3</v>
      </c>
      <c r="Y42" s="3">
        <v>46195.0</v>
      </c>
    </row>
    <row r="43">
      <c r="A43" s="1" t="s">
        <v>69</v>
      </c>
      <c r="B43" s="1" t="s">
        <v>5</v>
      </c>
      <c r="C43" s="53"/>
      <c r="D43" s="54" t="s">
        <v>6</v>
      </c>
      <c r="E43" s="55"/>
      <c r="F43" s="54" t="s">
        <v>7</v>
      </c>
      <c r="G43" s="55"/>
      <c r="H43" s="54" t="s">
        <v>8</v>
      </c>
      <c r="I43" s="55"/>
      <c r="J43" s="54" t="s">
        <v>9</v>
      </c>
      <c r="K43" s="55"/>
      <c r="L43" s="54" t="s">
        <v>10</v>
      </c>
      <c r="M43" s="55"/>
      <c r="N43" s="54" t="s">
        <v>11</v>
      </c>
      <c r="O43" s="55"/>
      <c r="P43" s="1" t="s">
        <v>12</v>
      </c>
      <c r="Q43" s="53"/>
      <c r="R43" s="1" t="s">
        <v>13</v>
      </c>
      <c r="S43" s="53"/>
      <c r="T43" s="1" t="s">
        <v>14</v>
      </c>
      <c r="U43" s="53"/>
      <c r="V43" s="1" t="s">
        <v>15</v>
      </c>
      <c r="W43" s="53"/>
      <c r="X43" s="1" t="s">
        <v>16</v>
      </c>
    </row>
    <row r="44">
      <c r="A44" s="4" t="s">
        <v>61</v>
      </c>
      <c r="B44" s="56">
        <v>3.75529215E7</v>
      </c>
      <c r="C44" s="13">
        <f t="shared" ref="C44:C47" si="23">IFERROR(SUM((D44/B44)-1),0)</f>
        <v>0.5240667414</v>
      </c>
      <c r="D44" s="57">
        <v>5.72331587E7</v>
      </c>
      <c r="E44" s="13">
        <f t="shared" ref="E44:E47" si="24">IFERROR(SUM((F44/D44)-1),0)</f>
        <v>-0.08616022358</v>
      </c>
      <c r="F44" s="57">
        <v>5.230193695E7</v>
      </c>
      <c r="G44" s="13">
        <f t="shared" ref="G44:G47" si="25">IFERROR(SUM((H44/F44)-1),0)</f>
        <v>-0.9092187673</v>
      </c>
      <c r="H44" s="57">
        <v>4748034.31</v>
      </c>
      <c r="I44" s="13">
        <f t="shared" ref="I44:I47" si="26">IFERROR(SUM((J44/H44)-1),0)</f>
        <v>16.22275717</v>
      </c>
      <c r="J44" s="57">
        <v>8.177424194E7</v>
      </c>
      <c r="K44" s="13">
        <f t="shared" ref="K44:K47" si="27">IFERROR(SUM((L44/J44)-1),0)</f>
        <v>-0.4236845822</v>
      </c>
      <c r="L44" s="57">
        <v>4.712775641E7</v>
      </c>
      <c r="M44" s="13">
        <f t="shared" ref="M44:M47" si="28">IFERROR(SUM((N44/L44)-1),0)</f>
        <v>-0.8553959654</v>
      </c>
      <c r="N44" s="57">
        <v>6814863.72</v>
      </c>
      <c r="O44" s="13">
        <f t="shared" ref="O44:O47" si="29">IFERROR(SUM((P44/N44)-1),0)</f>
        <v>3.630582487</v>
      </c>
      <c r="P44" s="57">
        <v>3.155678859E7</v>
      </c>
      <c r="Q44" s="13">
        <f t="shared" ref="Q44:Q47" si="30">IFERROR(SUM((R44/P44)-1),0)</f>
        <v>0.4934268826</v>
      </c>
      <c r="R44" s="57">
        <v>4.712775641E7</v>
      </c>
      <c r="S44" s="13">
        <f t="shared" ref="S44:S47" si="31">IFERROR(SUM((T44/R44)-1),0)</f>
        <v>0</v>
      </c>
      <c r="T44" s="57">
        <v>4.712775641E7</v>
      </c>
      <c r="U44" s="13">
        <f t="shared" ref="U44:U47" si="32">IFERROR(SUM((V44/T44)-1),0)</f>
        <v>0</v>
      </c>
      <c r="V44" s="57">
        <v>4.712775641E7</v>
      </c>
      <c r="W44" s="13">
        <f t="shared" ref="W44:W47" si="33">IFERROR(SUM((X44/V44)-1),0)</f>
        <v>0</v>
      </c>
      <c r="X44" s="57">
        <v>4.712775641E7</v>
      </c>
    </row>
    <row r="45">
      <c r="A45" s="4" t="s">
        <v>70</v>
      </c>
      <c r="B45" s="58">
        <v>3.19916774413E9</v>
      </c>
      <c r="C45" s="13">
        <f t="shared" si="23"/>
        <v>0.02214922758</v>
      </c>
      <c r="D45" s="58">
        <v>3.27002683857E9</v>
      </c>
      <c r="E45" s="13">
        <f t="shared" si="24"/>
        <v>0.007091633303</v>
      </c>
      <c r="F45" s="58">
        <v>3.2932166698E9</v>
      </c>
      <c r="G45" s="13">
        <f t="shared" si="25"/>
        <v>0.0001830327672</v>
      </c>
      <c r="H45" s="58">
        <v>3.29381943636E9</v>
      </c>
      <c r="I45" s="13">
        <f t="shared" si="26"/>
        <v>0.07049198542</v>
      </c>
      <c r="J45" s="58">
        <v>3.52600730803E9</v>
      </c>
      <c r="K45" s="13">
        <f t="shared" si="27"/>
        <v>-0.0162263851</v>
      </c>
      <c r="L45" s="58">
        <v>3.46879295558E9</v>
      </c>
      <c r="M45" s="13">
        <f t="shared" si="28"/>
        <v>0.008355860595</v>
      </c>
      <c r="N45" s="58">
        <v>3.49777770595E9</v>
      </c>
      <c r="O45" s="13">
        <f t="shared" si="29"/>
        <v>-0.003242278793</v>
      </c>
      <c r="P45" s="58">
        <v>3.48643693547E9</v>
      </c>
      <c r="Q45" s="13">
        <f t="shared" si="30"/>
        <v>-0.005060748327</v>
      </c>
      <c r="R45" s="58">
        <v>3.46879295558E9</v>
      </c>
      <c r="S45" s="13">
        <f t="shared" si="31"/>
        <v>0</v>
      </c>
      <c r="T45" s="58">
        <v>3.46879295558E9</v>
      </c>
      <c r="U45" s="13">
        <f t="shared" si="32"/>
        <v>0</v>
      </c>
      <c r="V45" s="58">
        <v>3.46879295558E9</v>
      </c>
      <c r="W45" s="13">
        <f t="shared" si="33"/>
        <v>0</v>
      </c>
      <c r="X45" s="58">
        <v>3.46879295558E9</v>
      </c>
    </row>
    <row r="46">
      <c r="A46" s="4" t="s">
        <v>71</v>
      </c>
      <c r="B46" s="58">
        <v>6.869661073E7</v>
      </c>
      <c r="C46" s="13">
        <f t="shared" si="23"/>
        <v>-0.04148017798</v>
      </c>
      <c r="D46" s="58">
        <v>6.584706309E7</v>
      </c>
      <c r="E46" s="13">
        <f t="shared" si="24"/>
        <v>-0.09895910272</v>
      </c>
      <c r="F46" s="58">
        <v>5.933089681E7</v>
      </c>
      <c r="G46" s="13">
        <f t="shared" si="25"/>
        <v>-0.01896560461</v>
      </c>
      <c r="H46" s="58">
        <v>5.820565048E7</v>
      </c>
      <c r="I46" s="13">
        <f t="shared" si="26"/>
        <v>-0.04813721412</v>
      </c>
      <c r="J46" s="58">
        <v>5.540379262E7</v>
      </c>
      <c r="K46" s="13">
        <f t="shared" si="27"/>
        <v>0.8839207995</v>
      </c>
      <c r="L46" s="58">
        <v>1.0437635729E8</v>
      </c>
      <c r="M46" s="13">
        <f t="shared" si="28"/>
        <v>-0.01304413715</v>
      </c>
      <c r="N46" s="58">
        <v>1.0301485777E8</v>
      </c>
      <c r="O46" s="13">
        <f t="shared" si="29"/>
        <v>0.01200324533</v>
      </c>
      <c r="P46" s="58">
        <v>1.0425137038E8</v>
      </c>
      <c r="Q46" s="13">
        <f t="shared" si="30"/>
        <v>0.001198899444</v>
      </c>
      <c r="R46" s="58">
        <v>1.0437635729E8</v>
      </c>
      <c r="S46" s="13">
        <f t="shared" si="31"/>
        <v>0</v>
      </c>
      <c r="T46" s="58">
        <v>1.0437635729E8</v>
      </c>
      <c r="U46" s="13">
        <f t="shared" si="32"/>
        <v>0</v>
      </c>
      <c r="V46" s="58">
        <v>1.0437635729E8</v>
      </c>
      <c r="W46" s="13">
        <f t="shared" si="33"/>
        <v>0</v>
      </c>
      <c r="X46" s="58">
        <v>1.0437635729E8</v>
      </c>
    </row>
    <row r="47">
      <c r="A47" s="59" t="s">
        <v>72</v>
      </c>
      <c r="B47" s="24">
        <f>SUM(B44:B46)</f>
        <v>3305417276</v>
      </c>
      <c r="C47" s="13">
        <f t="shared" si="23"/>
        <v>0.02652911166</v>
      </c>
      <c r="D47" s="24">
        <f>SUM(D44:D46)</f>
        <v>3393107060</v>
      </c>
      <c r="E47" s="13">
        <f t="shared" si="24"/>
        <v>0.003460675714</v>
      </c>
      <c r="F47" s="24">
        <f>SUM(F44:F46)</f>
        <v>3404849504</v>
      </c>
      <c r="G47" s="13">
        <f t="shared" si="25"/>
        <v>-0.01411997281</v>
      </c>
      <c r="H47" s="24">
        <f>SUM(H44:H46)</f>
        <v>3356773121</v>
      </c>
      <c r="I47" s="13">
        <f t="shared" si="26"/>
        <v>0.09128177877</v>
      </c>
      <c r="J47" s="24">
        <f>SUM(J44:J46)</f>
        <v>3663185343</v>
      </c>
      <c r="K47" s="13">
        <f t="shared" si="27"/>
        <v>-0.01170791792</v>
      </c>
      <c r="L47" s="24">
        <f>SUM(L44:L46)</f>
        <v>3620297069</v>
      </c>
      <c r="M47" s="13">
        <f t="shared" si="28"/>
        <v>-0.003505138279</v>
      </c>
      <c r="N47" s="24">
        <f>SUM(N44:N46)</f>
        <v>3607607427</v>
      </c>
      <c r="O47" s="13">
        <f t="shared" si="29"/>
        <v>0.004057444524</v>
      </c>
      <c r="P47" s="24">
        <f>SUM(P44:P46)</f>
        <v>3622245094</v>
      </c>
      <c r="Q47" s="13">
        <f t="shared" si="30"/>
        <v>-0.0005377949612</v>
      </c>
      <c r="R47" s="24">
        <f>SUM(R44:R46)</f>
        <v>3620297069</v>
      </c>
      <c r="S47" s="13">
        <f t="shared" si="31"/>
        <v>0</v>
      </c>
      <c r="T47" s="24">
        <f>SUM(T44:T46)</f>
        <v>3620297069</v>
      </c>
      <c r="U47" s="13">
        <f t="shared" si="32"/>
        <v>0</v>
      </c>
      <c r="V47" s="24">
        <f>SUM(V44:V46)</f>
        <v>3620297069</v>
      </c>
      <c r="W47" s="13">
        <f t="shared" si="33"/>
        <v>0</v>
      </c>
      <c r="X47" s="24">
        <f>SUM(X44:X46)</f>
        <v>3620297069</v>
      </c>
    </row>
    <row r="49">
      <c r="A49" s="25" t="s">
        <v>73</v>
      </c>
      <c r="B49" s="15">
        <v>1.510006491E7</v>
      </c>
      <c r="C49" s="13">
        <f t="shared" ref="C49:C60" si="34">IFERROR(SUM((D49/B49)-1),0)</f>
        <v>0.1472736557</v>
      </c>
      <c r="D49" s="15">
        <v>1.732390667E7</v>
      </c>
      <c r="E49" s="13">
        <f t="shared" ref="E49:E60" si="35">IFERROR(SUM((F49/D49)-1),0)</f>
        <v>0.06010829485</v>
      </c>
      <c r="F49" s="15">
        <v>1.836521716E7</v>
      </c>
      <c r="G49" s="13">
        <f t="shared" ref="G49:G60" si="36">IFERROR(SUM((H49/F49)-1),0)</f>
        <v>0.1416205993</v>
      </c>
      <c r="H49" s="15">
        <v>2.096611022E7</v>
      </c>
      <c r="I49" s="13">
        <f t="shared" ref="I49:I60" si="37">IFERROR(SUM((J49/H49)-1),0)</f>
        <v>0.1237058273</v>
      </c>
      <c r="J49" s="15">
        <v>2.355974023E7</v>
      </c>
      <c r="K49" s="13">
        <f t="shared" ref="K49:K60" si="38">IFERROR(SUM((L49/J49)-1),0)</f>
        <v>0.1179058713</v>
      </c>
      <c r="L49" s="15">
        <v>2.633757193E7</v>
      </c>
      <c r="M49" s="13">
        <f t="shared" ref="M49:M60" si="39">IFERROR(SUM((N49/L49)-1),0)</f>
        <v>0.08529275462</v>
      </c>
      <c r="N49" s="15">
        <v>2.858397599E7</v>
      </c>
      <c r="O49" s="13">
        <f t="shared" ref="O49:O60" si="40">IFERROR(SUM((P49/N49)-1),0)</f>
        <v>0.09568648955</v>
      </c>
      <c r="P49" s="15">
        <v>3.131907631E7</v>
      </c>
      <c r="Q49" s="13">
        <f t="shared" ref="Q49:Q60" si="41">IFERROR(SUM((R49/P49)-1),0)</f>
        <v>-0.1590565549</v>
      </c>
      <c r="R49" s="15">
        <v>2.633757193E7</v>
      </c>
      <c r="S49" s="13">
        <f t="shared" ref="S49:S60" si="42">IFERROR(SUM((T49/R49)-1),0)</f>
        <v>0</v>
      </c>
      <c r="T49" s="15">
        <v>2.633757193E7</v>
      </c>
      <c r="U49" s="13">
        <f t="shared" ref="U49:U60" si="43">IFERROR(SUM((V49/T49)-1),0)</f>
        <v>0</v>
      </c>
      <c r="V49" s="15">
        <v>2.633757193E7</v>
      </c>
      <c r="W49" s="13">
        <f t="shared" ref="W49:W57" si="44">IFERROR(SUM((X49/V49)-1),0)</f>
        <v>0</v>
      </c>
      <c r="X49" s="15">
        <v>2.633757193E7</v>
      </c>
    </row>
    <row r="50">
      <c r="A50" s="25" t="s">
        <v>74</v>
      </c>
      <c r="B50" s="15">
        <v>5.3076819063E8</v>
      </c>
      <c r="C50" s="13">
        <f t="shared" si="34"/>
        <v>0.168528064</v>
      </c>
      <c r="D50" s="15">
        <v>6.2021752625E8</v>
      </c>
      <c r="E50" s="13">
        <f t="shared" si="35"/>
        <v>-0.003210561288</v>
      </c>
      <c r="F50" s="15">
        <v>6.1822627987E8</v>
      </c>
      <c r="G50" s="13">
        <f t="shared" si="36"/>
        <v>-0.002285209584</v>
      </c>
      <c r="H50" s="15">
        <v>6.1681350325E8</v>
      </c>
      <c r="I50" s="13">
        <f t="shared" si="37"/>
        <v>-0.000298034153</v>
      </c>
      <c r="J50" s="15">
        <v>6.1662967176E8</v>
      </c>
      <c r="K50" s="13">
        <f t="shared" si="38"/>
        <v>-0.002935259659</v>
      </c>
      <c r="L50" s="15">
        <v>6.1481970356E8</v>
      </c>
      <c r="M50" s="13">
        <f t="shared" si="39"/>
        <v>-0.003628192895</v>
      </c>
      <c r="N50" s="15">
        <v>6.1258901908E8</v>
      </c>
      <c r="O50" s="13">
        <f t="shared" si="40"/>
        <v>-0.003817157796</v>
      </c>
      <c r="P50" s="15">
        <v>6.1025067013E8</v>
      </c>
      <c r="Q50" s="13">
        <f t="shared" si="41"/>
        <v>0.007487142012</v>
      </c>
      <c r="R50" s="15">
        <v>6.1481970356E8</v>
      </c>
      <c r="S50" s="13">
        <f t="shared" si="42"/>
        <v>0</v>
      </c>
      <c r="T50" s="15">
        <v>6.1481970356E8</v>
      </c>
      <c r="U50" s="13">
        <f t="shared" si="43"/>
        <v>0</v>
      </c>
      <c r="V50" s="15">
        <v>6.1481970356E8</v>
      </c>
      <c r="W50" s="13">
        <f t="shared" si="44"/>
        <v>0</v>
      </c>
      <c r="X50" s="15">
        <v>6.1481970356E8</v>
      </c>
    </row>
    <row r="51">
      <c r="A51" s="25" t="s">
        <v>75</v>
      </c>
      <c r="B51" s="26">
        <f>SUM(B49:B50)</f>
        <v>545868255.5</v>
      </c>
      <c r="C51" s="27">
        <f t="shared" si="34"/>
        <v>0.1679401146</v>
      </c>
      <c r="D51" s="26">
        <f>SUM(D49:D50)</f>
        <v>637541432.9</v>
      </c>
      <c r="E51" s="27">
        <f t="shared" si="35"/>
        <v>-0.001489998675</v>
      </c>
      <c r="F51" s="26">
        <f>SUM(F49:F50)</f>
        <v>636591497</v>
      </c>
      <c r="G51" s="27">
        <f t="shared" si="36"/>
        <v>0.001866371834</v>
      </c>
      <c r="H51" s="26">
        <f>SUM(H49:H50)</f>
        <v>637779613.5</v>
      </c>
      <c r="I51" s="27">
        <f t="shared" si="37"/>
        <v>0.00377841886</v>
      </c>
      <c r="J51" s="26">
        <f>SUM(J49:J50)</f>
        <v>640189412</v>
      </c>
      <c r="K51" s="27">
        <f t="shared" si="38"/>
        <v>0.00151183928</v>
      </c>
      <c r="L51" s="26">
        <f>SUM(L49:L50)</f>
        <v>641157275.5</v>
      </c>
      <c r="M51" s="27">
        <f t="shared" si="39"/>
        <v>0.00002451751014</v>
      </c>
      <c r="N51" s="26">
        <f>SUM(N49:N50)</f>
        <v>641172995.1</v>
      </c>
      <c r="O51" s="27">
        <f t="shared" si="40"/>
        <v>0.0006187898945</v>
      </c>
      <c r="P51" s="26">
        <f>SUM(P49:P50)</f>
        <v>641569746.4</v>
      </c>
      <c r="Q51" s="27">
        <f t="shared" si="41"/>
        <v>-0.000642908978</v>
      </c>
      <c r="R51" s="26">
        <f>SUM(R49:R50)</f>
        <v>641157275.5</v>
      </c>
      <c r="S51" s="27">
        <f t="shared" si="42"/>
        <v>0</v>
      </c>
      <c r="T51" s="26">
        <f>SUM(T49:T50)</f>
        <v>641157275.5</v>
      </c>
      <c r="U51" s="27">
        <f t="shared" si="43"/>
        <v>0</v>
      </c>
      <c r="V51" s="26">
        <f>SUM(V49:V50)</f>
        <v>641157275.5</v>
      </c>
      <c r="W51" s="27">
        <f t="shared" si="44"/>
        <v>0</v>
      </c>
      <c r="X51" s="26">
        <f>SUM(X49:X50)</f>
        <v>641157275.5</v>
      </c>
    </row>
    <row r="52">
      <c r="A52" s="1" t="s">
        <v>76</v>
      </c>
      <c r="B52" s="62">
        <f>ABS(B22)/B65</f>
        <v>0.001083051266</v>
      </c>
      <c r="C52" s="31">
        <f t="shared" si="34"/>
        <v>0.2678682145</v>
      </c>
      <c r="D52" s="62">
        <f>ABS(D22)/D65</f>
        <v>0.001373166275</v>
      </c>
      <c r="E52" s="31">
        <f t="shared" si="35"/>
        <v>0.1644829085</v>
      </c>
      <c r="F52" s="62">
        <f>ABS(F22)/F65</f>
        <v>0.001599028658</v>
      </c>
      <c r="G52" s="31">
        <f t="shared" si="36"/>
        <v>-0.0189276337</v>
      </c>
      <c r="H52" s="62">
        <f>ABS(H22)/H65</f>
        <v>0.001568762829</v>
      </c>
      <c r="I52" s="31">
        <f t="shared" si="37"/>
        <v>-0.002720813664</v>
      </c>
      <c r="J52" s="62">
        <f>ABS(J22)/J65</f>
        <v>0.001564494517</v>
      </c>
      <c r="K52" s="31">
        <f t="shared" si="38"/>
        <v>-0.1195813949</v>
      </c>
      <c r="L52" s="62">
        <f>ABS(L22)/L65</f>
        <v>0.001377410081</v>
      </c>
      <c r="M52" s="31">
        <f t="shared" si="39"/>
        <v>0.1113540404</v>
      </c>
      <c r="N52" s="62">
        <f>ABS(N22)/N65</f>
        <v>0.001530790259</v>
      </c>
      <c r="O52" s="31">
        <f t="shared" si="40"/>
        <v>-0.05034786869</v>
      </c>
      <c r="P52" s="62">
        <f>ABS(P22)/P65</f>
        <v>0.001453718232</v>
      </c>
      <c r="Q52" s="31">
        <f t="shared" si="41"/>
        <v>0.04879523417</v>
      </c>
      <c r="R52" s="62">
        <f>ABS(R22)/R65</f>
        <v>0.001524652753</v>
      </c>
      <c r="S52" s="31">
        <f t="shared" si="42"/>
        <v>0</v>
      </c>
      <c r="T52" s="62">
        <f>ABS(T22)/T65</f>
        <v>0.001524652753</v>
      </c>
      <c r="U52" s="31">
        <f t="shared" si="43"/>
        <v>0</v>
      </c>
      <c r="V52" s="62">
        <f>ABS(V22)/V65</f>
        <v>0.001524652753</v>
      </c>
      <c r="W52" s="31">
        <f t="shared" si="44"/>
        <v>0</v>
      </c>
      <c r="X52" s="62">
        <f>ABS(X22)/X65</f>
        <v>0.001524652753</v>
      </c>
    </row>
    <row r="53">
      <c r="A53" s="1" t="s">
        <v>77</v>
      </c>
      <c r="B53" s="31">
        <f>B51/B47</f>
        <v>0.1651435235</v>
      </c>
      <c r="C53" s="31">
        <f t="shared" si="34"/>
        <v>0.1377564468</v>
      </c>
      <c r="D53" s="31">
        <f>D51/D47</f>
        <v>0.1878931085</v>
      </c>
      <c r="E53" s="31">
        <f t="shared" si="35"/>
        <v>-0.004933600796</v>
      </c>
      <c r="F53" s="31">
        <f>F51/F47</f>
        <v>0.1869661189</v>
      </c>
      <c r="G53" s="31">
        <f t="shared" si="36"/>
        <v>0.0162153043</v>
      </c>
      <c r="H53" s="31">
        <f>H51/H47</f>
        <v>0.1899978314</v>
      </c>
      <c r="I53" s="31">
        <f t="shared" si="37"/>
        <v>-0.08018401994</v>
      </c>
      <c r="J53" s="31">
        <f>J51/J47</f>
        <v>0.1747630415</v>
      </c>
      <c r="K53" s="31">
        <f t="shared" si="38"/>
        <v>0.0133763666</v>
      </c>
      <c r="L53" s="31">
        <f>L51/L47</f>
        <v>0.177100736</v>
      </c>
      <c r="M53" s="31">
        <f t="shared" si="39"/>
        <v>0.003542071239</v>
      </c>
      <c r="N53" s="31">
        <f>N51/N47</f>
        <v>0.1777280394</v>
      </c>
      <c r="O53" s="31">
        <f t="shared" si="40"/>
        <v>-0.00342475886</v>
      </c>
      <c r="P53" s="31">
        <f>P51/P47</f>
        <v>0.1771193637</v>
      </c>
      <c r="Q53" s="31">
        <f t="shared" si="41"/>
        <v>-0.000105170577</v>
      </c>
      <c r="R53" s="31">
        <f>R51/R47</f>
        <v>0.177100736</v>
      </c>
      <c r="S53" s="31">
        <f t="shared" si="42"/>
        <v>0</v>
      </c>
      <c r="T53" s="31">
        <f>T51/T47</f>
        <v>0.177100736</v>
      </c>
      <c r="U53" s="31">
        <f t="shared" si="43"/>
        <v>0</v>
      </c>
      <c r="V53" s="31">
        <f>V51/V47</f>
        <v>0.177100736</v>
      </c>
      <c r="W53" s="31">
        <f t="shared" si="44"/>
        <v>0</v>
      </c>
      <c r="X53" s="31">
        <f>X51/X47</f>
        <v>0.177100736</v>
      </c>
    </row>
    <row r="54">
      <c r="A54" s="1" t="s">
        <v>78</v>
      </c>
      <c r="B54" s="31">
        <f>B51/B65</f>
        <v>0.2037238335</v>
      </c>
      <c r="C54" s="31">
        <f t="shared" si="34"/>
        <v>0.1727077398</v>
      </c>
      <c r="D54" s="31">
        <f>D51/D65</f>
        <v>0.2389085163</v>
      </c>
      <c r="E54" s="31">
        <f t="shared" si="35"/>
        <v>-0.005398138608</v>
      </c>
      <c r="F54" s="31">
        <f>F51/F65</f>
        <v>0.237618855</v>
      </c>
      <c r="G54" s="31">
        <f t="shared" si="36"/>
        <v>0.004643684497</v>
      </c>
      <c r="H54" s="31">
        <f>H51/H65</f>
        <v>0.238722282</v>
      </c>
      <c r="I54" s="31">
        <f t="shared" si="37"/>
        <v>0.005573063044</v>
      </c>
      <c r="J54" s="31">
        <f>J51/J65</f>
        <v>0.2400526964</v>
      </c>
      <c r="K54" s="31">
        <f t="shared" si="38"/>
        <v>-0.09214757121</v>
      </c>
      <c r="L54" s="31">
        <f>L51/L65</f>
        <v>0.2179324234</v>
      </c>
      <c r="M54" s="31">
        <f t="shared" si="39"/>
        <v>0.004050126526</v>
      </c>
      <c r="N54" s="31">
        <f>N51/N65</f>
        <v>0.2188150773</v>
      </c>
      <c r="O54" s="31">
        <f t="shared" si="40"/>
        <v>0.003213479354</v>
      </c>
      <c r="P54" s="31">
        <f>P51/P65</f>
        <v>0.219518235</v>
      </c>
      <c r="Q54" s="31">
        <f t="shared" si="41"/>
        <v>-0.007224054175</v>
      </c>
      <c r="R54" s="31">
        <f>R51/R65</f>
        <v>0.2179324234</v>
      </c>
      <c r="S54" s="31">
        <f t="shared" si="42"/>
        <v>0</v>
      </c>
      <c r="T54" s="31">
        <f>T51/T65</f>
        <v>0.2179324234</v>
      </c>
      <c r="U54" s="31">
        <f t="shared" si="43"/>
        <v>0</v>
      </c>
      <c r="V54" s="31">
        <f>V51/V65</f>
        <v>0.2179324234</v>
      </c>
      <c r="W54" s="31">
        <f t="shared" si="44"/>
        <v>0</v>
      </c>
      <c r="X54" s="31">
        <f>X51/X65</f>
        <v>0.2179324234</v>
      </c>
    </row>
    <row r="55">
      <c r="A55" s="4" t="s">
        <v>79</v>
      </c>
      <c r="B55" s="15">
        <f>B36</f>
        <v>19369952</v>
      </c>
      <c r="C55" s="13">
        <f t="shared" si="34"/>
        <v>0.06666665978</v>
      </c>
      <c r="D55" s="15">
        <f>D36</f>
        <v>20661282</v>
      </c>
      <c r="E55" s="13">
        <f t="shared" si="35"/>
        <v>0.06249999395</v>
      </c>
      <c r="F55" s="15">
        <f>F36</f>
        <v>21952612</v>
      </c>
      <c r="G55" s="13">
        <f t="shared" si="36"/>
        <v>0</v>
      </c>
      <c r="H55" s="15">
        <f>H36</f>
        <v>21952612</v>
      </c>
      <c r="I55" s="13">
        <f t="shared" si="37"/>
        <v>0</v>
      </c>
      <c r="J55" s="15">
        <f>J36</f>
        <v>21952612</v>
      </c>
      <c r="K55" s="13">
        <f t="shared" si="38"/>
        <v>0.1178839675</v>
      </c>
      <c r="L55" s="15">
        <f>L36</f>
        <v>24540473</v>
      </c>
      <c r="M55" s="13">
        <f t="shared" si="39"/>
        <v>0</v>
      </c>
      <c r="N55" s="15">
        <f>N36</f>
        <v>24540473</v>
      </c>
      <c r="O55" s="13">
        <f t="shared" si="40"/>
        <v>0</v>
      </c>
      <c r="P55" s="15">
        <f>P36</f>
        <v>24540473</v>
      </c>
      <c r="Q55" s="13">
        <f t="shared" si="41"/>
        <v>0</v>
      </c>
      <c r="R55" s="15">
        <f>R36</f>
        <v>24540473</v>
      </c>
      <c r="S55" s="13">
        <f t="shared" si="42"/>
        <v>0</v>
      </c>
      <c r="T55" s="15">
        <f>T36</f>
        <v>24540473</v>
      </c>
      <c r="U55" s="13">
        <f t="shared" si="43"/>
        <v>0</v>
      </c>
      <c r="V55" s="15">
        <f>V36</f>
        <v>24540473</v>
      </c>
      <c r="W55" s="13">
        <f t="shared" si="44"/>
        <v>0</v>
      </c>
      <c r="X55" s="15">
        <f>X36</f>
        <v>24540473</v>
      </c>
    </row>
    <row r="56">
      <c r="A56" s="65" t="s">
        <v>80</v>
      </c>
      <c r="B56" s="67">
        <v>1355589.15</v>
      </c>
      <c r="C56" s="68">
        <f t="shared" si="34"/>
        <v>-0.04778861648</v>
      </c>
      <c r="D56" s="67">
        <v>1290807.42</v>
      </c>
      <c r="E56" s="68">
        <f t="shared" si="35"/>
        <v>-0.1355786907</v>
      </c>
      <c r="F56" s="67">
        <v>1115801.44</v>
      </c>
      <c r="G56" s="68">
        <f t="shared" si="36"/>
        <v>0.2348791735</v>
      </c>
      <c r="H56" s="67">
        <v>1377879.96</v>
      </c>
      <c r="I56" s="68">
        <f t="shared" si="37"/>
        <v>-0.07089144398</v>
      </c>
      <c r="J56" s="67">
        <v>1280200.06</v>
      </c>
      <c r="K56" s="68">
        <f t="shared" si="38"/>
        <v>0.06173308569</v>
      </c>
      <c r="L56" s="67">
        <v>1359230.76</v>
      </c>
      <c r="M56" s="68">
        <f t="shared" si="39"/>
        <v>0.04036920118</v>
      </c>
      <c r="N56" s="67">
        <v>1414101.82</v>
      </c>
      <c r="O56" s="68">
        <f t="shared" si="40"/>
        <v>0.07678098455</v>
      </c>
      <c r="P56" s="67">
        <v>1522677.95</v>
      </c>
      <c r="Q56" s="68">
        <f t="shared" si="41"/>
        <v>-0.1073419301</v>
      </c>
      <c r="R56" s="67">
        <v>1359230.76</v>
      </c>
      <c r="S56" s="68">
        <f t="shared" si="42"/>
        <v>0</v>
      </c>
      <c r="T56" s="67">
        <v>1359230.76</v>
      </c>
      <c r="U56" s="68">
        <f t="shared" si="43"/>
        <v>0</v>
      </c>
      <c r="V56" s="67">
        <v>1359230.76</v>
      </c>
      <c r="W56" s="68">
        <f t="shared" si="44"/>
        <v>0</v>
      </c>
      <c r="X56" s="67">
        <v>1359230.76</v>
      </c>
    </row>
    <row r="57">
      <c r="A57" s="1" t="s">
        <v>81</v>
      </c>
      <c r="B57" s="62">
        <f>IFERROR(B56/B31,0)</f>
        <v>0.07111838383</v>
      </c>
      <c r="C57" s="31">
        <f t="shared" si="34"/>
        <v>-0.02408949743</v>
      </c>
      <c r="D57" s="62">
        <f>IFERROR(D56/D31,0)</f>
        <v>0.06940517771</v>
      </c>
      <c r="E57" s="31">
        <f t="shared" si="35"/>
        <v>-0.3299573645</v>
      </c>
      <c r="F57" s="62">
        <f>IFERROR(F56/F31,0)</f>
        <v>0.04650442819</v>
      </c>
      <c r="G57" s="31">
        <f t="shared" si="36"/>
        <v>0.7019905531</v>
      </c>
      <c r="H57" s="62">
        <f>IFERROR(H56/H31,0)</f>
        <v>0.07915009746</v>
      </c>
      <c r="I57" s="31">
        <f t="shared" si="37"/>
        <v>-0.09669072827</v>
      </c>
      <c r="J57" s="62">
        <f>IFERROR(J56/J31,0)</f>
        <v>0.07149701689</v>
      </c>
      <c r="K57" s="31">
        <f t="shared" si="38"/>
        <v>0.04910560065</v>
      </c>
      <c r="L57" s="62">
        <f>IFERROR(L56/L31,0)</f>
        <v>0.07500792085</v>
      </c>
      <c r="M57" s="31">
        <f t="shared" si="39"/>
        <v>-0.08397814346</v>
      </c>
      <c r="N57" s="62">
        <f>IFERROR(N56/N31,0)</f>
        <v>0.06870889491</v>
      </c>
      <c r="O57" s="31">
        <f t="shared" si="40"/>
        <v>0.1680498486</v>
      </c>
      <c r="P57" s="62">
        <f>IFERROR(P56/P31,0)</f>
        <v>0.0802554143</v>
      </c>
      <c r="Q57" s="31">
        <f t="shared" si="41"/>
        <v>-0.177092282</v>
      </c>
      <c r="R57" s="62">
        <f>IFERROR(R56/R31,0)</f>
        <v>0.06604279984</v>
      </c>
      <c r="S57" s="31">
        <f t="shared" si="42"/>
        <v>0</v>
      </c>
      <c r="T57" s="62">
        <f>IFERROR(T56/T31,0)</f>
        <v>0.06604279984</v>
      </c>
      <c r="U57" s="31">
        <f t="shared" si="43"/>
        <v>0</v>
      </c>
      <c r="V57" s="62">
        <f>IFERROR(V56/V31,0)</f>
        <v>0.06604279984</v>
      </c>
      <c r="W57" s="31">
        <f t="shared" si="44"/>
        <v>0</v>
      </c>
      <c r="X57" s="62">
        <f>IFERROR(X56/X31,0)</f>
        <v>0.06604279984</v>
      </c>
      <c r="Y57" s="13"/>
    </row>
    <row r="58">
      <c r="A58" s="25" t="s">
        <v>82</v>
      </c>
      <c r="B58" s="63">
        <f>IFERROR(B56/(B86*B38),0)*12</f>
        <v>0.00629857145</v>
      </c>
      <c r="C58" s="27">
        <f t="shared" si="34"/>
        <v>-0.08353091096</v>
      </c>
      <c r="D58" s="63">
        <f>IFERROR(D56/(D86*D38),0)*12</f>
        <v>0.005772446039</v>
      </c>
      <c r="E58" s="27">
        <f t="shared" si="35"/>
        <v>-0.1271780949</v>
      </c>
      <c r="F58" s="63">
        <f>IFERROR(F56/(F86*F38),0)*12</f>
        <v>0.005038317349</v>
      </c>
      <c r="G58" s="27">
        <f t="shared" si="36"/>
        <v>0.24333725</v>
      </c>
      <c r="H58" s="63">
        <f>IFERROR(H56/(H86*H38),0)*12</f>
        <v>0.006264327637</v>
      </c>
      <c r="I58" s="27">
        <f t="shared" si="37"/>
        <v>-0.08609341266</v>
      </c>
      <c r="J58" s="63">
        <f>IFERROR(J56/(J86*J38),0)*12</f>
        <v>0.005725010293</v>
      </c>
      <c r="K58" s="27">
        <f t="shared" si="38"/>
        <v>-0.01564947716</v>
      </c>
      <c r="L58" s="63">
        <f>IFERROR(L56/(L86*L38),0)*12</f>
        <v>0.005635416875</v>
      </c>
      <c r="M58" s="27">
        <f t="shared" si="39"/>
        <v>0.06971294788</v>
      </c>
      <c r="N58" s="63">
        <f>IFERROR(N56/(N86*N38),0)*12</f>
        <v>0.006028278398</v>
      </c>
      <c r="O58" s="27">
        <f t="shared" si="40"/>
        <v>0.09703391843</v>
      </c>
      <c r="P58" s="63">
        <f>IFERROR(P56/(P86*P38),0)*12</f>
        <v>0.006613225872</v>
      </c>
      <c r="Q58" s="27">
        <f t="shared" si="41"/>
        <v>-0.1073419301</v>
      </c>
      <c r="R58" s="63">
        <f>IFERROR(R56/(R86*R38),0)*12</f>
        <v>0.005903349443</v>
      </c>
      <c r="S58" s="27">
        <f t="shared" si="42"/>
        <v>0</v>
      </c>
      <c r="T58" s="63">
        <f>IFERROR(T56/(T86*T38),0)*12</f>
        <v>0.005903349443</v>
      </c>
      <c r="U58" s="27">
        <f t="shared" si="43"/>
        <v>0</v>
      </c>
      <c r="V58" s="63">
        <f>IFERROR(V56/(V86*V38),0)*12</f>
        <v>0.005903349443</v>
      </c>
      <c r="W58" s="27">
        <f>IFERROR(SUM((X58/V62)-1),0)</f>
        <v>-1</v>
      </c>
      <c r="X58" s="63">
        <f>IFERROR(X56/(X86*X38),0)*12</f>
        <v>0.005903349443</v>
      </c>
    </row>
    <row r="59">
      <c r="A59" s="65" t="s">
        <v>83</v>
      </c>
      <c r="B59" s="67">
        <v>2.282850172E7</v>
      </c>
      <c r="C59" s="68">
        <f t="shared" si="34"/>
        <v>0.229246666</v>
      </c>
      <c r="D59" s="67">
        <v>2.806185963E7</v>
      </c>
      <c r="E59" s="68">
        <f t="shared" si="35"/>
        <v>0.02495390716</v>
      </c>
      <c r="F59" s="67">
        <v>2.876211267E7</v>
      </c>
      <c r="G59" s="68">
        <f t="shared" si="36"/>
        <v>-0.1647127979</v>
      </c>
      <c r="H59" s="67">
        <v>2.402462462E7</v>
      </c>
      <c r="I59" s="68">
        <f t="shared" si="37"/>
        <v>12.85631619</v>
      </c>
      <c r="J59" s="67">
        <v>3.32892795E8</v>
      </c>
      <c r="K59" s="68">
        <f t="shared" si="38"/>
        <v>-0.9662362881</v>
      </c>
      <c r="L59" s="67">
        <v>1.123969641E7</v>
      </c>
      <c r="M59" s="68">
        <f t="shared" si="39"/>
        <v>-0.08582640356</v>
      </c>
      <c r="N59" s="67">
        <v>1.027503369E7</v>
      </c>
      <c r="O59" s="68">
        <f t="shared" si="40"/>
        <v>-0.01244023366</v>
      </c>
      <c r="P59" s="67">
        <v>1.014720987E7</v>
      </c>
      <c r="Q59" s="68">
        <f t="shared" si="41"/>
        <v>0.1076637375</v>
      </c>
      <c r="R59" s="67">
        <v>1.123969641E7</v>
      </c>
      <c r="S59" s="68">
        <f t="shared" si="42"/>
        <v>0</v>
      </c>
      <c r="T59" s="67">
        <v>1.123969641E7</v>
      </c>
      <c r="U59" s="68">
        <f t="shared" si="43"/>
        <v>0</v>
      </c>
      <c r="V59" s="67">
        <v>1.123969641E7</v>
      </c>
      <c r="W59" s="68">
        <f t="shared" ref="W59:W60" si="45">IFERROR(SUM((X59/V59)-1),0)</f>
        <v>0</v>
      </c>
      <c r="X59" s="67">
        <v>1.123969641E7</v>
      </c>
    </row>
    <row r="60">
      <c r="A60" s="65" t="s">
        <v>219</v>
      </c>
      <c r="B60" s="67">
        <v>3.654286776E7</v>
      </c>
      <c r="C60" s="68">
        <f t="shared" si="34"/>
        <v>0.0123135295</v>
      </c>
      <c r="D60" s="67">
        <v>3.699283944E7</v>
      </c>
      <c r="E60" s="68">
        <f t="shared" si="35"/>
        <v>0.01054521323</v>
      </c>
      <c r="F60" s="67">
        <v>3.738293682E7</v>
      </c>
      <c r="G60" s="68">
        <f t="shared" si="36"/>
        <v>-1</v>
      </c>
      <c r="H60" s="67">
        <v>0.0</v>
      </c>
      <c r="I60" s="68">
        <f t="shared" si="37"/>
        <v>0</v>
      </c>
      <c r="J60" s="67">
        <v>0.0</v>
      </c>
      <c r="K60" s="68">
        <f t="shared" si="38"/>
        <v>0</v>
      </c>
      <c r="L60" s="67">
        <v>0.0</v>
      </c>
      <c r="M60" s="68">
        <f t="shared" si="39"/>
        <v>0</v>
      </c>
      <c r="N60" s="67">
        <v>0.0</v>
      </c>
      <c r="O60" s="68">
        <f t="shared" si="40"/>
        <v>0</v>
      </c>
      <c r="P60" s="67">
        <v>2.183878116E7</v>
      </c>
      <c r="Q60" s="68">
        <f t="shared" si="41"/>
        <v>-1</v>
      </c>
      <c r="R60" s="67">
        <v>0.0</v>
      </c>
      <c r="S60" s="68">
        <f t="shared" si="42"/>
        <v>0</v>
      </c>
      <c r="T60" s="67">
        <v>0.0</v>
      </c>
      <c r="U60" s="68">
        <f t="shared" si="43"/>
        <v>0</v>
      </c>
      <c r="V60" s="67">
        <v>0.0</v>
      </c>
      <c r="W60" s="68">
        <f t="shared" si="45"/>
        <v>0</v>
      </c>
      <c r="X60" s="67">
        <v>0.0</v>
      </c>
    </row>
    <row r="62">
      <c r="A62" s="25" t="s">
        <v>84</v>
      </c>
      <c r="B62" s="26">
        <f>SUM(B56,B51,B55,B59,B60)</f>
        <v>625965166.2</v>
      </c>
      <c r="C62" s="27">
        <f t="shared" ref="C62:C65" si="46">IFERROR(SUM((D62/B62)-1),0)</f>
        <v>0.1574896824</v>
      </c>
      <c r="D62" s="26">
        <f>SUM(D56,D51,D55,D59,D60)</f>
        <v>724548221.4</v>
      </c>
      <c r="E62" s="27">
        <f t="shared" ref="E62:E65" si="47">IFERROR(SUM((F62/D62)-1),0)</f>
        <v>0.001734513332</v>
      </c>
      <c r="F62" s="26">
        <f>SUM(F56,F51,F55,F59,F60)</f>
        <v>725804960</v>
      </c>
      <c r="G62" s="27">
        <f t="shared" ref="G62:G65" si="48">IFERROR(SUM((H62/F62)-1),0)</f>
        <v>-0.05603465415</v>
      </c>
      <c r="H62" s="26">
        <f>SUM(H56,H51,H55,H59,H60)</f>
        <v>685134730.1</v>
      </c>
      <c r="I62" s="27">
        <f t="shared" ref="I62:I65" si="49">IFERROR(SUM((J62/H62)-1),0)</f>
        <v>0.4541884616</v>
      </c>
      <c r="J62" s="26">
        <f>SUM(J56,J51,J55,J59,J60)</f>
        <v>996315019.1</v>
      </c>
      <c r="K62" s="27">
        <f t="shared" ref="K62:K65" si="50">IFERROR(SUM((L62/J62)-1),0)</f>
        <v>-0.3191945693</v>
      </c>
      <c r="L62" s="26">
        <f>SUM(L56,L51,L55,L59,L60)</f>
        <v>678296675.7</v>
      </c>
      <c r="M62" s="27">
        <f t="shared" ref="M62:M65" si="51">IFERROR(SUM((N62/L62)-1),0)</f>
        <v>-0.00131811361</v>
      </c>
      <c r="N62" s="26">
        <f>SUM(N56,N51,N55,N59,N60)</f>
        <v>677402603.6</v>
      </c>
      <c r="O62" s="27">
        <f t="shared" ref="O62:O65" si="52">IFERROR(SUM((P62/N62)-1),0)</f>
        <v>0.03279627909</v>
      </c>
      <c r="P62" s="26">
        <f>SUM(P56,P51,P55,P59,P60)</f>
        <v>699618888.4</v>
      </c>
      <c r="Q62" s="27">
        <f t="shared" ref="Q62:Q65" si="53">IFERROR(SUM((R62/P62)-1),0)</f>
        <v>-0.03047689694</v>
      </c>
      <c r="R62" s="26">
        <f>SUM(R56,R51,R55,R59,R60)</f>
        <v>678296675.7</v>
      </c>
      <c r="S62" s="27">
        <f t="shared" ref="S62:S65" si="54">IFERROR(SUM((T62/R62)-1),0)</f>
        <v>0</v>
      </c>
      <c r="T62" s="26">
        <f>SUM(T56,T51,T55,T59,T60)</f>
        <v>678296675.7</v>
      </c>
      <c r="U62" s="27">
        <f t="shared" ref="U62:U65" si="55">IFERROR(SUM((V62/T62)-1),0)</f>
        <v>0</v>
      </c>
      <c r="V62" s="26">
        <f>SUM(V56,V51,V55,V59,V60)</f>
        <v>678296675.7</v>
      </c>
      <c r="W62" s="27">
        <f t="shared" ref="W62:W65" si="56">IFERROR(SUM((X62/V62)-1),0)</f>
        <v>0</v>
      </c>
      <c r="X62" s="26">
        <f>SUM(X56,X51,X55,X59,X60)</f>
        <v>678296675.7</v>
      </c>
    </row>
    <row r="63">
      <c r="A63" s="4" t="s">
        <v>85</v>
      </c>
      <c r="B63" s="13">
        <f>(B47/B65)-1</f>
        <v>0.2336168517</v>
      </c>
      <c r="C63" s="13">
        <f t="shared" si="46"/>
        <v>0.1622146482</v>
      </c>
      <c r="D63" s="13">
        <f>(D47/D65)-1</f>
        <v>0.2715129271</v>
      </c>
      <c r="E63" s="13">
        <f t="shared" si="47"/>
        <v>-0.00218624725</v>
      </c>
      <c r="F63" s="13">
        <f>(F47/F65)-1</f>
        <v>0.2709193327</v>
      </c>
      <c r="G63" s="13">
        <f t="shared" si="48"/>
        <v>-0.05341785117</v>
      </c>
      <c r="H63" s="13">
        <f>(H47/H65)-1</f>
        <v>0.2564474041</v>
      </c>
      <c r="I63" s="13">
        <f t="shared" si="49"/>
        <v>0.4567883888</v>
      </c>
      <c r="J63" s="13">
        <f>(J47/J65)-1</f>
        <v>0.3735896006</v>
      </c>
      <c r="K63" s="13">
        <f t="shared" si="50"/>
        <v>-0.3828621494</v>
      </c>
      <c r="L63" s="13">
        <f>(L47/L65)-1</f>
        <v>0.2305562831</v>
      </c>
      <c r="M63" s="13">
        <f t="shared" si="51"/>
        <v>0.00270209063</v>
      </c>
      <c r="N63" s="13">
        <f>(N47/N65)-1</f>
        <v>0.2311792671</v>
      </c>
      <c r="O63" s="13">
        <f t="shared" si="52"/>
        <v>0.03547440751</v>
      </c>
      <c r="P63" s="13">
        <f>(P47/P65)-1</f>
        <v>0.2393802146</v>
      </c>
      <c r="Q63" s="13">
        <f t="shared" si="53"/>
        <v>-0.03686157402</v>
      </c>
      <c r="R63" s="13">
        <f>(R47/R65)-1</f>
        <v>0.2305562831</v>
      </c>
      <c r="S63" s="13">
        <f t="shared" si="54"/>
        <v>0</v>
      </c>
      <c r="T63" s="13">
        <f>(T47/T65)-1</f>
        <v>0.2305562831</v>
      </c>
      <c r="U63" s="13">
        <f t="shared" si="55"/>
        <v>0</v>
      </c>
      <c r="V63" s="13">
        <f>(V47/V65)-1</f>
        <v>0.2305562831</v>
      </c>
      <c r="W63" s="13">
        <f t="shared" si="56"/>
        <v>0</v>
      </c>
      <c r="X63" s="13">
        <f>(X47/X65)-1</f>
        <v>0.2305562831</v>
      </c>
    </row>
    <row r="64">
      <c r="A64" s="1" t="s">
        <v>86</v>
      </c>
      <c r="B64" s="69">
        <f>B31/ABS(B22)</f>
        <v>6.568272947</v>
      </c>
      <c r="C64" s="13">
        <f t="shared" si="46"/>
        <v>-0.2272865364</v>
      </c>
      <c r="D64" s="69">
        <f>D31/ABS(D22)</f>
        <v>5.075392939</v>
      </c>
      <c r="E64" s="13">
        <f t="shared" si="47"/>
        <v>0.1035366366</v>
      </c>
      <c r="F64" s="69">
        <f>F31/ABS(F22)</f>
        <v>5.600882053</v>
      </c>
      <c r="G64" s="13">
        <f t="shared" si="48"/>
        <v>-0.2584020224</v>
      </c>
      <c r="H64" s="69">
        <f>H31/ABS(H22)</f>
        <v>4.153602803</v>
      </c>
      <c r="I64" s="13">
        <f t="shared" si="49"/>
        <v>0.03321098104</v>
      </c>
      <c r="J64" s="69">
        <f>J31/ABS(J22)</f>
        <v>4.291548027</v>
      </c>
      <c r="K64" s="13">
        <f t="shared" si="50"/>
        <v>0.04199613031</v>
      </c>
      <c r="L64" s="69">
        <f>L31/ABS(L22)</f>
        <v>4.471776437</v>
      </c>
      <c r="M64" s="13">
        <f t="shared" si="51"/>
        <v>0.02606285451</v>
      </c>
      <c r="N64" s="69">
        <f>N31/ABS(N22)</f>
        <v>4.588323696</v>
      </c>
      <c r="O64" s="13">
        <f t="shared" si="52"/>
        <v>-0.02674608893</v>
      </c>
      <c r="P64" s="69">
        <f>P31/ABS(P22)</f>
        <v>4.465603982</v>
      </c>
      <c r="Q64" s="13">
        <f t="shared" si="53"/>
        <v>0.0274811009</v>
      </c>
      <c r="R64" s="69">
        <f>R31/ABS(R22)</f>
        <v>4.588323696</v>
      </c>
      <c r="S64" s="13">
        <f t="shared" si="54"/>
        <v>0</v>
      </c>
      <c r="T64" s="69">
        <f>T31/ABS(T22)</f>
        <v>4.588323696</v>
      </c>
      <c r="U64" s="13">
        <f t="shared" si="55"/>
        <v>0</v>
      </c>
      <c r="V64" s="69">
        <f>V31/ABS(V22)</f>
        <v>4.588323696</v>
      </c>
      <c r="W64" s="13">
        <f t="shared" si="56"/>
        <v>0</v>
      </c>
      <c r="X64" s="69">
        <f>X31/ABS(X22)</f>
        <v>4.588323696</v>
      </c>
    </row>
    <row r="65">
      <c r="A65" s="28" t="s">
        <v>87</v>
      </c>
      <c r="B65" s="22">
        <f>SUM(B47-B62)</f>
        <v>2679452110</v>
      </c>
      <c r="C65" s="13">
        <f t="shared" si="46"/>
        <v>-0.004065484581</v>
      </c>
      <c r="D65" s="22">
        <f>SUM(D47-D62)</f>
        <v>2668558839</v>
      </c>
      <c r="E65" s="13">
        <f t="shared" si="47"/>
        <v>0.003929351115</v>
      </c>
      <c r="F65" s="22">
        <f>SUM(F47-F62)</f>
        <v>2679044544</v>
      </c>
      <c r="G65" s="13">
        <f t="shared" si="48"/>
        <v>-0.002764475312</v>
      </c>
      <c r="H65" s="22">
        <f>SUM(H47-H62)</f>
        <v>2671638391</v>
      </c>
      <c r="I65" s="13">
        <f t="shared" si="49"/>
        <v>-0.00178469795</v>
      </c>
      <c r="J65" s="22">
        <f>SUM(J47-J62)</f>
        <v>2666870324</v>
      </c>
      <c r="K65" s="13">
        <f t="shared" si="50"/>
        <v>0.1031658974</v>
      </c>
      <c r="L65" s="22">
        <f>SUM(L47-L62)</f>
        <v>2942000394</v>
      </c>
      <c r="M65" s="13">
        <f t="shared" si="51"/>
        <v>-0.004009370558</v>
      </c>
      <c r="N65" s="22">
        <f>SUM(N47-N62)</f>
        <v>2930204824</v>
      </c>
      <c r="O65" s="13">
        <f t="shared" si="52"/>
        <v>-0.002586378187</v>
      </c>
      <c r="P65" s="22">
        <f>SUM(P47-P62)</f>
        <v>2922626206</v>
      </c>
      <c r="Q65" s="13">
        <f t="shared" si="53"/>
        <v>0.006629033696</v>
      </c>
      <c r="R65" s="22">
        <f>SUM(R47-R62)</f>
        <v>2942000394</v>
      </c>
      <c r="S65" s="13">
        <f t="shared" si="54"/>
        <v>0</v>
      </c>
      <c r="T65" s="22">
        <f>SUM(T47-T62)</f>
        <v>2942000394</v>
      </c>
      <c r="U65" s="13">
        <f t="shared" si="55"/>
        <v>0</v>
      </c>
      <c r="V65" s="22">
        <f>SUM(V47-V62)</f>
        <v>2942000394</v>
      </c>
      <c r="W65" s="13">
        <f t="shared" si="56"/>
        <v>0</v>
      </c>
      <c r="X65" s="22">
        <f>SUM(X47-X62)</f>
        <v>2942000394</v>
      </c>
      <c r="Y65" s="15"/>
    </row>
    <row r="66">
      <c r="A66" s="52"/>
      <c r="B66" s="2" t="s">
        <v>1</v>
      </c>
      <c r="C66" s="3">
        <f>$C$1</f>
        <v>46041</v>
      </c>
      <c r="D66" s="2" t="s">
        <v>1</v>
      </c>
      <c r="E66" s="3">
        <f>$E$1</f>
        <v>46077</v>
      </c>
      <c r="F66" s="2" t="s">
        <v>1</v>
      </c>
      <c r="G66" s="3">
        <f>$G$1</f>
        <v>46099</v>
      </c>
      <c r="H66" s="2" t="s">
        <v>1</v>
      </c>
      <c r="I66" s="3">
        <f>$I$1</f>
        <v>46122</v>
      </c>
      <c r="J66" s="2" t="s">
        <v>1</v>
      </c>
      <c r="K66" s="3">
        <f>$K$1</f>
        <v>46157</v>
      </c>
      <c r="L66" s="2" t="s">
        <v>1</v>
      </c>
      <c r="M66" s="3">
        <f>$M$1</f>
        <v>46185</v>
      </c>
      <c r="N66" s="2" t="s">
        <v>1</v>
      </c>
      <c r="O66" s="3">
        <f>$O$1</f>
        <v>46218</v>
      </c>
      <c r="P66" s="2" t="s">
        <v>2</v>
      </c>
      <c r="Q66" s="3">
        <f>$Q$1</f>
        <v>46195</v>
      </c>
      <c r="R66" s="2" t="s">
        <v>3</v>
      </c>
      <c r="S66" s="3">
        <f>$S$1</f>
        <v>46195</v>
      </c>
      <c r="T66" s="2" t="s">
        <v>3</v>
      </c>
      <c r="U66" s="3">
        <f>$U$1</f>
        <v>46195</v>
      </c>
      <c r="V66" s="2" t="s">
        <v>3</v>
      </c>
      <c r="W66" s="3">
        <f>$W$1</f>
        <v>46195</v>
      </c>
      <c r="X66" s="2" t="s">
        <v>3</v>
      </c>
      <c r="Y66" s="3">
        <f>$Y$1</f>
        <v>46195</v>
      </c>
    </row>
    <row r="67">
      <c r="A67" s="1" t="s">
        <v>88</v>
      </c>
      <c r="B67" s="1" t="s">
        <v>5</v>
      </c>
      <c r="C67" s="53"/>
      <c r="D67" s="54" t="s">
        <v>6</v>
      </c>
      <c r="E67" s="55"/>
      <c r="F67" s="54" t="s">
        <v>7</v>
      </c>
      <c r="G67" s="55"/>
      <c r="H67" s="54" t="s">
        <v>8</v>
      </c>
      <c r="I67" s="55"/>
      <c r="J67" s="54" t="s">
        <v>9</v>
      </c>
      <c r="K67" s="55"/>
      <c r="L67" s="54" t="s">
        <v>10</v>
      </c>
      <c r="M67" s="55"/>
      <c r="N67" s="54" t="s">
        <v>11</v>
      </c>
      <c r="O67" s="55"/>
      <c r="P67" s="1" t="s">
        <v>12</v>
      </c>
      <c r="Q67" s="53"/>
      <c r="R67" s="1" t="s">
        <v>13</v>
      </c>
      <c r="S67" s="53"/>
      <c r="T67" s="1" t="s">
        <v>14</v>
      </c>
      <c r="U67" s="53"/>
      <c r="V67" s="1" t="s">
        <v>15</v>
      </c>
      <c r="W67" s="53"/>
      <c r="X67" s="1" t="s">
        <v>16</v>
      </c>
      <c r="Y67" s="15"/>
    </row>
    <row r="68">
      <c r="A68" s="4" t="s">
        <v>89</v>
      </c>
      <c r="B68" s="4">
        <v>21.0</v>
      </c>
      <c r="C68" s="13">
        <f t="shared" ref="C68:C71" si="57">IFERROR(SUM((D68/B68)-1),0)</f>
        <v>-0.04761904762</v>
      </c>
      <c r="D68" s="4">
        <v>20.0</v>
      </c>
      <c r="E68" s="13">
        <f t="shared" ref="E68:E71" si="58">IFERROR(SUM((F68/D68)-1),0)</f>
        <v>0</v>
      </c>
      <c r="F68" s="4">
        <v>20.0</v>
      </c>
      <c r="G68" s="13">
        <f t="shared" ref="G68:G71" si="59">IFERROR(SUM((H68/F68)-1),0)</f>
        <v>0</v>
      </c>
      <c r="H68" s="4">
        <v>20.0</v>
      </c>
      <c r="I68" s="13">
        <f t="shared" ref="I68:I71" si="60">IFERROR(SUM((J68/H68)-1),0)</f>
        <v>0</v>
      </c>
      <c r="J68" s="4">
        <v>20.0</v>
      </c>
      <c r="K68" s="13">
        <f t="shared" ref="K68:K71" si="61">IFERROR(SUM((L68/J68)-1),0)</f>
        <v>-0.05</v>
      </c>
      <c r="L68" s="4">
        <v>19.0</v>
      </c>
      <c r="M68" s="13">
        <f t="shared" ref="M68:M71" si="62">IFERROR(SUM((N68/L68)-1),0)</f>
        <v>0</v>
      </c>
      <c r="N68" s="4">
        <v>19.0</v>
      </c>
      <c r="O68" s="13">
        <f t="shared" ref="O68:O71" si="63">IFERROR(SUM((P68/N68)-1),0)</f>
        <v>0</v>
      </c>
      <c r="P68" s="4">
        <v>19.0</v>
      </c>
      <c r="Q68" s="13">
        <f t="shared" ref="Q68:Q71" si="64">IFERROR(SUM((R68/P68)-1),0)</f>
        <v>0</v>
      </c>
      <c r="R68" s="4">
        <v>19.0</v>
      </c>
      <c r="S68" s="13">
        <f t="shared" ref="S68:S71" si="65">IFERROR(SUM((T68/R68)-1),0)</f>
        <v>0</v>
      </c>
      <c r="T68" s="4">
        <v>19.0</v>
      </c>
      <c r="U68" s="13">
        <f t="shared" ref="U68:U71" si="66">IFERROR(SUM((V68/T68)-1),0)</f>
        <v>0</v>
      </c>
      <c r="V68" s="4">
        <v>19.0</v>
      </c>
      <c r="W68" s="13">
        <f t="shared" ref="W68:W71" si="67">IFERROR(SUM((X68/V68)-1),0)</f>
        <v>0</v>
      </c>
      <c r="X68" s="4">
        <v>19.0</v>
      </c>
      <c r="Y68" s="13"/>
    </row>
    <row r="69">
      <c r="A69" s="4" t="s">
        <v>91</v>
      </c>
      <c r="B69" s="58">
        <v>241.8</v>
      </c>
      <c r="C69" s="13">
        <f t="shared" si="57"/>
        <v>0.141025641</v>
      </c>
      <c r="D69" s="58">
        <v>275.9</v>
      </c>
      <c r="E69" s="13">
        <f t="shared" si="58"/>
        <v>-0.06451612903</v>
      </c>
      <c r="F69" s="58">
        <v>258.1</v>
      </c>
      <c r="G69" s="13">
        <f t="shared" si="59"/>
        <v>0.03254552499</v>
      </c>
      <c r="H69" s="58">
        <v>266.5</v>
      </c>
      <c r="I69" s="13">
        <f t="shared" si="60"/>
        <v>0.03527204503</v>
      </c>
      <c r="J69" s="58">
        <v>275.9</v>
      </c>
      <c r="K69" s="13">
        <f t="shared" si="61"/>
        <v>-0.01703515767</v>
      </c>
      <c r="L69" s="58">
        <v>271.2</v>
      </c>
      <c r="M69" s="13">
        <f t="shared" si="62"/>
        <v>0.005162241888</v>
      </c>
      <c r="N69" s="58">
        <v>272.6</v>
      </c>
      <c r="O69" s="13">
        <f t="shared" si="63"/>
        <v>0</v>
      </c>
      <c r="P69" s="58">
        <v>272.6</v>
      </c>
      <c r="Q69" s="13">
        <f t="shared" si="64"/>
        <v>0</v>
      </c>
      <c r="R69" s="58">
        <v>272.6</v>
      </c>
      <c r="S69" s="13">
        <f t="shared" si="65"/>
        <v>0</v>
      </c>
      <c r="T69" s="58">
        <v>272.6</v>
      </c>
      <c r="U69" s="13">
        <f t="shared" si="66"/>
        <v>0</v>
      </c>
      <c r="V69" s="58">
        <v>272.6</v>
      </c>
      <c r="W69" s="13">
        <f t="shared" si="67"/>
        <v>0</v>
      </c>
      <c r="X69" s="58">
        <v>272.6</v>
      </c>
      <c r="Y69" s="13"/>
    </row>
    <row r="70">
      <c r="A70" s="71" t="s">
        <v>93</v>
      </c>
      <c r="B70" s="72">
        <f>B4</f>
        <v>0.046</v>
      </c>
      <c r="C70" s="12">
        <f t="shared" si="57"/>
        <v>0</v>
      </c>
      <c r="D70" s="72">
        <f>D4</f>
        <v>0.046</v>
      </c>
      <c r="E70" s="12">
        <f t="shared" si="58"/>
        <v>0.02173913043</v>
      </c>
      <c r="F70" s="72">
        <f>F4</f>
        <v>0.047</v>
      </c>
      <c r="G70" s="12">
        <f t="shared" si="59"/>
        <v>-0.02127659574</v>
      </c>
      <c r="H70" s="72">
        <f>H4</f>
        <v>0.046</v>
      </c>
      <c r="I70" s="12">
        <f t="shared" si="60"/>
        <v>0.02173913043</v>
      </c>
      <c r="J70" s="72">
        <f>J4</f>
        <v>0.047</v>
      </c>
      <c r="K70" s="12">
        <f t="shared" si="61"/>
        <v>0.02127659574</v>
      </c>
      <c r="L70" s="72">
        <f>L4</f>
        <v>0.048</v>
      </c>
      <c r="M70" s="12">
        <f t="shared" si="62"/>
        <v>-0.02083333333</v>
      </c>
      <c r="N70" s="72">
        <f>N4</f>
        <v>0.047</v>
      </c>
      <c r="O70" s="12">
        <f t="shared" si="63"/>
        <v>0.04255319149</v>
      </c>
      <c r="P70" s="72">
        <f>P4</f>
        <v>0.049</v>
      </c>
      <c r="Q70" s="12">
        <f t="shared" si="64"/>
        <v>-0.04081632653</v>
      </c>
      <c r="R70" s="72">
        <f>R4</f>
        <v>0.047</v>
      </c>
      <c r="S70" s="12">
        <f t="shared" si="65"/>
        <v>0</v>
      </c>
      <c r="T70" s="72">
        <f>T4</f>
        <v>0.047</v>
      </c>
      <c r="U70" s="12">
        <f t="shared" si="66"/>
        <v>0</v>
      </c>
      <c r="V70" s="72">
        <f>V4</f>
        <v>0.047</v>
      </c>
      <c r="W70" s="12">
        <f t="shared" si="67"/>
        <v>0</v>
      </c>
      <c r="X70" s="72">
        <f>X4</f>
        <v>0.047</v>
      </c>
      <c r="Y70" s="13"/>
    </row>
    <row r="71">
      <c r="A71" s="5" t="s">
        <v>97</v>
      </c>
      <c r="B71" s="64">
        <v>0.014</v>
      </c>
      <c r="C71" s="13">
        <f t="shared" si="57"/>
        <v>0</v>
      </c>
      <c r="D71" s="64">
        <v>0.014</v>
      </c>
      <c r="E71" s="13">
        <f t="shared" si="58"/>
        <v>0.07142857143</v>
      </c>
      <c r="F71" s="64">
        <v>0.015</v>
      </c>
      <c r="G71" s="13">
        <f t="shared" si="59"/>
        <v>-0.06666666667</v>
      </c>
      <c r="H71" s="64">
        <v>0.014</v>
      </c>
      <c r="I71" s="13">
        <f t="shared" si="60"/>
        <v>-0.07142857143</v>
      </c>
      <c r="J71" s="64">
        <v>0.013</v>
      </c>
      <c r="K71" s="13">
        <f t="shared" si="61"/>
        <v>252.8461538</v>
      </c>
      <c r="L71" s="4">
        <v>3.3</v>
      </c>
      <c r="M71" s="13">
        <f t="shared" si="62"/>
        <v>-0.9963636364</v>
      </c>
      <c r="N71" s="64">
        <v>0.012</v>
      </c>
      <c r="O71" s="13">
        <f t="shared" si="63"/>
        <v>115.6666667</v>
      </c>
      <c r="P71" s="4">
        <v>1.4</v>
      </c>
      <c r="Q71" s="13">
        <f t="shared" si="64"/>
        <v>0</v>
      </c>
      <c r="R71" s="4">
        <v>1.4</v>
      </c>
      <c r="S71" s="13">
        <f t="shared" si="65"/>
        <v>0</v>
      </c>
      <c r="T71" s="4">
        <v>1.4</v>
      </c>
      <c r="U71" s="13">
        <f t="shared" si="66"/>
        <v>0</v>
      </c>
      <c r="V71" s="4">
        <v>1.4</v>
      </c>
      <c r="W71" s="13">
        <f t="shared" si="67"/>
        <v>0</v>
      </c>
      <c r="X71" s="4">
        <v>1.4</v>
      </c>
      <c r="Y71" s="13"/>
    </row>
    <row r="72">
      <c r="A72" s="1" t="s">
        <v>225</v>
      </c>
      <c r="B72" s="1"/>
      <c r="C72" s="31"/>
      <c r="D72" s="78"/>
      <c r="E72" s="53"/>
      <c r="F72" s="62"/>
      <c r="G72" s="79"/>
      <c r="H72" s="31"/>
      <c r="I72" s="79"/>
      <c r="J72" s="31"/>
      <c r="K72" s="79"/>
      <c r="L72" s="31"/>
      <c r="M72" s="79"/>
      <c r="N72" s="31"/>
      <c r="O72" s="79"/>
      <c r="P72" s="31"/>
      <c r="Q72" s="79"/>
      <c r="R72" s="31"/>
      <c r="S72" s="79"/>
      <c r="T72" s="31"/>
      <c r="U72" s="79"/>
      <c r="V72" s="31"/>
      <c r="W72" s="79"/>
      <c r="X72" s="31"/>
    </row>
    <row r="73">
      <c r="A73" s="65" t="s">
        <v>238</v>
      </c>
      <c r="B73" s="81">
        <v>0.34</v>
      </c>
      <c r="C73" s="68">
        <f t="shared" ref="C73:C84" si="68">IFERROR(SUM((D73/B73)-1),0)</f>
        <v>-0.05882352941</v>
      </c>
      <c r="D73" s="81">
        <v>0.32</v>
      </c>
      <c r="E73" s="68">
        <f t="shared" ref="E73:E84" si="69">IFERROR(SUM((F73/D73)-1),0)</f>
        <v>-0.1875</v>
      </c>
      <c r="F73" s="81">
        <v>0.26</v>
      </c>
      <c r="G73" s="68">
        <f t="shared" ref="G73:G84" si="70">IFERROR(SUM((H73/F73)-1),0)</f>
        <v>0</v>
      </c>
      <c r="H73" s="81">
        <v>0.26</v>
      </c>
      <c r="I73" s="68">
        <f t="shared" ref="I73:I84" si="71">IFERROR(SUM((J73/H73)-1),0)</f>
        <v>0.2307692308</v>
      </c>
      <c r="J73" s="81">
        <v>0.32</v>
      </c>
      <c r="K73" s="68">
        <f t="shared" ref="K73:K84" si="72">IFERROR(SUM((L73/J73)-1),0)</f>
        <v>0</v>
      </c>
      <c r="L73" s="81">
        <v>0.32</v>
      </c>
      <c r="M73" s="68">
        <f t="shared" ref="M73:M84" si="73">IFERROR(SUM((N73/L73)-1),0)</f>
        <v>0</v>
      </c>
      <c r="N73" s="81">
        <v>0.32</v>
      </c>
      <c r="O73" s="68">
        <f t="shared" ref="O73:O84" si="74">IFERROR(SUM((P73/N73)-1),0)</f>
        <v>0</v>
      </c>
      <c r="P73" s="81">
        <v>0.32</v>
      </c>
      <c r="Q73" s="68">
        <f t="shared" ref="Q73:Q84" si="75">IFERROR(SUM((R73/P73)-1),0)</f>
        <v>0</v>
      </c>
      <c r="R73" s="81">
        <v>0.32</v>
      </c>
      <c r="S73" s="68">
        <f t="shared" ref="S73:S84" si="76">IFERROR(SUM((T73/R73)-1),0)</f>
        <v>0</v>
      </c>
      <c r="T73" s="81">
        <v>0.32</v>
      </c>
      <c r="U73" s="68">
        <f t="shared" ref="U73:U84" si="77">IFERROR(SUM((V73/T73)-1),0)</f>
        <v>0</v>
      </c>
      <c r="V73" s="81">
        <v>0.32</v>
      </c>
      <c r="W73" s="68">
        <f t="shared" ref="W73:W84" si="78">IFERROR(SUM((X73/V73)-1),0)</f>
        <v>0</v>
      </c>
      <c r="X73" s="81">
        <v>0.32</v>
      </c>
    </row>
    <row r="74">
      <c r="A74" s="65" t="s">
        <v>239</v>
      </c>
      <c r="B74" s="81">
        <v>0.19</v>
      </c>
      <c r="C74" s="68">
        <f t="shared" si="68"/>
        <v>-0.1052631579</v>
      </c>
      <c r="D74" s="81">
        <v>0.17</v>
      </c>
      <c r="E74" s="68">
        <f t="shared" si="69"/>
        <v>0.05882352941</v>
      </c>
      <c r="F74" s="81">
        <v>0.18</v>
      </c>
      <c r="G74" s="68">
        <f t="shared" si="70"/>
        <v>0</v>
      </c>
      <c r="H74" s="81">
        <v>0.18</v>
      </c>
      <c r="I74" s="68">
        <f t="shared" si="71"/>
        <v>-0.05555555556</v>
      </c>
      <c r="J74" s="81">
        <v>0.17</v>
      </c>
      <c r="K74" s="68">
        <f t="shared" si="72"/>
        <v>0</v>
      </c>
      <c r="L74" s="81">
        <v>0.17</v>
      </c>
      <c r="M74" s="68">
        <f t="shared" si="73"/>
        <v>0</v>
      </c>
      <c r="N74" s="81">
        <v>0.17</v>
      </c>
      <c r="O74" s="68">
        <f t="shared" si="74"/>
        <v>0</v>
      </c>
      <c r="P74" s="81">
        <v>0.17</v>
      </c>
      <c r="Q74" s="68">
        <f t="shared" si="75"/>
        <v>0</v>
      </c>
      <c r="R74" s="81">
        <v>0.17</v>
      </c>
      <c r="S74" s="68">
        <f t="shared" si="76"/>
        <v>0</v>
      </c>
      <c r="T74" s="81">
        <v>0.17</v>
      </c>
      <c r="U74" s="68">
        <f t="shared" si="77"/>
        <v>0</v>
      </c>
      <c r="V74" s="81">
        <v>0.17</v>
      </c>
      <c r="W74" s="68">
        <f t="shared" si="78"/>
        <v>0</v>
      </c>
      <c r="X74" s="81">
        <v>0.17</v>
      </c>
    </row>
    <row r="75">
      <c r="A75" s="65" t="s">
        <v>230</v>
      </c>
      <c r="B75" s="81">
        <v>0.15</v>
      </c>
      <c r="C75" s="68">
        <f t="shared" si="68"/>
        <v>-0.1333333333</v>
      </c>
      <c r="D75" s="81">
        <v>0.13</v>
      </c>
      <c r="E75" s="68">
        <f t="shared" si="69"/>
        <v>0.1538461538</v>
      </c>
      <c r="F75" s="81">
        <v>0.15</v>
      </c>
      <c r="G75" s="68">
        <f t="shared" si="70"/>
        <v>-0.06666666667</v>
      </c>
      <c r="H75" s="81">
        <v>0.14</v>
      </c>
      <c r="I75" s="68">
        <f t="shared" si="71"/>
        <v>-0.07142857143</v>
      </c>
      <c r="J75" s="81">
        <v>0.13</v>
      </c>
      <c r="K75" s="68">
        <f t="shared" si="72"/>
        <v>0.07692307692</v>
      </c>
      <c r="L75" s="81">
        <v>0.14</v>
      </c>
      <c r="M75" s="68">
        <f t="shared" si="73"/>
        <v>0</v>
      </c>
      <c r="N75" s="81">
        <v>0.14</v>
      </c>
      <c r="O75" s="68">
        <f t="shared" si="74"/>
        <v>0</v>
      </c>
      <c r="P75" s="81">
        <v>0.14</v>
      </c>
      <c r="Q75" s="68">
        <f t="shared" si="75"/>
        <v>0</v>
      </c>
      <c r="R75" s="81">
        <v>0.14</v>
      </c>
      <c r="S75" s="68">
        <f t="shared" si="76"/>
        <v>0</v>
      </c>
      <c r="T75" s="81">
        <v>0.14</v>
      </c>
      <c r="U75" s="68">
        <f t="shared" si="77"/>
        <v>0</v>
      </c>
      <c r="V75" s="81">
        <v>0.14</v>
      </c>
      <c r="W75" s="68">
        <f t="shared" si="78"/>
        <v>0</v>
      </c>
      <c r="X75" s="81">
        <v>0.14</v>
      </c>
    </row>
    <row r="76">
      <c r="A76" s="65" t="s">
        <v>241</v>
      </c>
      <c r="B76" s="81">
        <v>0.14</v>
      </c>
      <c r="C76" s="68">
        <f t="shared" si="68"/>
        <v>-0.1428571429</v>
      </c>
      <c r="D76" s="81">
        <v>0.12</v>
      </c>
      <c r="E76" s="68">
        <f t="shared" si="69"/>
        <v>0.08333333333</v>
      </c>
      <c r="F76" s="81">
        <v>0.13</v>
      </c>
      <c r="G76" s="68">
        <f t="shared" si="70"/>
        <v>0</v>
      </c>
      <c r="H76" s="81">
        <v>0.13</v>
      </c>
      <c r="I76" s="68">
        <f t="shared" si="71"/>
        <v>-0.07692307692</v>
      </c>
      <c r="J76" s="81">
        <v>0.12</v>
      </c>
      <c r="K76" s="68">
        <f t="shared" si="72"/>
        <v>0</v>
      </c>
      <c r="L76" s="81">
        <v>0.12</v>
      </c>
      <c r="M76" s="68">
        <f t="shared" si="73"/>
        <v>0</v>
      </c>
      <c r="N76" s="81">
        <v>0.12</v>
      </c>
      <c r="O76" s="68">
        <f t="shared" si="74"/>
        <v>0</v>
      </c>
      <c r="P76" s="81">
        <v>0.12</v>
      </c>
      <c r="Q76" s="68">
        <f t="shared" si="75"/>
        <v>0</v>
      </c>
      <c r="R76" s="81">
        <v>0.12</v>
      </c>
      <c r="S76" s="68">
        <f t="shared" si="76"/>
        <v>0</v>
      </c>
      <c r="T76" s="81">
        <v>0.12</v>
      </c>
      <c r="U76" s="68">
        <f t="shared" si="77"/>
        <v>0</v>
      </c>
      <c r="V76" s="81">
        <v>0.12</v>
      </c>
      <c r="W76" s="68">
        <f t="shared" si="78"/>
        <v>0</v>
      </c>
      <c r="X76" s="81">
        <v>0.12</v>
      </c>
    </row>
    <row r="77">
      <c r="A77" s="65" t="s">
        <v>242</v>
      </c>
      <c r="B77" s="81">
        <v>0.08</v>
      </c>
      <c r="C77" s="68">
        <f t="shared" si="68"/>
        <v>-0.125</v>
      </c>
      <c r="D77" s="81">
        <v>0.07</v>
      </c>
      <c r="E77" s="68">
        <f t="shared" si="69"/>
        <v>0.1428571429</v>
      </c>
      <c r="F77" s="81">
        <v>0.08</v>
      </c>
      <c r="G77" s="68">
        <f t="shared" si="70"/>
        <v>0</v>
      </c>
      <c r="H77" s="81">
        <v>0.08</v>
      </c>
      <c r="I77" s="68">
        <f t="shared" si="71"/>
        <v>-0.125</v>
      </c>
      <c r="J77" s="81">
        <v>0.07</v>
      </c>
      <c r="K77" s="68">
        <f t="shared" si="72"/>
        <v>0</v>
      </c>
      <c r="L77" s="81">
        <v>0.07</v>
      </c>
      <c r="M77" s="68">
        <f t="shared" si="73"/>
        <v>0</v>
      </c>
      <c r="N77" s="81">
        <v>0.07</v>
      </c>
      <c r="O77" s="68">
        <f t="shared" si="74"/>
        <v>0</v>
      </c>
      <c r="P77" s="81">
        <v>0.07</v>
      </c>
      <c r="Q77" s="68">
        <f t="shared" si="75"/>
        <v>0</v>
      </c>
      <c r="R77" s="81">
        <v>0.07</v>
      </c>
      <c r="S77" s="68">
        <f t="shared" si="76"/>
        <v>0</v>
      </c>
      <c r="T77" s="81">
        <v>0.07</v>
      </c>
      <c r="U77" s="68">
        <f t="shared" si="77"/>
        <v>0</v>
      </c>
      <c r="V77" s="81">
        <v>0.07</v>
      </c>
      <c r="W77" s="68">
        <f t="shared" si="78"/>
        <v>0</v>
      </c>
      <c r="X77" s="81">
        <v>0.07</v>
      </c>
    </row>
    <row r="78">
      <c r="A78" s="65" t="s">
        <v>232</v>
      </c>
      <c r="B78" s="81">
        <v>0.08</v>
      </c>
      <c r="C78" s="68">
        <f t="shared" si="68"/>
        <v>0.25</v>
      </c>
      <c r="D78" s="81">
        <v>0.1</v>
      </c>
      <c r="E78" s="68">
        <f t="shared" si="69"/>
        <v>0</v>
      </c>
      <c r="F78" s="81">
        <v>0.1</v>
      </c>
      <c r="G78" s="68">
        <f t="shared" si="70"/>
        <v>0</v>
      </c>
      <c r="H78" s="81">
        <v>0.1</v>
      </c>
      <c r="I78" s="68">
        <f t="shared" si="71"/>
        <v>0</v>
      </c>
      <c r="J78" s="81">
        <v>0.1</v>
      </c>
      <c r="K78" s="68">
        <f t="shared" si="72"/>
        <v>0</v>
      </c>
      <c r="L78" s="81">
        <v>0.1</v>
      </c>
      <c r="M78" s="68">
        <f t="shared" si="73"/>
        <v>0</v>
      </c>
      <c r="N78" s="81">
        <v>0.1</v>
      </c>
      <c r="O78" s="68">
        <f t="shared" si="74"/>
        <v>0</v>
      </c>
      <c r="P78" s="81">
        <v>0.1</v>
      </c>
      <c r="Q78" s="68">
        <f t="shared" si="75"/>
        <v>0</v>
      </c>
      <c r="R78" s="81">
        <v>0.1</v>
      </c>
      <c r="S78" s="68">
        <f t="shared" si="76"/>
        <v>0</v>
      </c>
      <c r="T78" s="81">
        <v>0.1</v>
      </c>
      <c r="U78" s="68">
        <f t="shared" si="77"/>
        <v>0</v>
      </c>
      <c r="V78" s="81">
        <v>0.1</v>
      </c>
      <c r="W78" s="68">
        <f t="shared" si="78"/>
        <v>0</v>
      </c>
      <c r="X78" s="81">
        <v>0.1</v>
      </c>
    </row>
    <row r="79">
      <c r="A79" s="65" t="s">
        <v>243</v>
      </c>
      <c r="B79" s="81">
        <v>0.04</v>
      </c>
      <c r="C79" s="68">
        <f t="shared" si="68"/>
        <v>-0.25</v>
      </c>
      <c r="D79" s="81">
        <v>0.03</v>
      </c>
      <c r="E79" s="68">
        <f t="shared" si="69"/>
        <v>0.3333333333</v>
      </c>
      <c r="F79" s="81">
        <v>0.04</v>
      </c>
      <c r="G79" s="68">
        <f t="shared" si="70"/>
        <v>0</v>
      </c>
      <c r="H79" s="81">
        <v>0.04</v>
      </c>
      <c r="I79" s="68">
        <f t="shared" si="71"/>
        <v>-0.25</v>
      </c>
      <c r="J79" s="81">
        <v>0.03</v>
      </c>
      <c r="K79" s="68">
        <f t="shared" si="72"/>
        <v>0</v>
      </c>
      <c r="L79" s="81">
        <v>0.03</v>
      </c>
      <c r="M79" s="68">
        <f t="shared" si="73"/>
        <v>0</v>
      </c>
      <c r="N79" s="81">
        <v>0.03</v>
      </c>
      <c r="O79" s="68">
        <f t="shared" si="74"/>
        <v>0</v>
      </c>
      <c r="P79" s="81">
        <v>0.03</v>
      </c>
      <c r="Q79" s="68">
        <f t="shared" si="75"/>
        <v>0</v>
      </c>
      <c r="R79" s="81">
        <v>0.03</v>
      </c>
      <c r="S79" s="68">
        <f t="shared" si="76"/>
        <v>0</v>
      </c>
      <c r="T79" s="81">
        <v>0.03</v>
      </c>
      <c r="U79" s="68">
        <f t="shared" si="77"/>
        <v>0</v>
      </c>
      <c r="V79" s="81">
        <v>0.03</v>
      </c>
      <c r="W79" s="68">
        <f t="shared" si="78"/>
        <v>0</v>
      </c>
      <c r="X79" s="81">
        <v>0.03</v>
      </c>
      <c r="Y79" s="13"/>
    </row>
    <row r="80">
      <c r="A80" s="65" t="s">
        <v>234</v>
      </c>
      <c r="B80" s="81">
        <v>0.02</v>
      </c>
      <c r="C80" s="68">
        <f t="shared" si="68"/>
        <v>0</v>
      </c>
      <c r="D80" s="81">
        <v>0.02</v>
      </c>
      <c r="E80" s="68">
        <f t="shared" si="69"/>
        <v>0</v>
      </c>
      <c r="F80" s="81">
        <v>0.02</v>
      </c>
      <c r="G80" s="68">
        <f t="shared" si="70"/>
        <v>0</v>
      </c>
      <c r="H80" s="81">
        <v>0.02</v>
      </c>
      <c r="I80" s="68">
        <f t="shared" si="71"/>
        <v>0</v>
      </c>
      <c r="J80" s="81">
        <v>0.02</v>
      </c>
      <c r="K80" s="68">
        <f t="shared" si="72"/>
        <v>0</v>
      </c>
      <c r="L80" s="81">
        <v>0.02</v>
      </c>
      <c r="M80" s="68">
        <f t="shared" si="73"/>
        <v>0</v>
      </c>
      <c r="N80" s="81">
        <v>0.02</v>
      </c>
      <c r="O80" s="68">
        <f t="shared" si="74"/>
        <v>0</v>
      </c>
      <c r="P80" s="81">
        <v>0.02</v>
      </c>
      <c r="Q80" s="68">
        <f t="shared" si="75"/>
        <v>0</v>
      </c>
      <c r="R80" s="81">
        <v>0.02</v>
      </c>
      <c r="S80" s="68">
        <f t="shared" si="76"/>
        <v>0</v>
      </c>
      <c r="T80" s="81">
        <v>0.02</v>
      </c>
      <c r="U80" s="68">
        <f t="shared" si="77"/>
        <v>0</v>
      </c>
      <c r="V80" s="81">
        <v>0.02</v>
      </c>
      <c r="W80" s="68">
        <f t="shared" si="78"/>
        <v>0</v>
      </c>
      <c r="X80" s="81">
        <v>0.02</v>
      </c>
      <c r="Y80" s="13"/>
    </row>
    <row r="81">
      <c r="A81" s="25" t="s">
        <v>233</v>
      </c>
      <c r="B81" s="81">
        <v>0.02</v>
      </c>
      <c r="C81" s="27">
        <f t="shared" si="68"/>
        <v>-1</v>
      </c>
      <c r="D81" s="63">
        <v>0.0</v>
      </c>
      <c r="E81" s="27">
        <f t="shared" si="69"/>
        <v>0</v>
      </c>
      <c r="F81" s="63">
        <v>0.0</v>
      </c>
      <c r="G81" s="27">
        <f t="shared" si="70"/>
        <v>0</v>
      </c>
      <c r="H81" s="63">
        <v>0.0</v>
      </c>
      <c r="I81" s="27">
        <f t="shared" si="71"/>
        <v>0</v>
      </c>
      <c r="J81" s="63">
        <v>0.0</v>
      </c>
      <c r="K81" s="27">
        <f t="shared" si="72"/>
        <v>0</v>
      </c>
      <c r="L81" s="63">
        <v>0.0</v>
      </c>
      <c r="M81" s="27">
        <f t="shared" si="73"/>
        <v>0</v>
      </c>
      <c r="N81" s="63">
        <v>0.0</v>
      </c>
      <c r="O81" s="27">
        <f t="shared" si="74"/>
        <v>0</v>
      </c>
      <c r="P81" s="63">
        <v>0.0</v>
      </c>
      <c r="Q81" s="27">
        <f t="shared" si="75"/>
        <v>0</v>
      </c>
      <c r="R81" s="63">
        <v>0.0</v>
      </c>
      <c r="S81" s="27">
        <f t="shared" si="76"/>
        <v>0</v>
      </c>
      <c r="T81" s="63">
        <v>0.0</v>
      </c>
      <c r="U81" s="27">
        <f t="shared" si="77"/>
        <v>0</v>
      </c>
      <c r="V81" s="63">
        <v>0.0</v>
      </c>
      <c r="W81" s="27">
        <f t="shared" si="78"/>
        <v>0</v>
      </c>
      <c r="X81" s="63">
        <v>0.0</v>
      </c>
      <c r="Y81" s="13"/>
    </row>
    <row r="82">
      <c r="A82" s="65" t="s">
        <v>244</v>
      </c>
      <c r="B82" s="81">
        <v>0.02</v>
      </c>
      <c r="C82" s="68">
        <f t="shared" si="68"/>
        <v>-0.5</v>
      </c>
      <c r="D82" s="81">
        <v>0.01</v>
      </c>
      <c r="E82" s="68">
        <f t="shared" si="69"/>
        <v>1</v>
      </c>
      <c r="F82" s="81">
        <v>0.02</v>
      </c>
      <c r="G82" s="68">
        <f t="shared" si="70"/>
        <v>0</v>
      </c>
      <c r="H82" s="81">
        <v>0.02</v>
      </c>
      <c r="I82" s="68">
        <f t="shared" si="71"/>
        <v>-0.5</v>
      </c>
      <c r="J82" s="81">
        <v>0.01</v>
      </c>
      <c r="K82" s="68">
        <f t="shared" si="72"/>
        <v>1</v>
      </c>
      <c r="L82" s="81">
        <v>0.02</v>
      </c>
      <c r="M82" s="68">
        <f t="shared" si="73"/>
        <v>0</v>
      </c>
      <c r="N82" s="81">
        <v>0.02</v>
      </c>
      <c r="O82" s="68">
        <f t="shared" si="74"/>
        <v>0</v>
      </c>
      <c r="P82" s="81">
        <v>0.02</v>
      </c>
      <c r="Q82" s="68">
        <f t="shared" si="75"/>
        <v>0</v>
      </c>
      <c r="R82" s="81">
        <v>0.02</v>
      </c>
      <c r="S82" s="68">
        <f t="shared" si="76"/>
        <v>0</v>
      </c>
      <c r="T82" s="81">
        <v>0.02</v>
      </c>
      <c r="U82" s="68">
        <f t="shared" si="77"/>
        <v>0</v>
      </c>
      <c r="V82" s="81">
        <v>0.02</v>
      </c>
      <c r="W82" s="68">
        <f t="shared" si="78"/>
        <v>0</v>
      </c>
      <c r="X82" s="81">
        <v>0.02</v>
      </c>
      <c r="Y82" s="13"/>
    </row>
    <row r="83">
      <c r="A83" s="25" t="s">
        <v>236</v>
      </c>
      <c r="B83" s="81">
        <v>0.02</v>
      </c>
      <c r="C83" s="68">
        <f t="shared" si="68"/>
        <v>-0.5</v>
      </c>
      <c r="D83" s="81">
        <v>0.01</v>
      </c>
      <c r="E83" s="68">
        <f t="shared" si="69"/>
        <v>1</v>
      </c>
      <c r="F83" s="81">
        <v>0.02</v>
      </c>
      <c r="G83" s="68">
        <f t="shared" si="70"/>
        <v>0</v>
      </c>
      <c r="H83" s="81">
        <v>0.02</v>
      </c>
      <c r="I83" s="68">
        <f t="shared" si="71"/>
        <v>-0.5</v>
      </c>
      <c r="J83" s="81">
        <v>0.01</v>
      </c>
      <c r="K83" s="68">
        <f t="shared" si="72"/>
        <v>-1</v>
      </c>
      <c r="L83" s="63">
        <v>0.0</v>
      </c>
      <c r="M83" s="27">
        <f t="shared" si="73"/>
        <v>0</v>
      </c>
      <c r="N83" s="63">
        <v>0.0</v>
      </c>
      <c r="O83" s="27">
        <f t="shared" si="74"/>
        <v>0</v>
      </c>
      <c r="P83" s="63">
        <v>0.0</v>
      </c>
      <c r="Q83" s="27">
        <f t="shared" si="75"/>
        <v>0</v>
      </c>
      <c r="R83" s="63">
        <v>0.0</v>
      </c>
      <c r="S83" s="27">
        <f t="shared" si="76"/>
        <v>0</v>
      </c>
      <c r="T83" s="63">
        <v>0.0</v>
      </c>
      <c r="U83" s="27">
        <f t="shared" si="77"/>
        <v>0</v>
      </c>
      <c r="V83" s="63">
        <v>0.0</v>
      </c>
      <c r="W83" s="27">
        <f t="shared" si="78"/>
        <v>0</v>
      </c>
      <c r="X83" s="63">
        <v>0.0</v>
      </c>
      <c r="Y83" s="13"/>
    </row>
    <row r="84">
      <c r="A84" s="65" t="s">
        <v>245</v>
      </c>
      <c r="B84" s="81">
        <v>0.01</v>
      </c>
      <c r="C84" s="68">
        <f t="shared" si="68"/>
        <v>0</v>
      </c>
      <c r="D84" s="81">
        <v>0.01</v>
      </c>
      <c r="E84" s="68">
        <f t="shared" si="69"/>
        <v>0</v>
      </c>
      <c r="F84" s="81">
        <v>0.01</v>
      </c>
      <c r="G84" s="68">
        <f t="shared" si="70"/>
        <v>0</v>
      </c>
      <c r="H84" s="81">
        <v>0.01</v>
      </c>
      <c r="I84" s="68">
        <f t="shared" si="71"/>
        <v>0</v>
      </c>
      <c r="J84" s="81">
        <v>0.01</v>
      </c>
      <c r="K84" s="68">
        <f t="shared" si="72"/>
        <v>0</v>
      </c>
      <c r="L84" s="81">
        <v>0.01</v>
      </c>
      <c r="M84" s="68">
        <f t="shared" si="73"/>
        <v>0</v>
      </c>
      <c r="N84" s="81">
        <v>0.01</v>
      </c>
      <c r="O84" s="68">
        <f t="shared" si="74"/>
        <v>0</v>
      </c>
      <c r="P84" s="81">
        <v>0.01</v>
      </c>
      <c r="Q84" s="68">
        <f t="shared" si="75"/>
        <v>0</v>
      </c>
      <c r="R84" s="81">
        <v>0.01</v>
      </c>
      <c r="S84" s="68">
        <f t="shared" si="76"/>
        <v>0</v>
      </c>
      <c r="T84" s="81">
        <v>0.01</v>
      </c>
      <c r="U84" s="68">
        <f t="shared" si="77"/>
        <v>0</v>
      </c>
      <c r="V84" s="81">
        <v>0.01</v>
      </c>
      <c r="W84" s="68">
        <f t="shared" si="78"/>
        <v>0</v>
      </c>
      <c r="X84" s="81">
        <v>0.01</v>
      </c>
      <c r="Y84" s="13"/>
    </row>
    <row r="85">
      <c r="A85" s="172" t="s">
        <v>237</v>
      </c>
      <c r="B85" s="173">
        <f>SUM(B73:B84)</f>
        <v>1.11</v>
      </c>
      <c r="C85" s="174"/>
      <c r="D85" s="173">
        <f>SUM(D73:D84)</f>
        <v>0.99</v>
      </c>
      <c r="E85" s="174"/>
      <c r="F85" s="173">
        <f>SUM(F73:F84)</f>
        <v>1.01</v>
      </c>
      <c r="G85" s="174"/>
      <c r="H85" s="173">
        <f>SUM(H73:H84)</f>
        <v>1</v>
      </c>
      <c r="I85" s="174"/>
      <c r="J85" s="173">
        <f>SUM(J73:J84)</f>
        <v>0.99</v>
      </c>
      <c r="K85" s="174"/>
      <c r="L85" s="173">
        <f>SUM(L73:L84)</f>
        <v>1</v>
      </c>
      <c r="M85" s="174"/>
      <c r="N85" s="173">
        <f>SUM(N73:N84)</f>
        <v>1</v>
      </c>
      <c r="O85" s="174"/>
      <c r="P85" s="173">
        <f>SUM(P73:P84)</f>
        <v>1</v>
      </c>
      <c r="Q85" s="174"/>
      <c r="R85" s="173">
        <f>SUM(R73:R84)</f>
        <v>1</v>
      </c>
      <c r="S85" s="174"/>
      <c r="T85" s="173">
        <f>SUM(T73:T84)</f>
        <v>1</v>
      </c>
      <c r="U85" s="174"/>
      <c r="V85" s="173">
        <f>SUM(V73:V84)</f>
        <v>1</v>
      </c>
      <c r="W85" s="174"/>
      <c r="X85" s="173">
        <f>SUM(X73:X84)</f>
        <v>1</v>
      </c>
    </row>
    <row r="86">
      <c r="A86" s="4" t="s">
        <v>113</v>
      </c>
      <c r="B86" s="75">
        <v>20.0</v>
      </c>
      <c r="C86" s="13">
        <f t="shared" ref="C86:C88" si="79">IFERROR(SUM((D86/B86)-1),0)</f>
        <v>0.039</v>
      </c>
      <c r="D86" s="75">
        <v>20.78</v>
      </c>
      <c r="E86" s="13">
        <f t="shared" ref="E86:E88" si="80">IFERROR(SUM((F86/D86)-1),0)</f>
        <v>-0.009624639076</v>
      </c>
      <c r="F86" s="75">
        <v>20.58</v>
      </c>
      <c r="G86" s="13">
        <f t="shared" ref="G86:G88" si="81">IFERROR(SUM((H86/F86)-1),0)</f>
        <v>-0.006802721088</v>
      </c>
      <c r="H86" s="75">
        <v>20.44</v>
      </c>
      <c r="I86" s="13">
        <f t="shared" ref="I86:I88" si="82">IFERROR(SUM((J86/H86)-1),0)</f>
        <v>0.01663405088</v>
      </c>
      <c r="J86" s="75">
        <v>20.78</v>
      </c>
      <c r="K86" s="13">
        <f t="shared" ref="K86:K88" si="83">IFERROR(SUM((L86/J86)-1),0)</f>
        <v>-0.03512993263</v>
      </c>
      <c r="L86" s="75">
        <v>20.05</v>
      </c>
      <c r="M86" s="13">
        <f t="shared" ref="M86:M88" si="84">IFERROR(SUM((N86/L86)-1),0)</f>
        <v>-0.02743142145</v>
      </c>
      <c r="N86" s="75">
        <v>19.5</v>
      </c>
      <c r="O86" s="13">
        <f t="shared" ref="O86:O88" si="85">IFERROR(SUM((P86/N86)-1),0)</f>
        <v>-0.01846153846</v>
      </c>
      <c r="P86" s="75">
        <v>19.14</v>
      </c>
      <c r="Q86" s="13">
        <f t="shared" ref="Q86:Q88" si="86">IFERROR(SUM((R86/P86)-1),0)</f>
        <v>0</v>
      </c>
      <c r="R86" s="75">
        <v>19.14</v>
      </c>
      <c r="S86" s="13">
        <f t="shared" ref="S86:S88" si="87">IFERROR(SUM((T86/R86)-1),0)</f>
        <v>0</v>
      </c>
      <c r="T86" s="75">
        <v>19.14</v>
      </c>
      <c r="U86" s="13">
        <f t="shared" ref="U86:U88" si="88">IFERROR(SUM((V86/T86)-1),0)</f>
        <v>0</v>
      </c>
      <c r="V86" s="75">
        <v>19.14</v>
      </c>
      <c r="W86" s="13">
        <f t="shared" ref="W86:W88" si="89">IFERROR(SUM((X86/V86)-1),0)</f>
        <v>0</v>
      </c>
      <c r="X86" s="75">
        <v>19.14</v>
      </c>
      <c r="Y86" s="13"/>
    </row>
    <row r="87">
      <c r="A87" s="4" t="s">
        <v>116</v>
      </c>
      <c r="B87" s="75">
        <v>20.75</v>
      </c>
      <c r="C87" s="13">
        <f t="shared" si="79"/>
        <v>-0.004819277108</v>
      </c>
      <c r="D87" s="75">
        <v>20.65</v>
      </c>
      <c r="E87" s="13">
        <f t="shared" si="80"/>
        <v>0.004842615012</v>
      </c>
      <c r="F87" s="75">
        <v>20.75</v>
      </c>
      <c r="G87" s="13">
        <f t="shared" si="81"/>
        <v>-0.002891566265</v>
      </c>
      <c r="H87" s="75">
        <v>20.69</v>
      </c>
      <c r="I87" s="13">
        <f t="shared" si="82"/>
        <v>-0.001933301112</v>
      </c>
      <c r="J87" s="75">
        <v>20.65</v>
      </c>
      <c r="K87" s="13">
        <f t="shared" si="83"/>
        <v>-0.01307506053</v>
      </c>
      <c r="L87" s="75">
        <v>20.38</v>
      </c>
      <c r="M87" s="13">
        <f t="shared" si="84"/>
        <v>-0.003925417076</v>
      </c>
      <c r="N87" s="75">
        <v>20.3</v>
      </c>
      <c r="O87" s="13">
        <f t="shared" si="85"/>
        <v>-0.002463054187</v>
      </c>
      <c r="P87" s="75">
        <v>20.25</v>
      </c>
      <c r="Q87" s="13">
        <f t="shared" si="86"/>
        <v>0</v>
      </c>
      <c r="R87" s="75">
        <v>20.25</v>
      </c>
      <c r="S87" s="13">
        <f t="shared" si="87"/>
        <v>0</v>
      </c>
      <c r="T87" s="75">
        <v>20.25</v>
      </c>
      <c r="U87" s="13">
        <f t="shared" si="88"/>
        <v>0</v>
      </c>
      <c r="V87" s="75">
        <v>20.25</v>
      </c>
      <c r="W87" s="13">
        <f t="shared" si="89"/>
        <v>0</v>
      </c>
      <c r="X87" s="75">
        <v>20.25</v>
      </c>
      <c r="Y87" s="13"/>
    </row>
    <row r="88">
      <c r="A88" s="4" t="s">
        <v>119</v>
      </c>
      <c r="B88" s="24">
        <f>B86/B87</f>
        <v>0.9638554217</v>
      </c>
      <c r="C88" s="13">
        <f t="shared" si="79"/>
        <v>0.044031477</v>
      </c>
      <c r="D88" s="24">
        <f>D86/D87</f>
        <v>1.0062954</v>
      </c>
      <c r="E88" s="13">
        <f t="shared" si="80"/>
        <v>-0.01439753238</v>
      </c>
      <c r="F88" s="22">
        <f>F86/F87</f>
        <v>0.9918072289</v>
      </c>
      <c r="G88" s="13">
        <f t="shared" si="81"/>
        <v>-0.003922496983</v>
      </c>
      <c r="H88" s="22">
        <f>H86/H87</f>
        <v>0.9879168681</v>
      </c>
      <c r="I88" s="13">
        <f t="shared" si="82"/>
        <v>0.01860331781</v>
      </c>
      <c r="J88" s="22">
        <f>J86/J87</f>
        <v>1.0062954</v>
      </c>
      <c r="K88" s="13">
        <f t="shared" si="83"/>
        <v>-0.02234706127</v>
      </c>
      <c r="L88" s="22">
        <f>L86/L87</f>
        <v>0.9838076546</v>
      </c>
      <c r="M88" s="13">
        <f t="shared" si="84"/>
        <v>-0.02359863887</v>
      </c>
      <c r="N88" s="22">
        <f>N86/N87</f>
        <v>0.960591133</v>
      </c>
      <c r="O88" s="13">
        <f t="shared" si="85"/>
        <v>-0.0160379867</v>
      </c>
      <c r="P88" s="22">
        <f>P86/P87</f>
        <v>0.9451851852</v>
      </c>
      <c r="Q88" s="13">
        <f t="shared" si="86"/>
        <v>0</v>
      </c>
      <c r="R88" s="22">
        <f>R86/R87</f>
        <v>0.9451851852</v>
      </c>
      <c r="S88" s="13">
        <f t="shared" si="87"/>
        <v>0</v>
      </c>
      <c r="T88" s="22">
        <f>T86/T87</f>
        <v>0.9451851852</v>
      </c>
      <c r="U88" s="13">
        <f t="shared" si="88"/>
        <v>0</v>
      </c>
      <c r="V88" s="22">
        <f>V86/V87</f>
        <v>0.9451851852</v>
      </c>
      <c r="W88" s="13">
        <f t="shared" si="89"/>
        <v>0</v>
      </c>
      <c r="X88" s="22">
        <f>X86/X87</f>
        <v>0.9451851852</v>
      </c>
      <c r="Y88" s="13"/>
    </row>
    <row r="89">
      <c r="A89" s="4" t="s">
        <v>121</v>
      </c>
      <c r="B89" s="4" t="s">
        <v>246</v>
      </c>
      <c r="Y89" s="13"/>
    </row>
    <row r="90">
      <c r="A90" s="5" t="s">
        <v>123</v>
      </c>
      <c r="B90" s="64">
        <v>0.006</v>
      </c>
    </row>
    <row r="91">
      <c r="A91" s="4" t="s">
        <v>125</v>
      </c>
      <c r="B91" s="64">
        <v>0.0</v>
      </c>
      <c r="D91" s="6"/>
      <c r="E91" s="6"/>
      <c r="F91" s="6"/>
      <c r="G91" s="6"/>
    </row>
    <row r="92" ht="22.5" customHeight="1">
      <c r="A92" s="4" t="s">
        <v>126</v>
      </c>
      <c r="B92" s="83">
        <f>SUM(B30,D30,F30,H30,J30,L30,N30,P30,R30,T30,V30,X30)</f>
        <v>262444110</v>
      </c>
      <c r="D92" s="86" t="s">
        <v>128</v>
      </c>
      <c r="E92" s="86" t="s">
        <v>113</v>
      </c>
      <c r="F92" s="86" t="s">
        <v>116</v>
      </c>
      <c r="G92" s="86" t="s">
        <v>119</v>
      </c>
      <c r="H92" s="86" t="s">
        <v>129</v>
      </c>
      <c r="I92" s="92" t="s">
        <v>131</v>
      </c>
      <c r="J92" s="87" t="s">
        <v>132</v>
      </c>
      <c r="K92" s="87" t="s">
        <v>133</v>
      </c>
      <c r="L92" s="87" t="s">
        <v>134</v>
      </c>
    </row>
    <row r="93" ht="22.5" customHeight="1">
      <c r="A93" s="4" t="s">
        <v>135</v>
      </c>
      <c r="B93" s="83">
        <f>SUM(B56,D56,F56,H56,J56,L56,N56,P56,R56,T56,V56,X56)</f>
        <v>16153211.6</v>
      </c>
      <c r="D93" s="118" t="s">
        <v>240</v>
      </c>
      <c r="E93" s="131">
        <f t="array" ref="E93">IFERROR(INDEX(FCD[], MATCH(D93, FCD[FIIs], 0), MATCH(FCD[[#HEADERS],[V/Mercado]], FCD[#HEADERS], 0)),"")</f>
        <v>102.66</v>
      </c>
      <c r="F93" s="131">
        <f t="array" ref="F93">IFERROR(INDEX(Indicador_Fii[], MATCH(D93, Indicador_Fii[Fii], 0), MATCH(Indicador_Fii[[#HEADERS],[VP/Cota]], Indicador_Fii[#HEADERS], 0)),"")</f>
        <v>116.67</v>
      </c>
      <c r="G93" s="108">
        <f t="shared" ref="G93:G94" si="90">E93/F93</f>
        <v>0.8799177166</v>
      </c>
      <c r="H93" s="94">
        <f t="shared" ref="H93:H94" si="91">I93/F93</f>
        <v>0.8870707122</v>
      </c>
      <c r="I93" s="101">
        <f t="array" ref="I93">IFERROR(INDEX(FCD[], MATCH(D93, FCD[FIIs], 0), MATCH(FCD[[#HEADERS],[Preço_Justo]], FCD[#HEADERS], 0)),"")</f>
        <v>103.49454</v>
      </c>
      <c r="J93" s="98">
        <f t="array" ref="J93">IFERROR(INDEX(Indicador_Fii[], MATCH(D93, Indicador_Fii[Fii], 0), MATCH(Indicador_Fii[[#HEADERS],[FFO_Yield]], Indicador_Fii[#HEADERS], 0)),"")</f>
        <v>10.21</v>
      </c>
      <c r="K93" s="98">
        <f t="array" ref="K93">IFERROR(INDEX(Indicador_Fii[], MATCH(D93, Indicador_Fii[Fii], 0), MATCH(Indicador_Fii[[#HEADERS],[DIV_Yield]], Indicador_Fii[#HEADERS], 0)),"")</f>
        <v>9</v>
      </c>
      <c r="L93" s="100">
        <f>IFERROR(__xludf.DUMMYFUNCTION("GOOGLEFINANCE(D93, ""volumeavg"")"),37077.0)</f>
        <v>37077</v>
      </c>
    </row>
    <row r="94" ht="22.5" customHeight="1">
      <c r="A94" s="4" t="s">
        <v>144</v>
      </c>
      <c r="B94" s="13">
        <f>B93/B92</f>
        <v>0.06154914888</v>
      </c>
      <c r="D94" s="175" t="s">
        <v>246</v>
      </c>
      <c r="E94" s="131">
        <f t="array" ref="E94">IFERROR(INDEX(FCD[], MATCH(D94, FCD[FIIs], 0), MATCH(FCD[[#HEADERS],[V/Mercado]], FCD[#HEADERS], 0)),"")</f>
        <v>18.68</v>
      </c>
      <c r="F94" s="133">
        <f t="array" ref="F94">IFERROR(INDEX(Indicador_Fii[], MATCH(D94, Indicador_Fii[Fii], 0), MATCH(Indicador_Fii[[#HEADERS],[VP/Cota]], Indicador_Fii[#HEADERS], 0)),"")</f>
        <v>20.38</v>
      </c>
      <c r="G94" s="115">
        <f t="shared" si="90"/>
        <v>0.9165848871</v>
      </c>
      <c r="H94" s="94">
        <f t="shared" si="91"/>
        <v>0.9467618312</v>
      </c>
      <c r="I94" s="101">
        <f t="array" ref="I94">IFERROR(INDEX(FCD[], MATCH(D94, FCD[FIIs], 0), MATCH(FCD[[#HEADERS],[Preço_Justo]], FCD[#HEADERS], 0)),"")</f>
        <v>19.29500612</v>
      </c>
      <c r="J94" s="98">
        <f t="array" ref="J94">IFERROR(INDEX(Indicador_Fii[], MATCH(D94, Indicador_Fii[Fii], 0), MATCH(Indicador_Fii[[#HEADERS],[FFO_Yield]], Indicador_Fii[#HEADERS], 0)),"")</f>
        <v>8.17</v>
      </c>
      <c r="K94" s="98">
        <f t="array" ref="K94">IFERROR(INDEX(Indicador_Fii[], MATCH(D94, Indicador_Fii[Fii], 0), MATCH(Indicador_Fii[[#HEADERS],[DIV_Yield]], Indicador_Fii[#HEADERS], 0)),"")</f>
        <v>8.4</v>
      </c>
      <c r="L94" s="100">
        <f>IFERROR(__xludf.DUMMYFUNCTION("GOOGLEFINANCE(D94, ""volumeavg"")"),249872.0)</f>
        <v>249872</v>
      </c>
    </row>
    <row r="95">
      <c r="A95" s="4" t="s">
        <v>146</v>
      </c>
      <c r="B95" s="83">
        <f>IFERROR(__xludf.DUMMYFUNCTION("GOOGLEFINANCE(B89)*B97"),2.69656496168E9)</f>
        <v>2696564962</v>
      </c>
      <c r="D95" s="6"/>
      <c r="E95" s="6"/>
      <c r="F95" s="6"/>
      <c r="G95" s="6"/>
    </row>
    <row r="96">
      <c r="A96" s="4" t="s">
        <v>147</v>
      </c>
      <c r="B96" s="13">
        <f>B93/B95</f>
        <v>0.005990292031</v>
      </c>
    </row>
    <row r="97">
      <c r="A97" s="4" t="s">
        <v>149</v>
      </c>
      <c r="B97" s="22">
        <f t="array" ref="B97">IFERROR(INDEX(Indicador_Fii[], MATCH(B89, Indicador_Fii[Fii], 0), MATCH(Indicador_Fii[[#HEADERS],[Qtd_Cotas]], Indicador_Fii[#HEADERS], 0)),"")</f>
        <v>144355726</v>
      </c>
    </row>
    <row r="98">
      <c r="A98" s="4" t="s">
        <v>150</v>
      </c>
      <c r="B98" s="24">
        <f t="array" ref="B98">IFERROR(INDEX(Indicador_Fii[], MATCH(B89, Indicador_Fii[Fii], 0), MATCH(Indicador_Fii[[#HEADERS],[Patrimonio_Liq]], Indicador_Fii[#HEADERS], 0)),"")</f>
        <v>2942000000</v>
      </c>
    </row>
    <row r="99">
      <c r="A99" s="4" t="s">
        <v>151</v>
      </c>
      <c r="B99" s="40">
        <f>B92/B98</f>
        <v>0.08920601971</v>
      </c>
    </row>
    <row r="100">
      <c r="A100" s="4" t="s">
        <v>63</v>
      </c>
      <c r="B100" s="24">
        <f>SUM(B36,D36,F36,H36,J36,L36,N36,P36,R36,T36,V36,X36)</f>
        <v>277672381</v>
      </c>
    </row>
    <row r="101">
      <c r="A101" s="4" t="s">
        <v>152</v>
      </c>
      <c r="B101" s="40">
        <f>B100/B92</f>
        <v>1.058024815</v>
      </c>
    </row>
    <row r="102">
      <c r="A102" s="4" t="s">
        <v>153</v>
      </c>
      <c r="B102" s="4" t="s">
        <v>154</v>
      </c>
    </row>
    <row r="103">
      <c r="A103" s="4" t="s">
        <v>155</v>
      </c>
      <c r="B103" s="4" t="s">
        <v>3</v>
      </c>
    </row>
    <row r="104">
      <c r="A104" s="4" t="s">
        <v>156</v>
      </c>
      <c r="B104" s="4" t="s">
        <v>3</v>
      </c>
    </row>
    <row r="105">
      <c r="B105" s="124"/>
    </row>
  </sheetData>
  <mergeCells count="1">
    <mergeCell ref="B105:G110"/>
  </mergeCells>
  <dataValidations>
    <dataValidation type="list" allowBlank="1" showErrorMessage="1" sqref="B1 D1 F1 H1 J1 L1 N1 P1 R1 T1 V1 X1 B42 D42 F42 H42 J42 L42 N42 P42 R42 T42 V42 X42 B66 D66 F66 H66 J66 L66 N66 P66 R66 T66 V66 X66">
      <formula1>"Feito,Não,Atual"</formula1>
    </dataValidation>
    <dataValidation type="list" allowBlank="1" showErrorMessage="1" sqref="B102">
      <formula1>"Bom,Normal,Cuidado_Ver_DRE"</formula1>
    </dataValidation>
    <dataValidation type="list" allowBlank="1" showErrorMessage="1" sqref="B103:B104">
      <formula1>"Feito,Não"</formula1>
    </dataValidation>
    <dataValidation type="custom" allowBlank="1" showDropDown="1" sqref="E93:G94 L93:L94">
      <formula1>AND(ISNUMBER(E93),(NOT(OR(NOT(ISERROR(DATEVALUE(E93))), AND(ISNUMBER(E93), LEFT(CELL("format", E93))="D")))))</formula1>
    </dataValidation>
  </dataValidations>
  <drawing r:id="rId2"/>
  <legacy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3" width="15.25"/>
    <col customWidth="1" min="4" max="4" width="17.5"/>
    <col customWidth="1" min="5" max="5" width="16.25"/>
    <col customWidth="1" min="6" max="6" width="19.5"/>
    <col customWidth="1" min="7" max="7" width="17.75"/>
    <col customWidth="1" min="8" max="8" width="17.88"/>
    <col customWidth="1" min="9" max="9" width="16.13"/>
    <col customWidth="1" min="10" max="10" width="18.63"/>
    <col customWidth="1" min="11" max="11" width="16.0"/>
    <col customWidth="1" min="12" max="12" width="18.5"/>
    <col customWidth="1" min="13" max="13" width="16.5"/>
    <col customWidth="1" min="14" max="14" width="21.0"/>
    <col customWidth="1" min="15" max="15" width="15.38"/>
    <col customWidth="1" min="16" max="16" width="20.5"/>
    <col customWidth="1" min="17" max="17" width="15.63"/>
    <col customWidth="1" min="18" max="18" width="19.0"/>
    <col customWidth="1" min="19" max="19" width="15.5"/>
    <col customWidth="1" min="20" max="20" width="16.88"/>
    <col customWidth="1" min="21" max="21" width="15.13"/>
    <col customWidth="1" min="22" max="22" width="16.63"/>
    <col customWidth="1" min="23" max="23" width="15.38"/>
    <col customWidth="1" min="24" max="24" width="16.38"/>
    <col customWidth="1" min="25" max="25" width="15.63"/>
  </cols>
  <sheetData>
    <row r="1">
      <c r="A1" s="1" t="s">
        <v>0</v>
      </c>
      <c r="B1" s="2" t="s">
        <v>1</v>
      </c>
      <c r="C1" s="3">
        <v>46058.0</v>
      </c>
      <c r="D1" s="2" t="s">
        <v>1</v>
      </c>
      <c r="E1" s="3">
        <v>46087.0</v>
      </c>
      <c r="F1" s="2" t="s">
        <v>1</v>
      </c>
      <c r="G1" s="3">
        <v>46114.0</v>
      </c>
      <c r="H1" s="2" t="s">
        <v>1</v>
      </c>
      <c r="I1" s="3">
        <v>46149.0</v>
      </c>
      <c r="J1" s="2" t="s">
        <v>1</v>
      </c>
      <c r="K1" s="3">
        <v>46182.0</v>
      </c>
      <c r="L1" s="2" t="s">
        <v>1</v>
      </c>
      <c r="M1" s="3">
        <v>46197.0</v>
      </c>
      <c r="N1" s="2" t="s">
        <v>1</v>
      </c>
      <c r="O1" s="3">
        <v>46239.0</v>
      </c>
      <c r="P1" s="2" t="s">
        <v>2</v>
      </c>
      <c r="Q1" s="3">
        <v>46267.0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1" t="s">
        <v>202</v>
      </c>
      <c r="B2" s="1" t="s">
        <v>5</v>
      </c>
      <c r="C2" s="53"/>
      <c r="D2" s="54" t="s">
        <v>6</v>
      </c>
      <c r="E2" s="55"/>
      <c r="F2" s="54" t="s">
        <v>7</v>
      </c>
      <c r="G2" s="55"/>
      <c r="H2" s="54" t="s">
        <v>8</v>
      </c>
      <c r="I2" s="55"/>
      <c r="J2" s="54" t="s">
        <v>9</v>
      </c>
      <c r="K2" s="55"/>
      <c r="L2" s="54" t="s">
        <v>10</v>
      </c>
      <c r="M2" s="55"/>
      <c r="N2" s="54" t="s">
        <v>11</v>
      </c>
      <c r="O2" s="55"/>
      <c r="P2" s="1" t="s">
        <v>12</v>
      </c>
      <c r="Q2" s="53"/>
      <c r="R2" s="1" t="s">
        <v>13</v>
      </c>
      <c r="S2" s="53"/>
      <c r="T2" s="1" t="s">
        <v>14</v>
      </c>
      <c r="U2" s="53"/>
      <c r="V2" s="1" t="s">
        <v>15</v>
      </c>
      <c r="W2" s="53"/>
      <c r="X2" s="1" t="s">
        <v>16</v>
      </c>
    </row>
    <row r="3">
      <c r="A3" s="7" t="s">
        <v>17</v>
      </c>
      <c r="B3" s="8">
        <f>SUM(B4,B6,B8,B10,B12)</f>
        <v>50101449</v>
      </c>
      <c r="C3" s="9">
        <f t="shared" ref="C3:C15" si="1">IFERROR(SUM((D3/B3)-1),0)</f>
        <v>-0.06175927167</v>
      </c>
      <c r="D3" s="8">
        <f>SUM(D4,D6,D8,D10,D12)</f>
        <v>47007220</v>
      </c>
      <c r="E3" s="9">
        <f t="shared" ref="E3:E15" si="2">IFERROR(SUM((F3/D3)-1),0)</f>
        <v>0.009552022009</v>
      </c>
      <c r="F3" s="8">
        <f>SUM(F4,F6,F8,F10,F12)</f>
        <v>47456234</v>
      </c>
      <c r="G3" s="9">
        <f t="shared" ref="G3:G15" si="3">IFERROR(SUM((H3/F3)-1),0)</f>
        <v>0.01679140827</v>
      </c>
      <c r="H3" s="8">
        <f>SUM(H4,H6,H8,H10,H12)</f>
        <v>48253091</v>
      </c>
      <c r="I3" s="9">
        <f t="shared" ref="I3:I15" si="4">IFERROR(SUM((J3/H3)-1),0)</f>
        <v>0.0313936987</v>
      </c>
      <c r="J3" s="8">
        <f>SUM(J4,J6,J8,J10,J12)</f>
        <v>49767934</v>
      </c>
      <c r="K3" s="9">
        <f t="shared" ref="K3:K15" si="5">IFERROR(SUM((L3/J3)-1),0)</f>
        <v>0.006014655943</v>
      </c>
      <c r="L3" s="8">
        <f>SUM(L4,L6,L8,L10,L12)</f>
        <v>50067271</v>
      </c>
      <c r="M3" s="9">
        <f t="shared" ref="M3:M15" si="6">IFERROR(SUM((N3/L3)-1),0)</f>
        <v>0.07935932837</v>
      </c>
      <c r="N3" s="8">
        <f>SUM(N4,N6,N8,N10,N12)</f>
        <v>54040576</v>
      </c>
      <c r="O3" s="9">
        <f t="shared" ref="O3:O15" si="7">IFERROR(SUM((P3/N3)-1),0)</f>
        <v>0</v>
      </c>
      <c r="P3" s="8">
        <f>SUM(P4,P6,P8,P10,P12)</f>
        <v>54040576</v>
      </c>
      <c r="Q3" s="9">
        <f t="shared" ref="Q3:Q15" si="8">IFERROR(SUM((R3/P3)-1),0)</f>
        <v>-0.07289202469</v>
      </c>
      <c r="R3" s="8">
        <f>SUM(R4,R6,R8,R10,R12)</f>
        <v>50101449</v>
      </c>
      <c r="S3" s="9">
        <f t="shared" ref="S3:S15" si="9">IFERROR(SUM((T3/R3)-1),0)</f>
        <v>0</v>
      </c>
      <c r="T3" s="8">
        <f>SUM(T4,T6,T8,T10,T12)</f>
        <v>50101449</v>
      </c>
      <c r="U3" s="9">
        <f t="shared" ref="U3:U15" si="10">IFERROR(SUM((V3/T3)-1),0)</f>
        <v>0</v>
      </c>
      <c r="V3" s="8">
        <f>SUM(V4,V6,V8,V10,V12)</f>
        <v>50101449</v>
      </c>
      <c r="W3" s="9">
        <f t="shared" ref="W3:W15" si="11">IFERROR(SUM((X3/V3)-1),0)</f>
        <v>0</v>
      </c>
      <c r="X3" s="8">
        <f>SUM(X4,X6,X8,X10,X12)</f>
        <v>50101449</v>
      </c>
      <c r="Y3" s="10"/>
    </row>
    <row r="4">
      <c r="A4" s="4" t="s">
        <v>203</v>
      </c>
      <c r="B4" s="15">
        <v>3.7945179E7</v>
      </c>
      <c r="C4" s="13">
        <f t="shared" si="1"/>
        <v>-0.04346965922</v>
      </c>
      <c r="D4" s="15">
        <v>3.6295715E7</v>
      </c>
      <c r="E4" s="13">
        <f t="shared" si="2"/>
        <v>0.05135578676</v>
      </c>
      <c r="F4" s="15">
        <v>3.815971E7</v>
      </c>
      <c r="G4" s="13">
        <f t="shared" si="3"/>
        <v>0.02943541762</v>
      </c>
      <c r="H4" s="15">
        <v>3.9282957E7</v>
      </c>
      <c r="I4" s="13">
        <f t="shared" si="4"/>
        <v>0.02575266928</v>
      </c>
      <c r="J4" s="15">
        <v>4.0294598E7</v>
      </c>
      <c r="K4" s="13">
        <f t="shared" si="5"/>
        <v>0.03181019451</v>
      </c>
      <c r="L4" s="15">
        <v>4.1576377E7</v>
      </c>
      <c r="M4" s="13">
        <f t="shared" si="6"/>
        <v>-0.001227716403</v>
      </c>
      <c r="N4" s="15">
        <v>4.1525333E7</v>
      </c>
      <c r="O4" s="13">
        <f t="shared" si="7"/>
        <v>0</v>
      </c>
      <c r="P4" s="15">
        <v>4.1525333E7</v>
      </c>
      <c r="Q4" s="13">
        <f t="shared" si="8"/>
        <v>-0.08621614184</v>
      </c>
      <c r="R4" s="15">
        <v>3.7945179E7</v>
      </c>
      <c r="S4" s="13">
        <f t="shared" si="9"/>
        <v>0</v>
      </c>
      <c r="T4" s="15">
        <v>3.7945179E7</v>
      </c>
      <c r="U4" s="13">
        <f t="shared" si="10"/>
        <v>0</v>
      </c>
      <c r="V4" s="15">
        <v>3.7945179E7</v>
      </c>
      <c r="W4" s="13">
        <f t="shared" si="11"/>
        <v>0</v>
      </c>
      <c r="X4" s="15">
        <v>3.7945179E7</v>
      </c>
      <c r="Y4" s="13"/>
    </row>
    <row r="5">
      <c r="A5" s="16" t="s">
        <v>204</v>
      </c>
      <c r="B5" s="17">
        <f>B4/B3</f>
        <v>0.7573668977</v>
      </c>
      <c r="C5" s="18">
        <f t="shared" si="1"/>
        <v>0.01949351793</v>
      </c>
      <c r="D5" s="17">
        <f>D4/D3</f>
        <v>0.7721306429</v>
      </c>
      <c r="E5" s="18">
        <f t="shared" si="2"/>
        <v>0.04140823241</v>
      </c>
      <c r="F5" s="17">
        <f>F4/F3</f>
        <v>0.804103208</v>
      </c>
      <c r="G5" s="18">
        <f t="shared" si="3"/>
        <v>0.01243520475</v>
      </c>
      <c r="H5" s="17">
        <f>H4/H3</f>
        <v>0.8141023961</v>
      </c>
      <c r="I5" s="18">
        <f t="shared" si="4"/>
        <v>-0.005469327011</v>
      </c>
      <c r="J5" s="17">
        <f>J4/J3</f>
        <v>0.8096498038</v>
      </c>
      <c r="K5" s="18">
        <f t="shared" si="5"/>
        <v>0.02564131488</v>
      </c>
      <c r="L5" s="17">
        <f>L4/L3</f>
        <v>0.8304102894</v>
      </c>
      <c r="M5" s="18">
        <f t="shared" si="6"/>
        <v>-0.07466192458</v>
      </c>
      <c r="N5" s="17">
        <f>N4/N3</f>
        <v>0.768410259</v>
      </c>
      <c r="O5" s="18">
        <f t="shared" si="7"/>
        <v>0</v>
      </c>
      <c r="P5" s="17">
        <f>P4/P3</f>
        <v>0.768410259</v>
      </c>
      <c r="Q5" s="18">
        <f t="shared" si="8"/>
        <v>-0.01437169942</v>
      </c>
      <c r="R5" s="17">
        <f>R4/R3</f>
        <v>0.7573668977</v>
      </c>
      <c r="S5" s="18">
        <f t="shared" si="9"/>
        <v>0</v>
      </c>
      <c r="T5" s="17">
        <f>T4/T3</f>
        <v>0.7573668977</v>
      </c>
      <c r="U5" s="18">
        <f t="shared" si="10"/>
        <v>0</v>
      </c>
      <c r="V5" s="17">
        <f>V4/V3</f>
        <v>0.7573668977</v>
      </c>
      <c r="W5" s="18">
        <f t="shared" si="11"/>
        <v>0</v>
      </c>
      <c r="X5" s="17">
        <f>X4/X3</f>
        <v>0.7573668977</v>
      </c>
      <c r="Y5" s="13"/>
    </row>
    <row r="6">
      <c r="A6" s="4" t="s">
        <v>205</v>
      </c>
      <c r="B6" s="15">
        <v>5000000.0</v>
      </c>
      <c r="C6" s="13">
        <f t="shared" si="1"/>
        <v>-0.13</v>
      </c>
      <c r="D6" s="15">
        <v>4350000.0</v>
      </c>
      <c r="E6" s="13">
        <f t="shared" si="2"/>
        <v>-0.1939678161</v>
      </c>
      <c r="F6" s="15">
        <v>3506240.0</v>
      </c>
      <c r="G6" s="13">
        <f t="shared" si="3"/>
        <v>-0.04439969882</v>
      </c>
      <c r="H6" s="15">
        <v>3350564.0</v>
      </c>
      <c r="I6" s="13">
        <f t="shared" si="4"/>
        <v>-0.1195512159</v>
      </c>
      <c r="J6" s="15">
        <v>2950000.0</v>
      </c>
      <c r="K6" s="13">
        <f t="shared" si="5"/>
        <v>-0.4576271186</v>
      </c>
      <c r="L6" s="15">
        <v>1600000.0</v>
      </c>
      <c r="M6" s="13">
        <f t="shared" si="6"/>
        <v>2.1875</v>
      </c>
      <c r="N6" s="15">
        <v>5100000.0</v>
      </c>
      <c r="O6" s="13">
        <f t="shared" si="7"/>
        <v>0</v>
      </c>
      <c r="P6" s="15">
        <v>5100000.0</v>
      </c>
      <c r="Q6" s="13">
        <f t="shared" si="8"/>
        <v>-0.01960784314</v>
      </c>
      <c r="R6" s="15">
        <v>5000000.0</v>
      </c>
      <c r="S6" s="13">
        <f t="shared" si="9"/>
        <v>0</v>
      </c>
      <c r="T6" s="15">
        <v>5000000.0</v>
      </c>
      <c r="U6" s="13">
        <f t="shared" si="10"/>
        <v>0</v>
      </c>
      <c r="V6" s="15">
        <v>5000000.0</v>
      </c>
      <c r="W6" s="13">
        <f t="shared" si="11"/>
        <v>0</v>
      </c>
      <c r="X6" s="15">
        <v>5000000.0</v>
      </c>
    </row>
    <row r="7">
      <c r="A7" s="16" t="s">
        <v>206</v>
      </c>
      <c r="B7" s="17">
        <f>B6/B3</f>
        <v>0.09979751284</v>
      </c>
      <c r="C7" s="18">
        <f t="shared" si="1"/>
        <v>-0.07273264341</v>
      </c>
      <c r="D7" s="17">
        <f>D6/D3</f>
        <v>0.09253897593</v>
      </c>
      <c r="E7" s="18">
        <f t="shared" si="2"/>
        <v>-0.2015942058</v>
      </c>
      <c r="F7" s="17">
        <f>F6/F3</f>
        <v>0.07388365457</v>
      </c>
      <c r="G7" s="18">
        <f t="shared" si="3"/>
        <v>-0.06018059023</v>
      </c>
      <c r="H7" s="17">
        <f>H6/H3</f>
        <v>0.06943729263</v>
      </c>
      <c r="I7" s="18">
        <f t="shared" si="4"/>
        <v>-0.1463504331</v>
      </c>
      <c r="J7" s="17">
        <f>J6/J3</f>
        <v>0.05927511478</v>
      </c>
      <c r="K7" s="18">
        <f t="shared" si="5"/>
        <v>-0.4608698013</v>
      </c>
      <c r="L7" s="17">
        <f>L6/L3</f>
        <v>0.03195700441</v>
      </c>
      <c r="M7" s="18">
        <f t="shared" si="6"/>
        <v>1.953140735</v>
      </c>
      <c r="N7" s="17">
        <f>N6/N3</f>
        <v>0.09437353147</v>
      </c>
      <c r="O7" s="18">
        <f t="shared" si="7"/>
        <v>0</v>
      </c>
      <c r="P7" s="17">
        <f>P6/P3</f>
        <v>0.09437353147</v>
      </c>
      <c r="Q7" s="18">
        <f t="shared" si="8"/>
        <v>0.05747354458</v>
      </c>
      <c r="R7" s="17">
        <f>R6/R3</f>
        <v>0.09979751284</v>
      </c>
      <c r="S7" s="18">
        <f t="shared" si="9"/>
        <v>0</v>
      </c>
      <c r="T7" s="17">
        <f>T6/T3</f>
        <v>0.09979751284</v>
      </c>
      <c r="U7" s="18">
        <f t="shared" si="10"/>
        <v>0</v>
      </c>
      <c r="V7" s="17">
        <f>V6/V3</f>
        <v>0.09979751284</v>
      </c>
      <c r="W7" s="18">
        <f t="shared" si="11"/>
        <v>0</v>
      </c>
      <c r="X7" s="17">
        <f>X6/X3</f>
        <v>0.09979751284</v>
      </c>
    </row>
    <row r="8">
      <c r="A8" s="4" t="s">
        <v>207</v>
      </c>
      <c r="B8" s="15">
        <v>6294524.0</v>
      </c>
      <c r="C8" s="13">
        <f t="shared" si="1"/>
        <v>-0.06813652629</v>
      </c>
      <c r="D8" s="15">
        <v>5865637.0</v>
      </c>
      <c r="E8" s="13">
        <f t="shared" si="2"/>
        <v>-0.04015181983</v>
      </c>
      <c r="F8" s="15">
        <v>5630121.0</v>
      </c>
      <c r="G8" s="13">
        <f t="shared" si="3"/>
        <v>-0.152408625</v>
      </c>
      <c r="H8" s="15">
        <v>4772042.0</v>
      </c>
      <c r="I8" s="13">
        <f t="shared" si="4"/>
        <v>0.2613032325</v>
      </c>
      <c r="J8" s="15">
        <v>6018992.0</v>
      </c>
      <c r="K8" s="13">
        <f t="shared" si="5"/>
        <v>-0.06722022558</v>
      </c>
      <c r="L8" s="15">
        <v>5614394.0</v>
      </c>
      <c r="M8" s="13">
        <f t="shared" si="6"/>
        <v>0.0667341836</v>
      </c>
      <c r="N8" s="15">
        <v>5989066.0</v>
      </c>
      <c r="O8" s="13">
        <f t="shared" si="7"/>
        <v>0</v>
      </c>
      <c r="P8" s="15">
        <v>5989066.0</v>
      </c>
      <c r="Q8" s="13">
        <f t="shared" si="8"/>
        <v>0.05100261042</v>
      </c>
      <c r="R8" s="15">
        <v>6294524.0</v>
      </c>
      <c r="S8" s="13">
        <f t="shared" si="9"/>
        <v>0</v>
      </c>
      <c r="T8" s="15">
        <v>6294524.0</v>
      </c>
      <c r="U8" s="13">
        <f t="shared" si="10"/>
        <v>0</v>
      </c>
      <c r="V8" s="15">
        <v>6294524.0</v>
      </c>
      <c r="W8" s="13">
        <f t="shared" si="11"/>
        <v>0</v>
      </c>
      <c r="X8" s="15">
        <v>6294524.0</v>
      </c>
    </row>
    <row r="9">
      <c r="A9" s="16" t="s">
        <v>210</v>
      </c>
      <c r="B9" s="17">
        <f>B8/B3</f>
        <v>0.1256355679</v>
      </c>
      <c r="C9" s="18">
        <f t="shared" si="1"/>
        <v>-0.006797034517</v>
      </c>
      <c r="D9" s="17">
        <f>D8/D3</f>
        <v>0.1247816187</v>
      </c>
      <c r="E9" s="18">
        <f t="shared" si="2"/>
        <v>-0.04923356177</v>
      </c>
      <c r="F9" s="17">
        <f>F8/F3</f>
        <v>0.1186381751</v>
      </c>
      <c r="G9" s="18">
        <f t="shared" si="3"/>
        <v>-0.1664058448</v>
      </c>
      <c r="H9" s="17">
        <f>H8/H3</f>
        <v>0.09889608937</v>
      </c>
      <c r="I9" s="18">
        <f t="shared" si="4"/>
        <v>0.2229115168</v>
      </c>
      <c r="J9" s="17">
        <f>J8/J3</f>
        <v>0.1209411667</v>
      </c>
      <c r="K9" s="18">
        <f t="shared" si="5"/>
        <v>-0.07279703242</v>
      </c>
      <c r="L9" s="17">
        <f>L8/L3</f>
        <v>0.1121370086</v>
      </c>
      <c r="M9" s="18">
        <f t="shared" si="6"/>
        <v>-0.01169688763</v>
      </c>
      <c r="N9" s="17">
        <f>N8/N3</f>
        <v>0.1108253546</v>
      </c>
      <c r="O9" s="18">
        <f t="shared" si="7"/>
        <v>0</v>
      </c>
      <c r="P9" s="17">
        <f>P8/P3</f>
        <v>0.1108253546</v>
      </c>
      <c r="Q9" s="18">
        <f t="shared" si="8"/>
        <v>0.1336356049</v>
      </c>
      <c r="R9" s="17">
        <f>R8/R3</f>
        <v>0.1256355679</v>
      </c>
      <c r="S9" s="18">
        <f t="shared" si="9"/>
        <v>0</v>
      </c>
      <c r="T9" s="17">
        <f>T8/T3</f>
        <v>0.1256355679</v>
      </c>
      <c r="U9" s="18">
        <f t="shared" si="10"/>
        <v>0</v>
      </c>
      <c r="V9" s="17">
        <f>V8/V3</f>
        <v>0.1256355679</v>
      </c>
      <c r="W9" s="18">
        <f t="shared" si="11"/>
        <v>0</v>
      </c>
      <c r="X9" s="17">
        <f>X8/X3</f>
        <v>0.1256355679</v>
      </c>
    </row>
    <row r="10">
      <c r="A10" s="4" t="s">
        <v>32</v>
      </c>
      <c r="B10" s="15">
        <v>861746.0</v>
      </c>
      <c r="C10" s="13">
        <f t="shared" si="1"/>
        <v>-0.4245775437</v>
      </c>
      <c r="D10" s="15">
        <v>495868.0</v>
      </c>
      <c r="E10" s="13">
        <f t="shared" si="2"/>
        <v>-0.6770047674</v>
      </c>
      <c r="F10" s="15">
        <v>160163.0</v>
      </c>
      <c r="G10" s="13">
        <f t="shared" si="3"/>
        <v>4.291659122</v>
      </c>
      <c r="H10" s="15">
        <v>847528.0</v>
      </c>
      <c r="I10" s="13">
        <f t="shared" si="4"/>
        <v>-0.4049234952</v>
      </c>
      <c r="J10" s="15">
        <v>504344.0</v>
      </c>
      <c r="K10" s="13">
        <f t="shared" si="5"/>
        <v>1.53101058</v>
      </c>
      <c r="L10" s="15">
        <v>1276500.0</v>
      </c>
      <c r="M10" s="13">
        <f t="shared" si="6"/>
        <v>0.1172557775</v>
      </c>
      <c r="N10" s="15">
        <v>1426177.0</v>
      </c>
      <c r="O10" s="13">
        <f t="shared" si="7"/>
        <v>0</v>
      </c>
      <c r="P10" s="15">
        <v>1426177.0</v>
      </c>
      <c r="Q10" s="13">
        <f t="shared" si="8"/>
        <v>-0.3957650418</v>
      </c>
      <c r="R10" s="15">
        <v>861746.0</v>
      </c>
      <c r="S10" s="13">
        <f t="shared" si="9"/>
        <v>0</v>
      </c>
      <c r="T10" s="15">
        <v>861746.0</v>
      </c>
      <c r="U10" s="13">
        <f t="shared" si="10"/>
        <v>0</v>
      </c>
      <c r="V10" s="15">
        <v>861746.0</v>
      </c>
      <c r="W10" s="13">
        <f t="shared" si="11"/>
        <v>0</v>
      </c>
      <c r="X10" s="15">
        <v>861746.0</v>
      </c>
    </row>
    <row r="11">
      <c r="A11" s="16" t="s">
        <v>34</v>
      </c>
      <c r="B11" s="17">
        <f>B10/B3</f>
        <v>0.0172000215</v>
      </c>
      <c r="C11" s="18">
        <f t="shared" si="1"/>
        <v>-0.3867006208</v>
      </c>
      <c r="D11" s="17">
        <f>D10/D3</f>
        <v>0.01054876251</v>
      </c>
      <c r="E11" s="18">
        <f t="shared" si="2"/>
        <v>-0.6800608334</v>
      </c>
      <c r="F11" s="17">
        <f>F10/F3</f>
        <v>0.003374962286</v>
      </c>
      <c r="G11" s="18">
        <f t="shared" si="3"/>
        <v>4.204272065</v>
      </c>
      <c r="H11" s="17">
        <f>H10/H3</f>
        <v>0.01756422195</v>
      </c>
      <c r="I11" s="18">
        <f t="shared" si="4"/>
        <v>-0.423036513</v>
      </c>
      <c r="J11" s="17">
        <f>J10/J3</f>
        <v>0.01013391474</v>
      </c>
      <c r="K11" s="18">
        <f t="shared" si="5"/>
        <v>1.515878437</v>
      </c>
      <c r="L11" s="17">
        <f>L10/L3</f>
        <v>0.02549569758</v>
      </c>
      <c r="M11" s="18">
        <f t="shared" si="6"/>
        <v>0.0351101326</v>
      </c>
      <c r="N11" s="17">
        <f>N10/N3</f>
        <v>0.0263908549</v>
      </c>
      <c r="O11" s="18">
        <f t="shared" si="7"/>
        <v>0</v>
      </c>
      <c r="P11" s="17">
        <f>P10/P3</f>
        <v>0.0263908549</v>
      </c>
      <c r="Q11" s="18">
        <f t="shared" si="8"/>
        <v>-0.3482582673</v>
      </c>
      <c r="R11" s="17">
        <f>R10/R3</f>
        <v>0.0172000215</v>
      </c>
      <c r="S11" s="18">
        <f t="shared" si="9"/>
        <v>0</v>
      </c>
      <c r="T11" s="17">
        <f>T10/T3</f>
        <v>0.0172000215</v>
      </c>
      <c r="U11" s="18">
        <f t="shared" si="10"/>
        <v>0</v>
      </c>
      <c r="V11" s="17">
        <f>V10/V3</f>
        <v>0.0172000215</v>
      </c>
      <c r="W11" s="18">
        <f t="shared" si="11"/>
        <v>0</v>
      </c>
      <c r="X11" s="17">
        <f>X10/X3</f>
        <v>0.0172000215</v>
      </c>
    </row>
    <row r="12">
      <c r="A12" s="4" t="s">
        <v>45</v>
      </c>
      <c r="B12" s="15">
        <v>0.0</v>
      </c>
      <c r="C12" s="13">
        <f t="shared" si="1"/>
        <v>0</v>
      </c>
      <c r="D12" s="15">
        <v>0.0</v>
      </c>
      <c r="E12" s="13">
        <f t="shared" si="2"/>
        <v>0</v>
      </c>
      <c r="F12" s="15">
        <v>0.0</v>
      </c>
      <c r="G12" s="13">
        <f t="shared" si="3"/>
        <v>0</v>
      </c>
      <c r="H12" s="15">
        <v>0.0</v>
      </c>
      <c r="I12" s="13">
        <f t="shared" si="4"/>
        <v>0</v>
      </c>
      <c r="J12" s="15">
        <v>0.0</v>
      </c>
      <c r="K12" s="13">
        <f t="shared" si="5"/>
        <v>0</v>
      </c>
      <c r="L12" s="15">
        <v>0.0</v>
      </c>
      <c r="M12" s="13">
        <f t="shared" si="6"/>
        <v>0</v>
      </c>
      <c r="N12" s="15">
        <v>0.0</v>
      </c>
      <c r="O12" s="13">
        <f t="shared" si="7"/>
        <v>0</v>
      </c>
      <c r="P12" s="15">
        <v>0.0</v>
      </c>
      <c r="Q12" s="13">
        <f t="shared" si="8"/>
        <v>0</v>
      </c>
      <c r="R12" s="15">
        <v>0.0</v>
      </c>
      <c r="S12" s="13">
        <f t="shared" si="9"/>
        <v>0</v>
      </c>
      <c r="T12" s="15">
        <v>0.0</v>
      </c>
      <c r="U12" s="13">
        <f t="shared" si="10"/>
        <v>0</v>
      </c>
      <c r="V12" s="15">
        <v>0.0</v>
      </c>
      <c r="W12" s="13">
        <f t="shared" si="11"/>
        <v>0</v>
      </c>
      <c r="X12" s="15">
        <v>0.0</v>
      </c>
    </row>
    <row r="13">
      <c r="A13" s="16" t="s">
        <v>47</v>
      </c>
      <c r="B13" s="17">
        <f>B12/B3</f>
        <v>0</v>
      </c>
      <c r="C13" s="18">
        <f t="shared" si="1"/>
        <v>0</v>
      </c>
      <c r="D13" s="17">
        <f>D12/D3</f>
        <v>0</v>
      </c>
      <c r="E13" s="18">
        <f t="shared" si="2"/>
        <v>0</v>
      </c>
      <c r="F13" s="17">
        <f>F12/F3</f>
        <v>0</v>
      </c>
      <c r="G13" s="18">
        <f t="shared" si="3"/>
        <v>0</v>
      </c>
      <c r="H13" s="17">
        <f>H12/H3</f>
        <v>0</v>
      </c>
      <c r="I13" s="18">
        <f t="shared" si="4"/>
        <v>0</v>
      </c>
      <c r="J13" s="17">
        <f>J12/J3</f>
        <v>0</v>
      </c>
      <c r="K13" s="18">
        <f t="shared" si="5"/>
        <v>0</v>
      </c>
      <c r="L13" s="17">
        <f>L12/L3</f>
        <v>0</v>
      </c>
      <c r="M13" s="18">
        <f t="shared" si="6"/>
        <v>0</v>
      </c>
      <c r="N13" s="17">
        <f>N12/N3</f>
        <v>0</v>
      </c>
      <c r="O13" s="18">
        <f t="shared" si="7"/>
        <v>0</v>
      </c>
      <c r="P13" s="17">
        <f>P12/P3</f>
        <v>0</v>
      </c>
      <c r="Q13" s="18">
        <f t="shared" si="8"/>
        <v>0</v>
      </c>
      <c r="R13" s="17">
        <f>R12/R3</f>
        <v>0</v>
      </c>
      <c r="S13" s="18">
        <f t="shared" si="9"/>
        <v>0</v>
      </c>
      <c r="T13" s="17">
        <f>T12/T3</f>
        <v>0</v>
      </c>
      <c r="U13" s="18">
        <f t="shared" si="10"/>
        <v>0</v>
      </c>
      <c r="V13" s="17">
        <f>V12/V3</f>
        <v>0</v>
      </c>
      <c r="W13" s="18">
        <f t="shared" si="11"/>
        <v>0</v>
      </c>
      <c r="X13" s="17">
        <f>X12/X3</f>
        <v>0</v>
      </c>
    </row>
    <row r="14">
      <c r="A14" s="1" t="s">
        <v>36</v>
      </c>
      <c r="B14" s="24">
        <f>B6</f>
        <v>5000000</v>
      </c>
      <c r="C14" s="13">
        <f t="shared" si="1"/>
        <v>-0.13</v>
      </c>
      <c r="D14" s="24">
        <f>D6</f>
        <v>4350000</v>
      </c>
      <c r="E14" s="13">
        <f t="shared" si="2"/>
        <v>-0.1939678161</v>
      </c>
      <c r="F14" s="24">
        <f>F6</f>
        <v>3506240</v>
      </c>
      <c r="G14" s="13">
        <f t="shared" si="3"/>
        <v>-0.04439969882</v>
      </c>
      <c r="H14" s="24">
        <f>H6</f>
        <v>3350564</v>
      </c>
      <c r="I14" s="13">
        <f t="shared" si="4"/>
        <v>-0.1195512159</v>
      </c>
      <c r="J14" s="24">
        <f>J6</f>
        <v>2950000</v>
      </c>
      <c r="K14" s="13">
        <f t="shared" si="5"/>
        <v>-0.4576271186</v>
      </c>
      <c r="L14" s="24">
        <f>L6</f>
        <v>1600000</v>
      </c>
      <c r="M14" s="13">
        <f t="shared" si="6"/>
        <v>2.1875</v>
      </c>
      <c r="N14" s="24">
        <f>N6</f>
        <v>5100000</v>
      </c>
      <c r="O14" s="13">
        <f t="shared" si="7"/>
        <v>0</v>
      </c>
      <c r="P14" s="24">
        <f>P6</f>
        <v>5100000</v>
      </c>
      <c r="Q14" s="13">
        <f t="shared" si="8"/>
        <v>-0.01960784314</v>
      </c>
      <c r="R14" s="24">
        <f>R6</f>
        <v>5000000</v>
      </c>
      <c r="S14" s="13">
        <f t="shared" si="9"/>
        <v>0</v>
      </c>
      <c r="T14" s="24">
        <f>T6</f>
        <v>5000000</v>
      </c>
      <c r="U14" s="13">
        <f t="shared" si="10"/>
        <v>0</v>
      </c>
      <c r="V14" s="24">
        <f>V6</f>
        <v>5000000</v>
      </c>
      <c r="W14" s="13">
        <f t="shared" si="11"/>
        <v>0</v>
      </c>
      <c r="X14" s="24">
        <f>X6</f>
        <v>5000000</v>
      </c>
    </row>
    <row r="15">
      <c r="A15" s="28" t="s">
        <v>39</v>
      </c>
      <c r="B15" s="24">
        <f>B3-ABS(B14)</f>
        <v>45101449</v>
      </c>
      <c r="C15" s="13">
        <f t="shared" si="1"/>
        <v>-0.05419402379</v>
      </c>
      <c r="D15" s="24">
        <f>D3-ABS(D14)</f>
        <v>42657220</v>
      </c>
      <c r="E15" s="13">
        <f t="shared" si="2"/>
        <v>0.03030610059</v>
      </c>
      <c r="F15" s="24">
        <f>F3-ABS(F14)</f>
        <v>43949994</v>
      </c>
      <c r="G15" s="13">
        <f t="shared" si="3"/>
        <v>0.02167310876</v>
      </c>
      <c r="H15" s="24">
        <f>H3-ABS(H14)</f>
        <v>44902527</v>
      </c>
      <c r="I15" s="13">
        <f t="shared" si="4"/>
        <v>0.0426569979</v>
      </c>
      <c r="J15" s="24">
        <f>J3-ABS(J14)</f>
        <v>46817934</v>
      </c>
      <c r="K15" s="13">
        <f t="shared" si="5"/>
        <v>0.03522874375</v>
      </c>
      <c r="L15" s="24">
        <f>L3-ABS(L14)</f>
        <v>48467271</v>
      </c>
      <c r="M15" s="13">
        <f t="shared" si="6"/>
        <v>0.009765455951</v>
      </c>
      <c r="N15" s="24">
        <f>N3-ABS(N14)</f>
        <v>48940576</v>
      </c>
      <c r="O15" s="13">
        <f t="shared" si="7"/>
        <v>0</v>
      </c>
      <c r="P15" s="24">
        <f>P3-ABS(P14)</f>
        <v>48940576</v>
      </c>
      <c r="Q15" s="13">
        <f t="shared" si="8"/>
        <v>-0.07844466318</v>
      </c>
      <c r="R15" s="24">
        <f>R3-ABS(R14)</f>
        <v>45101449</v>
      </c>
      <c r="S15" s="13">
        <f t="shared" si="9"/>
        <v>0</v>
      </c>
      <c r="T15" s="24">
        <f>T3-ABS(T14)</f>
        <v>45101449</v>
      </c>
      <c r="U15" s="13">
        <f t="shared" si="10"/>
        <v>0</v>
      </c>
      <c r="V15" s="24">
        <f>V3-ABS(V14)</f>
        <v>45101449</v>
      </c>
      <c r="W15" s="13">
        <f t="shared" si="11"/>
        <v>0</v>
      </c>
      <c r="X15" s="24">
        <f>X3-ABS(X14)</f>
        <v>45101449</v>
      </c>
    </row>
    <row r="17">
      <c r="A17" s="25" t="s">
        <v>44</v>
      </c>
      <c r="B17" s="26">
        <f>SUM(B18,B19)</f>
        <v>3337420</v>
      </c>
      <c r="C17" s="27">
        <f t="shared" ref="C17:C33" si="12">IFERROR(SUM((D17/B17)-1),0)</f>
        <v>0.02615433479</v>
      </c>
      <c r="D17" s="26">
        <f>SUM(D18,D19)</f>
        <v>3424708</v>
      </c>
      <c r="E17" s="27">
        <f t="shared" ref="E17:E33" si="13">IFERROR(SUM((F17/D17)-1),0)</f>
        <v>-0.007643279369</v>
      </c>
      <c r="F17" s="26">
        <f>SUM(F18,F19)</f>
        <v>3398532</v>
      </c>
      <c r="G17" s="27">
        <f t="shared" ref="G17:G33" si="14">IFERROR(SUM((H17/F17)-1),0)</f>
        <v>0.04883432023</v>
      </c>
      <c r="H17" s="26">
        <f>SUM(H18,H19)</f>
        <v>3564497</v>
      </c>
      <c r="I17" s="27">
        <f t="shared" ref="I17:I33" si="15">IFERROR(SUM((J17/H17)-1),0)</f>
        <v>-0.03253278092</v>
      </c>
      <c r="J17" s="26">
        <f>SUM(J18,J19)</f>
        <v>3448534</v>
      </c>
      <c r="K17" s="27">
        <f t="shared" ref="K17:K33" si="16">IFERROR(SUM((L17/J17)-1),0)</f>
        <v>0.01025160257</v>
      </c>
      <c r="L17" s="26">
        <f>SUM(L18,L19)</f>
        <v>3483887</v>
      </c>
      <c r="M17" s="27">
        <f t="shared" ref="M17:M33" si="17">IFERROR(SUM((N17/L17)-1),0)</f>
        <v>0.0206588216</v>
      </c>
      <c r="N17" s="26">
        <f>SUM(N18,N19)</f>
        <v>3555860</v>
      </c>
      <c r="O17" s="27">
        <f t="shared" ref="O17:O33" si="18">IFERROR(SUM((P17/N17)-1),0)</f>
        <v>0</v>
      </c>
      <c r="P17" s="26">
        <f>SUM(P18,P19)</f>
        <v>3555860</v>
      </c>
      <c r="Q17" s="27">
        <f t="shared" ref="Q17:Q33" si="19">IFERROR(SUM((R17/P17)-1),0)</f>
        <v>-0.06143098997</v>
      </c>
      <c r="R17" s="26">
        <f>SUM(R18,R19)</f>
        <v>3337420</v>
      </c>
      <c r="S17" s="27">
        <f t="shared" ref="S17:S33" si="20">IFERROR(SUM((T17/R17)-1),0)</f>
        <v>0</v>
      </c>
      <c r="T17" s="26">
        <f>SUM(T18,T19)</f>
        <v>3337420</v>
      </c>
      <c r="U17" s="27">
        <f t="shared" ref="U17:U33" si="21">IFERROR(SUM((V17/T17)-1),0)</f>
        <v>0</v>
      </c>
      <c r="V17" s="26">
        <f>SUM(V18,V19)</f>
        <v>3337420</v>
      </c>
      <c r="W17" s="27">
        <f t="shared" ref="W17:W33" si="22">IFERROR(SUM((X17/V17)-1),0)</f>
        <v>0</v>
      </c>
      <c r="X17" s="26">
        <f>SUM(X18,X19)</f>
        <v>3337420</v>
      </c>
    </row>
    <row r="18">
      <c r="A18" s="4" t="s">
        <v>212</v>
      </c>
      <c r="B18" s="15">
        <v>3337420.0</v>
      </c>
      <c r="C18" s="13">
        <f t="shared" si="12"/>
        <v>0.02615433479</v>
      </c>
      <c r="D18" s="15">
        <v>3424708.0</v>
      </c>
      <c r="E18" s="13">
        <f t="shared" si="13"/>
        <v>-0.007643279369</v>
      </c>
      <c r="F18" s="15">
        <v>3398532.0</v>
      </c>
      <c r="G18" s="13">
        <f t="shared" si="14"/>
        <v>0.04883432023</v>
      </c>
      <c r="H18" s="15">
        <v>3564497.0</v>
      </c>
      <c r="I18" s="13">
        <f t="shared" si="15"/>
        <v>-0.03253278092</v>
      </c>
      <c r="J18" s="15">
        <v>3448534.0</v>
      </c>
      <c r="K18" s="13">
        <f t="shared" si="16"/>
        <v>0.01025160257</v>
      </c>
      <c r="L18" s="15">
        <v>3483887.0</v>
      </c>
      <c r="M18" s="13">
        <f t="shared" si="17"/>
        <v>0.0206588216</v>
      </c>
      <c r="N18" s="15">
        <v>3555860.0</v>
      </c>
      <c r="O18" s="13">
        <f t="shared" si="18"/>
        <v>0</v>
      </c>
      <c r="P18" s="15">
        <v>3555860.0</v>
      </c>
      <c r="Q18" s="13">
        <f t="shared" si="19"/>
        <v>-0.06143098997</v>
      </c>
      <c r="R18" s="15">
        <v>3337420.0</v>
      </c>
      <c r="S18" s="13">
        <f t="shared" si="20"/>
        <v>0</v>
      </c>
      <c r="T18" s="15">
        <v>3337420.0</v>
      </c>
      <c r="U18" s="13">
        <f t="shared" si="21"/>
        <v>0</v>
      </c>
      <c r="V18" s="15">
        <v>3337420.0</v>
      </c>
      <c r="W18" s="13">
        <f t="shared" si="22"/>
        <v>0</v>
      </c>
      <c r="X18" s="15">
        <v>3337420.0</v>
      </c>
    </row>
    <row r="19">
      <c r="A19" s="25" t="s">
        <v>49</v>
      </c>
      <c r="B19" s="15">
        <v>0.0</v>
      </c>
      <c r="C19" s="13">
        <f t="shared" si="12"/>
        <v>0</v>
      </c>
      <c r="D19" s="15">
        <v>0.0</v>
      </c>
      <c r="E19" s="13">
        <f t="shared" si="13"/>
        <v>0</v>
      </c>
      <c r="F19" s="15">
        <v>0.0</v>
      </c>
      <c r="G19" s="13">
        <f t="shared" si="14"/>
        <v>0</v>
      </c>
      <c r="H19" s="15">
        <v>0.0</v>
      </c>
      <c r="I19" s="13">
        <f t="shared" si="15"/>
        <v>0</v>
      </c>
      <c r="J19" s="15">
        <v>0.0</v>
      </c>
      <c r="K19" s="13">
        <f t="shared" si="16"/>
        <v>0</v>
      </c>
      <c r="L19" s="15">
        <v>0.0</v>
      </c>
      <c r="M19" s="13">
        <f t="shared" si="17"/>
        <v>0</v>
      </c>
      <c r="N19" s="15">
        <v>0.0</v>
      </c>
      <c r="O19" s="13">
        <f t="shared" si="18"/>
        <v>0</v>
      </c>
      <c r="P19" s="15">
        <v>0.0</v>
      </c>
      <c r="Q19" s="13">
        <f t="shared" si="19"/>
        <v>0</v>
      </c>
      <c r="R19" s="15">
        <v>0.0</v>
      </c>
      <c r="S19" s="13">
        <f t="shared" si="20"/>
        <v>0</v>
      </c>
      <c r="T19" s="15">
        <v>0.0</v>
      </c>
      <c r="U19" s="13">
        <f t="shared" si="21"/>
        <v>0</v>
      </c>
      <c r="V19" s="15">
        <v>0.0</v>
      </c>
      <c r="W19" s="13">
        <f t="shared" si="22"/>
        <v>0</v>
      </c>
      <c r="X19" s="15">
        <v>0.0</v>
      </c>
    </row>
    <row r="20">
      <c r="A20" s="1" t="s">
        <v>54</v>
      </c>
      <c r="B20" s="30">
        <f>B17/B3</f>
        <v>0.06661324306</v>
      </c>
      <c r="C20" s="31">
        <f t="shared" si="12"/>
        <v>0.09370047985</v>
      </c>
      <c r="D20" s="30">
        <f>D17/D3</f>
        <v>0.0728549359</v>
      </c>
      <c r="E20" s="31">
        <f t="shared" si="13"/>
        <v>-0.01703260555</v>
      </c>
      <c r="F20" s="30">
        <f>F17/F3</f>
        <v>0.07161402652</v>
      </c>
      <c r="G20" s="31">
        <f t="shared" si="14"/>
        <v>0.03151375169</v>
      </c>
      <c r="H20" s="30">
        <f>H17/H3</f>
        <v>0.07387085316</v>
      </c>
      <c r="I20" s="31">
        <f t="shared" si="15"/>
        <v>-0.06198067692</v>
      </c>
      <c r="J20" s="30">
        <f>J17/J3</f>
        <v>0.06929228768</v>
      </c>
      <c r="K20" s="31">
        <f t="shared" si="16"/>
        <v>0.004211615206</v>
      </c>
      <c r="L20" s="30">
        <f>L17/L3</f>
        <v>0.06958412013</v>
      </c>
      <c r="M20" s="31">
        <f t="shared" si="17"/>
        <v>-0.05438458281</v>
      </c>
      <c r="N20" s="30">
        <f>N17/N3</f>
        <v>0.06579981679</v>
      </c>
      <c r="O20" s="31">
        <f t="shared" si="18"/>
        <v>0</v>
      </c>
      <c r="P20" s="30">
        <f>P17/P3</f>
        <v>0.06579981679</v>
      </c>
      <c r="Q20" s="31">
        <f t="shared" si="19"/>
        <v>0.01236213583</v>
      </c>
      <c r="R20" s="30">
        <f>R17/R3</f>
        <v>0.06661324306</v>
      </c>
      <c r="S20" s="31">
        <f t="shared" si="20"/>
        <v>0</v>
      </c>
      <c r="T20" s="30">
        <f>T17/T3</f>
        <v>0.06661324306</v>
      </c>
      <c r="U20" s="31">
        <f t="shared" si="21"/>
        <v>0</v>
      </c>
      <c r="V20" s="30">
        <f>V17/V3</f>
        <v>0.06661324306</v>
      </c>
      <c r="W20" s="31">
        <f t="shared" si="22"/>
        <v>0</v>
      </c>
      <c r="X20" s="30">
        <f>X17/X3</f>
        <v>0.06661324306</v>
      </c>
    </row>
    <row r="21">
      <c r="A21" s="36" t="s">
        <v>56</v>
      </c>
      <c r="B21" s="37">
        <f>B22/$B$3</f>
        <v>0.9333867569</v>
      </c>
      <c r="C21" s="38">
        <f t="shared" si="12"/>
        <v>-0.006687145273</v>
      </c>
      <c r="D21" s="37">
        <f>D22/$D$3</f>
        <v>0.9271450641</v>
      </c>
      <c r="E21" s="38">
        <f t="shared" si="13"/>
        <v>0.00133841988</v>
      </c>
      <c r="F21" s="37">
        <f>F22/$F$3</f>
        <v>0.9283859735</v>
      </c>
      <c r="G21" s="38">
        <f t="shared" si="14"/>
        <v>-0.002430914203</v>
      </c>
      <c r="H21" s="37">
        <f>H22/$H$3</f>
        <v>0.9261291468</v>
      </c>
      <c r="I21" s="38">
        <f t="shared" si="15"/>
        <v>0.004943765672</v>
      </c>
      <c r="J21" s="37">
        <f>J22/$J$3</f>
        <v>0.9307077123</v>
      </c>
      <c r="K21" s="38">
        <f t="shared" si="16"/>
        <v>-0.000313559723</v>
      </c>
      <c r="L21" s="37">
        <f>L22/$L$3</f>
        <v>0.9304158799</v>
      </c>
      <c r="M21" s="38">
        <f t="shared" si="17"/>
        <v>0.004067324543</v>
      </c>
      <c r="N21" s="37">
        <f>N22/$N$3</f>
        <v>0.9342001832</v>
      </c>
      <c r="O21" s="38">
        <f t="shared" si="18"/>
        <v>0</v>
      </c>
      <c r="P21" s="37">
        <f>P22/$N$3</f>
        <v>0.9342001832</v>
      </c>
      <c r="Q21" s="38">
        <f t="shared" si="19"/>
        <v>-0.0008707194531</v>
      </c>
      <c r="R21" s="37">
        <f>R22/$R$3</f>
        <v>0.9333867569</v>
      </c>
      <c r="S21" s="38">
        <f t="shared" si="20"/>
        <v>0</v>
      </c>
      <c r="T21" s="37">
        <f>T22/$T$3</f>
        <v>0.9333867569</v>
      </c>
      <c r="U21" s="38">
        <f t="shared" si="21"/>
        <v>0</v>
      </c>
      <c r="V21" s="37">
        <f>V22/$V$3</f>
        <v>0.9333867569</v>
      </c>
      <c r="W21" s="38">
        <f t="shared" si="22"/>
        <v>0</v>
      </c>
      <c r="X21" s="37">
        <f>X22/$X$3</f>
        <v>0.9333867569</v>
      </c>
      <c r="Y21" s="13"/>
    </row>
    <row r="22">
      <c r="A22" s="28" t="s">
        <v>57</v>
      </c>
      <c r="B22" s="24">
        <f>B3-B17</f>
        <v>46764029</v>
      </c>
      <c r="C22" s="13">
        <f t="shared" si="12"/>
        <v>-0.06803342372</v>
      </c>
      <c r="D22" s="24">
        <f>D3-D17</f>
        <v>43582512</v>
      </c>
      <c r="E22" s="13">
        <f t="shared" si="13"/>
        <v>0.01090322651</v>
      </c>
      <c r="F22" s="24">
        <f>F3-F17</f>
        <v>44057702</v>
      </c>
      <c r="G22" s="13">
        <f t="shared" si="14"/>
        <v>0.01431967559</v>
      </c>
      <c r="H22" s="24">
        <f>H3-H17</f>
        <v>44688594</v>
      </c>
      <c r="I22" s="13">
        <f t="shared" si="15"/>
        <v>0.03649266746</v>
      </c>
      <c r="J22" s="24">
        <f>J3-J17</f>
        <v>46319400</v>
      </c>
      <c r="K22" s="13">
        <f t="shared" si="16"/>
        <v>0.005699210266</v>
      </c>
      <c r="L22" s="24">
        <f>L3-L17</f>
        <v>46583384</v>
      </c>
      <c r="M22" s="13">
        <f t="shared" si="17"/>
        <v>0.08374943306</v>
      </c>
      <c r="N22" s="24">
        <f>N3-N17</f>
        <v>50484716</v>
      </c>
      <c r="O22" s="13">
        <f t="shared" si="18"/>
        <v>0</v>
      </c>
      <c r="P22" s="24">
        <f>P3-P17</f>
        <v>50484716</v>
      </c>
      <c r="Q22" s="13">
        <f t="shared" si="19"/>
        <v>-0.07369927564</v>
      </c>
      <c r="R22" s="24">
        <f>R3-R17</f>
        <v>46764029</v>
      </c>
      <c r="S22" s="13">
        <f t="shared" si="20"/>
        <v>0</v>
      </c>
      <c r="T22" s="24">
        <f>T3-T17</f>
        <v>46764029</v>
      </c>
      <c r="U22" s="13">
        <f t="shared" si="21"/>
        <v>0</v>
      </c>
      <c r="V22" s="24">
        <f>V3-V17</f>
        <v>46764029</v>
      </c>
      <c r="W22" s="13">
        <f t="shared" si="22"/>
        <v>0</v>
      </c>
      <c r="X22" s="24">
        <f>X3-X17</f>
        <v>46764029</v>
      </c>
    </row>
    <row r="23">
      <c r="A23" s="28" t="s">
        <v>58</v>
      </c>
      <c r="B23" s="39">
        <f>B22-ABS(B14)</f>
        <v>41764029</v>
      </c>
      <c r="C23" s="12">
        <f t="shared" si="12"/>
        <v>-0.06061476971</v>
      </c>
      <c r="D23" s="39">
        <f>D22-ABS(D14)</f>
        <v>39232512</v>
      </c>
      <c r="E23" s="12">
        <f t="shared" si="13"/>
        <v>0.03361880065</v>
      </c>
      <c r="F23" s="39">
        <f>F22-ABS(F14)</f>
        <v>40551462</v>
      </c>
      <c r="G23" s="12">
        <f t="shared" si="14"/>
        <v>0.01939678525</v>
      </c>
      <c r="H23" s="39">
        <f>H22-ABS(H14)</f>
        <v>41338030</v>
      </c>
      <c r="I23" s="12">
        <f t="shared" si="15"/>
        <v>0.0491404646</v>
      </c>
      <c r="J23" s="39">
        <f>J22-ABS(J14)</f>
        <v>43369400</v>
      </c>
      <c r="K23" s="12">
        <f t="shared" si="16"/>
        <v>0.03721481044</v>
      </c>
      <c r="L23" s="39">
        <f>L22-ABS(L14)</f>
        <v>44983384</v>
      </c>
      <c r="M23" s="12">
        <f t="shared" si="17"/>
        <v>0.008921783208</v>
      </c>
      <c r="N23" s="39">
        <f>N22-ABS(N14)</f>
        <v>45384716</v>
      </c>
      <c r="O23" s="12">
        <f t="shared" si="18"/>
        <v>0</v>
      </c>
      <c r="P23" s="39">
        <f>P22-ABS(P14)</f>
        <v>45384716</v>
      </c>
      <c r="Q23" s="12">
        <f t="shared" si="19"/>
        <v>-0.07977767229</v>
      </c>
      <c r="R23" s="39">
        <f>R22-ABS(R14)</f>
        <v>41764029</v>
      </c>
      <c r="S23" s="12">
        <f t="shared" si="20"/>
        <v>0</v>
      </c>
      <c r="T23" s="39">
        <f>T22-ABS(T14)</f>
        <v>41764029</v>
      </c>
      <c r="U23" s="12">
        <f t="shared" si="21"/>
        <v>0</v>
      </c>
      <c r="V23" s="39">
        <f>V22-ABS(V14)</f>
        <v>41764029</v>
      </c>
      <c r="W23" s="12">
        <f t="shared" si="22"/>
        <v>0</v>
      </c>
      <c r="X23" s="39">
        <f>X22-ABS(X14)</f>
        <v>41764029</v>
      </c>
    </row>
    <row r="24">
      <c r="A24" s="1" t="s">
        <v>59</v>
      </c>
      <c r="B24" s="15">
        <f>(B32-B31)*B30</f>
        <v>737076</v>
      </c>
      <c r="C24" s="13">
        <f t="shared" si="12"/>
        <v>-4.316402922</v>
      </c>
      <c r="D24" s="15">
        <f>(D32-D31)*D30</f>
        <v>-2444441</v>
      </c>
      <c r="E24" s="13">
        <f t="shared" si="13"/>
        <v>-0.194396183</v>
      </c>
      <c r="F24" s="15">
        <f>(F32-F31)*F30</f>
        <v>-1969251</v>
      </c>
      <c r="G24" s="13">
        <f t="shared" si="14"/>
        <v>-1.489012828</v>
      </c>
      <c r="H24" s="15">
        <f>(H32-H31)*H30</f>
        <v>962989</v>
      </c>
      <c r="I24" s="13">
        <f t="shared" si="15"/>
        <v>-0.6963132497</v>
      </c>
      <c r="J24" s="15">
        <f>(J32-J31)*J30</f>
        <v>292447</v>
      </c>
      <c r="K24" s="13">
        <f t="shared" si="16"/>
        <v>0.902672963</v>
      </c>
      <c r="L24" s="15">
        <f>(L32-L31)*L30</f>
        <v>556431</v>
      </c>
      <c r="M24" s="13">
        <f t="shared" si="17"/>
        <v>7.011349116</v>
      </c>
      <c r="N24" s="15">
        <f>(N32-N31)*N30</f>
        <v>4457763</v>
      </c>
      <c r="O24" s="13">
        <f t="shared" si="18"/>
        <v>0</v>
      </c>
      <c r="P24" s="15">
        <f>(P32-P31)*P30</f>
        <v>4457763</v>
      </c>
      <c r="Q24" s="13">
        <f t="shared" si="19"/>
        <v>-0.8346533901</v>
      </c>
      <c r="R24" s="15">
        <f>(R32-R31)*R30</f>
        <v>737076</v>
      </c>
      <c r="S24" s="13">
        <f t="shared" si="20"/>
        <v>0</v>
      </c>
      <c r="T24" s="15">
        <f>(T32-T31)*T30</f>
        <v>737076</v>
      </c>
      <c r="U24" s="13">
        <f t="shared" si="21"/>
        <v>0</v>
      </c>
      <c r="V24" s="15">
        <f>(V32-V31)*V30</f>
        <v>737076</v>
      </c>
      <c r="W24" s="13">
        <f t="shared" si="22"/>
        <v>0</v>
      </c>
      <c r="X24" s="15">
        <f>(X32-X31)*X30</f>
        <v>737076</v>
      </c>
    </row>
    <row r="25">
      <c r="A25" s="4" t="s">
        <v>60</v>
      </c>
      <c r="B25" s="40">
        <f>B24/B22</f>
        <v>0.01576160172</v>
      </c>
      <c r="C25" s="13">
        <f t="shared" si="12"/>
        <v>-4.55849985</v>
      </c>
      <c r="D25" s="40">
        <f>D24/D22</f>
        <v>-0.05608765736</v>
      </c>
      <c r="E25" s="13">
        <f t="shared" si="13"/>
        <v>-0.2030851264</v>
      </c>
      <c r="F25" s="40">
        <f>F24/F22</f>
        <v>-0.04469708838</v>
      </c>
      <c r="G25" s="13">
        <f t="shared" si="14"/>
        <v>-1.482109181</v>
      </c>
      <c r="H25" s="40">
        <f>H24/H22</f>
        <v>0.02154887666</v>
      </c>
      <c r="I25" s="13">
        <f t="shared" si="15"/>
        <v>-0.707005404</v>
      </c>
      <c r="J25" s="40">
        <f>J24/J22</f>
        <v>0.006313704409</v>
      </c>
      <c r="K25" s="13">
        <f t="shared" si="16"/>
        <v>0.8918906802</v>
      </c>
      <c r="L25" s="40">
        <f>L24/L22</f>
        <v>0.01194483853</v>
      </c>
      <c r="M25" s="13">
        <f t="shared" si="17"/>
        <v>6.392252186</v>
      </c>
      <c r="N25" s="40">
        <f>N24/N22</f>
        <v>0.08829925873</v>
      </c>
      <c r="O25" s="13">
        <f t="shared" si="18"/>
        <v>0</v>
      </c>
      <c r="P25" s="40">
        <f>P24/P22</f>
        <v>0.08829925873</v>
      </c>
      <c r="Q25" s="13">
        <f t="shared" si="19"/>
        <v>-0.8214979157</v>
      </c>
      <c r="R25" s="40">
        <f>R24/R22</f>
        <v>0.01576160172</v>
      </c>
      <c r="S25" s="13">
        <f t="shared" si="20"/>
        <v>0</v>
      </c>
      <c r="T25" s="40">
        <f>T24/T22</f>
        <v>0.01576160172</v>
      </c>
      <c r="U25" s="13">
        <f t="shared" si="21"/>
        <v>0</v>
      </c>
      <c r="V25" s="40">
        <f>V24/V22</f>
        <v>0.01576160172</v>
      </c>
      <c r="W25" s="13">
        <f t="shared" si="22"/>
        <v>0</v>
      </c>
      <c r="X25" s="40">
        <f>X24/X22</f>
        <v>0.01576160172</v>
      </c>
    </row>
    <row r="26">
      <c r="A26" s="4" t="s">
        <v>61</v>
      </c>
      <c r="B26" s="41">
        <f>B36+B24</f>
        <v>25243449.44</v>
      </c>
      <c r="C26" s="13">
        <f t="shared" si="12"/>
        <v>0.2789911425</v>
      </c>
      <c r="D26" s="41">
        <f>D36+D24</f>
        <v>32286148.24</v>
      </c>
      <c r="E26" s="13">
        <f t="shared" si="13"/>
        <v>5.443957612</v>
      </c>
      <c r="F26" s="41">
        <f>F36+F24</f>
        <v>208050570.7</v>
      </c>
      <c r="G26" s="13">
        <f t="shared" si="14"/>
        <v>-0.5065261871</v>
      </c>
      <c r="H26" s="41">
        <f>H36+H24</f>
        <v>102667508.4</v>
      </c>
      <c r="I26" s="13">
        <f t="shared" si="15"/>
        <v>0.5000899626</v>
      </c>
      <c r="J26" s="41">
        <f>J36+J24</f>
        <v>154010498.8</v>
      </c>
      <c r="K26" s="13">
        <f t="shared" si="16"/>
        <v>-0.07781409053</v>
      </c>
      <c r="L26" s="41">
        <f>L36+L24</f>
        <v>142026311.9</v>
      </c>
      <c r="M26" s="13">
        <f t="shared" si="17"/>
        <v>-0.4249591588</v>
      </c>
      <c r="N26" s="41">
        <f>N36+N24</f>
        <v>81670929.89</v>
      </c>
      <c r="O26" s="13">
        <f t="shared" si="18"/>
        <v>10.40835834</v>
      </c>
      <c r="P26" s="41">
        <f>P36+P24</f>
        <v>931731234.1</v>
      </c>
      <c r="Q26" s="13">
        <f t="shared" si="19"/>
        <v>-0.003993305005</v>
      </c>
      <c r="R26" s="41">
        <f>R36+R24</f>
        <v>928010547.1</v>
      </c>
      <c r="S26" s="13">
        <f t="shared" si="20"/>
        <v>0</v>
      </c>
      <c r="T26" s="41">
        <f>T36+T24</f>
        <v>928010547.1</v>
      </c>
      <c r="U26" s="13">
        <f t="shared" si="21"/>
        <v>0</v>
      </c>
      <c r="V26" s="41">
        <f>V36+V24</f>
        <v>928010547.1</v>
      </c>
      <c r="W26" s="13">
        <f t="shared" si="22"/>
        <v>0</v>
      </c>
      <c r="X26" s="41">
        <f>X36+X24</f>
        <v>928010547.1</v>
      </c>
      <c r="Y26" s="13"/>
    </row>
    <row r="27">
      <c r="A27" s="4" t="s">
        <v>62</v>
      </c>
      <c r="B27" s="42">
        <f>B26/B30</f>
        <v>0.05484492833</v>
      </c>
      <c r="C27" s="13">
        <f t="shared" si="12"/>
        <v>0.2789911425</v>
      </c>
      <c r="D27" s="42">
        <f>D26/D30</f>
        <v>0.07014617754</v>
      </c>
      <c r="E27" s="13">
        <f t="shared" si="13"/>
        <v>5.443957612</v>
      </c>
      <c r="F27" s="42">
        <f>F26/F30</f>
        <v>0.4520189947</v>
      </c>
      <c r="G27" s="13">
        <f t="shared" si="14"/>
        <v>-0.5065261871</v>
      </c>
      <c r="H27" s="42">
        <f>H26/H30</f>
        <v>0.2230595368</v>
      </c>
      <c r="I27" s="13">
        <f t="shared" si="15"/>
        <v>0.5000899626</v>
      </c>
      <c r="J27" s="42">
        <f>J26/J30</f>
        <v>0.3346093723</v>
      </c>
      <c r="K27" s="13">
        <f t="shared" si="16"/>
        <v>-0.07781409053</v>
      </c>
      <c r="L27" s="42">
        <f>L26/L30</f>
        <v>0.3085720483</v>
      </c>
      <c r="M27" s="13">
        <f t="shared" si="17"/>
        <v>-0.4249591588</v>
      </c>
      <c r="N27" s="42">
        <f>N26/N30</f>
        <v>0.1774415302</v>
      </c>
      <c r="O27" s="13">
        <f t="shared" si="18"/>
        <v>10.40835834</v>
      </c>
      <c r="P27" s="42">
        <f>P26/P30</f>
        <v>2.024316561</v>
      </c>
      <c r="Q27" s="13">
        <f t="shared" si="19"/>
        <v>-0.003993305005</v>
      </c>
      <c r="R27" s="42">
        <f>R26/R30</f>
        <v>2.016232847</v>
      </c>
      <c r="S27" s="13">
        <f t="shared" si="20"/>
        <v>0</v>
      </c>
      <c r="T27" s="42">
        <f>T26/T30</f>
        <v>2.016232847</v>
      </c>
      <c r="U27" s="13">
        <f t="shared" si="21"/>
        <v>0</v>
      </c>
      <c r="V27" s="42">
        <f>V26/V30</f>
        <v>2.016232847</v>
      </c>
      <c r="W27" s="13">
        <f t="shared" si="22"/>
        <v>0</v>
      </c>
      <c r="X27" s="42">
        <f>X26/X30</f>
        <v>2.016232847</v>
      </c>
      <c r="Y27" s="13"/>
    </row>
    <row r="28">
      <c r="A28" s="28" t="s">
        <v>63</v>
      </c>
      <c r="B28" s="15">
        <v>4.6026953E7</v>
      </c>
      <c r="C28" s="13">
        <f t="shared" si="12"/>
        <v>0</v>
      </c>
      <c r="D28" s="15">
        <v>4.6026953E7</v>
      </c>
      <c r="E28" s="13">
        <f t="shared" si="13"/>
        <v>0</v>
      </c>
      <c r="F28" s="15">
        <v>4.6026953E7</v>
      </c>
      <c r="G28" s="13">
        <f t="shared" si="14"/>
        <v>-0.0500000076</v>
      </c>
      <c r="H28" s="15">
        <v>4.3725605E7</v>
      </c>
      <c r="I28" s="13">
        <f t="shared" si="15"/>
        <v>0.05263158737</v>
      </c>
      <c r="J28" s="15">
        <v>4.6026953E7</v>
      </c>
      <c r="K28" s="13">
        <f t="shared" si="16"/>
        <v>0</v>
      </c>
      <c r="L28" s="15">
        <v>4.6026953E7</v>
      </c>
      <c r="M28" s="13">
        <f t="shared" si="17"/>
        <v>0</v>
      </c>
      <c r="N28" s="15">
        <v>4.6026953E7</v>
      </c>
      <c r="O28" s="13">
        <f t="shared" si="18"/>
        <v>0</v>
      </c>
      <c r="P28" s="15">
        <v>4.6026953E7</v>
      </c>
      <c r="Q28" s="13">
        <f t="shared" si="19"/>
        <v>0</v>
      </c>
      <c r="R28" s="15">
        <v>4.6026953E7</v>
      </c>
      <c r="S28" s="13">
        <f t="shared" si="20"/>
        <v>0</v>
      </c>
      <c r="T28" s="15">
        <v>4.6026953E7</v>
      </c>
      <c r="U28" s="13">
        <f t="shared" si="21"/>
        <v>0</v>
      </c>
      <c r="V28" s="15">
        <v>4.6026953E7</v>
      </c>
      <c r="W28" s="13">
        <f t="shared" si="22"/>
        <v>0</v>
      </c>
      <c r="X28" s="15">
        <v>4.6026953E7</v>
      </c>
    </row>
    <row r="29">
      <c r="A29" s="1" t="s">
        <v>64</v>
      </c>
      <c r="B29" s="40">
        <f>B28/B22</f>
        <v>0.9842383983</v>
      </c>
      <c r="C29" s="13">
        <f t="shared" si="12"/>
        <v>0.0729998537</v>
      </c>
      <c r="D29" s="40">
        <f>D28/D22</f>
        <v>1.056087657</v>
      </c>
      <c r="E29" s="13">
        <f t="shared" si="13"/>
        <v>-0.01078562836</v>
      </c>
      <c r="F29" s="40">
        <f>F28/F22</f>
        <v>1.044697088</v>
      </c>
      <c r="G29" s="13">
        <f t="shared" si="14"/>
        <v>-0.06341164896</v>
      </c>
      <c r="H29" s="40">
        <f>H28/H22</f>
        <v>0.9784511233</v>
      </c>
      <c r="I29" s="13">
        <f t="shared" si="15"/>
        <v>0.01557070341</v>
      </c>
      <c r="J29" s="40">
        <f>J28/J22</f>
        <v>0.9936862956</v>
      </c>
      <c r="K29" s="13">
        <f t="shared" si="16"/>
        <v>-0.005666913335</v>
      </c>
      <c r="L29" s="40">
        <f>L28/L22</f>
        <v>0.9880551615</v>
      </c>
      <c r="M29" s="13">
        <f t="shared" si="17"/>
        <v>-0.07727748731</v>
      </c>
      <c r="N29" s="40">
        <f>N28/N22</f>
        <v>0.9117007413</v>
      </c>
      <c r="O29" s="13">
        <f t="shared" si="18"/>
        <v>0</v>
      </c>
      <c r="P29" s="40">
        <f>P28/P22</f>
        <v>0.9117007413</v>
      </c>
      <c r="Q29" s="13">
        <f t="shared" si="19"/>
        <v>0.07956301199</v>
      </c>
      <c r="R29" s="40">
        <f>R28/R22</f>
        <v>0.9842383983</v>
      </c>
      <c r="S29" s="13">
        <f t="shared" si="20"/>
        <v>0</v>
      </c>
      <c r="T29" s="40">
        <f>T28/T22</f>
        <v>0.9842383983</v>
      </c>
      <c r="U29" s="13">
        <f t="shared" si="21"/>
        <v>0</v>
      </c>
      <c r="V29" s="40">
        <f>V28/V22</f>
        <v>0.9842383983</v>
      </c>
      <c r="W29" s="13">
        <f t="shared" si="22"/>
        <v>0</v>
      </c>
      <c r="X29" s="40">
        <f>X28/X22</f>
        <v>0.9842383983</v>
      </c>
    </row>
    <row r="30">
      <c r="A30" s="4" t="s">
        <v>65</v>
      </c>
      <c r="B30" s="48">
        <v>4.60269531E8</v>
      </c>
      <c r="C30" s="13">
        <f t="shared" si="12"/>
        <v>0</v>
      </c>
      <c r="D30" s="48">
        <v>4.60269531E8</v>
      </c>
      <c r="E30" s="13">
        <f t="shared" si="13"/>
        <v>0</v>
      </c>
      <c r="F30" s="48">
        <v>4.60269531E8</v>
      </c>
      <c r="G30" s="13">
        <f t="shared" si="14"/>
        <v>0</v>
      </c>
      <c r="H30" s="48">
        <v>4.60269531E8</v>
      </c>
      <c r="I30" s="13">
        <f t="shared" si="15"/>
        <v>0</v>
      </c>
      <c r="J30" s="48">
        <v>4.60269531E8</v>
      </c>
      <c r="K30" s="13">
        <f t="shared" si="16"/>
        <v>0</v>
      </c>
      <c r="L30" s="48">
        <v>4.60269531E8</v>
      </c>
      <c r="M30" s="13">
        <f t="shared" si="17"/>
        <v>0</v>
      </c>
      <c r="N30" s="48">
        <v>4.60269531E8</v>
      </c>
      <c r="O30" s="13">
        <f t="shared" si="18"/>
        <v>0</v>
      </c>
      <c r="P30" s="48">
        <v>4.60269531E8</v>
      </c>
      <c r="Q30" s="13">
        <f t="shared" si="19"/>
        <v>0</v>
      </c>
      <c r="R30" s="48">
        <v>4.60269531E8</v>
      </c>
      <c r="S30" s="13">
        <f t="shared" si="20"/>
        <v>0</v>
      </c>
      <c r="T30" s="48">
        <v>4.60269531E8</v>
      </c>
      <c r="U30" s="13">
        <f t="shared" si="21"/>
        <v>0</v>
      </c>
      <c r="V30" s="48">
        <v>4.60269531E8</v>
      </c>
      <c r="W30" s="13">
        <f t="shared" si="22"/>
        <v>0</v>
      </c>
      <c r="X30" s="48">
        <v>4.60269531E8</v>
      </c>
    </row>
    <row r="31">
      <c r="A31" s="28" t="s">
        <v>66</v>
      </c>
      <c r="B31" s="50">
        <f>B28/B30</f>
        <v>0.09999999978</v>
      </c>
      <c r="C31" s="13">
        <f t="shared" si="12"/>
        <v>0</v>
      </c>
      <c r="D31" s="50">
        <f>D28/D30</f>
        <v>0.09999999978</v>
      </c>
      <c r="E31" s="13">
        <f t="shared" si="13"/>
        <v>0</v>
      </c>
      <c r="F31" s="50">
        <f>F28/F30</f>
        <v>0.09999999978</v>
      </c>
      <c r="G31" s="13">
        <f t="shared" si="14"/>
        <v>-0.0500000076</v>
      </c>
      <c r="H31" s="50">
        <f>H28/H30</f>
        <v>0.09499999903</v>
      </c>
      <c r="I31" s="13">
        <f t="shared" si="15"/>
        <v>0.05263158737</v>
      </c>
      <c r="J31" s="50">
        <f>J28/J30</f>
        <v>0.09999999978</v>
      </c>
      <c r="K31" s="13">
        <f t="shared" si="16"/>
        <v>0</v>
      </c>
      <c r="L31" s="50">
        <f>L28/L30</f>
        <v>0.09999999978</v>
      </c>
      <c r="M31" s="13">
        <f t="shared" si="17"/>
        <v>0</v>
      </c>
      <c r="N31" s="50">
        <f>N28/N30</f>
        <v>0.09999999978</v>
      </c>
      <c r="O31" s="13">
        <f t="shared" si="18"/>
        <v>0</v>
      </c>
      <c r="P31" s="50">
        <f>P28/P30</f>
        <v>0.09999999978</v>
      </c>
      <c r="Q31" s="13">
        <f t="shared" si="19"/>
        <v>0</v>
      </c>
      <c r="R31" s="50">
        <f>R28/R30</f>
        <v>0.09999999978</v>
      </c>
      <c r="S31" s="13">
        <f t="shared" si="20"/>
        <v>0</v>
      </c>
      <c r="T31" s="50">
        <f>T28/T30</f>
        <v>0.09999999978</v>
      </c>
      <c r="U31" s="13">
        <f t="shared" si="21"/>
        <v>0</v>
      </c>
      <c r="V31" s="50">
        <f>V28/V30</f>
        <v>0.09999999978</v>
      </c>
      <c r="W31" s="13">
        <f t="shared" si="22"/>
        <v>0</v>
      </c>
      <c r="X31" s="50">
        <f>X28/X30</f>
        <v>0.09999999978</v>
      </c>
    </row>
    <row r="32">
      <c r="A32" s="28" t="s">
        <v>67</v>
      </c>
      <c r="B32" s="50">
        <f>B22/B30</f>
        <v>0.1016014006</v>
      </c>
      <c r="C32" s="13">
        <f t="shared" si="12"/>
        <v>-0.06803342372</v>
      </c>
      <c r="D32" s="50">
        <f>D22/D30</f>
        <v>0.09468910946</v>
      </c>
      <c r="E32" s="13">
        <f t="shared" si="13"/>
        <v>0.01090322651</v>
      </c>
      <c r="F32" s="50">
        <f>F22/F30</f>
        <v>0.09572152626</v>
      </c>
      <c r="G32" s="13">
        <f t="shared" si="14"/>
        <v>0.01431967559</v>
      </c>
      <c r="H32" s="50">
        <f>H22/H30</f>
        <v>0.09709222747</v>
      </c>
      <c r="I32" s="13">
        <f t="shared" si="15"/>
        <v>0.03649266746</v>
      </c>
      <c r="J32" s="50">
        <f>J22/J30</f>
        <v>0.1006353818</v>
      </c>
      <c r="K32" s="13">
        <f t="shared" si="16"/>
        <v>0.005699210266</v>
      </c>
      <c r="L32" s="50">
        <f>L22/L30</f>
        <v>0.101208924</v>
      </c>
      <c r="M32" s="13">
        <f t="shared" si="17"/>
        <v>0.08374943306</v>
      </c>
      <c r="N32" s="50">
        <f>N22/N30</f>
        <v>0.109685114</v>
      </c>
      <c r="O32" s="13">
        <f t="shared" si="18"/>
        <v>0</v>
      </c>
      <c r="P32" s="50">
        <f>P22/P30</f>
        <v>0.109685114</v>
      </c>
      <c r="Q32" s="13">
        <f t="shared" si="19"/>
        <v>-0.07369927564</v>
      </c>
      <c r="R32" s="50">
        <f>R22/R30</f>
        <v>0.1016014006</v>
      </c>
      <c r="S32" s="13">
        <f t="shared" si="20"/>
        <v>0</v>
      </c>
      <c r="T32" s="50">
        <f>T22/T30</f>
        <v>0.1016014006</v>
      </c>
      <c r="U32" s="13">
        <f t="shared" si="21"/>
        <v>0</v>
      </c>
      <c r="V32" s="50">
        <f>V22/V30</f>
        <v>0.1016014006</v>
      </c>
      <c r="W32" s="13">
        <f t="shared" si="22"/>
        <v>0</v>
      </c>
      <c r="X32" s="50">
        <f>X22/X30</f>
        <v>0.1016014006</v>
      </c>
    </row>
    <row r="33">
      <c r="A33" s="4" t="s">
        <v>68</v>
      </c>
      <c r="B33" s="51">
        <f>B23/B30</f>
        <v>0.09073820053</v>
      </c>
      <c r="C33" s="13">
        <f t="shared" si="12"/>
        <v>-0.06061476971</v>
      </c>
      <c r="D33" s="51">
        <f>D23/D30</f>
        <v>0.0852381254</v>
      </c>
      <c r="E33" s="13">
        <f t="shared" si="13"/>
        <v>0.03361880065</v>
      </c>
      <c r="F33" s="51">
        <f>F23/F30</f>
        <v>0.08810372894</v>
      </c>
      <c r="G33" s="13">
        <f t="shared" si="14"/>
        <v>0.01939678525</v>
      </c>
      <c r="H33" s="51">
        <f>H23/H30</f>
        <v>0.08981265805</v>
      </c>
      <c r="I33" s="13">
        <f t="shared" si="15"/>
        <v>0.0491404646</v>
      </c>
      <c r="J33" s="51">
        <f>J23/J30</f>
        <v>0.0942260938</v>
      </c>
      <c r="K33" s="13">
        <f t="shared" si="16"/>
        <v>0.03721481044</v>
      </c>
      <c r="L33" s="51">
        <f>L23/L30</f>
        <v>0.09773270002</v>
      </c>
      <c r="M33" s="13">
        <f t="shared" si="17"/>
        <v>0.008921783208</v>
      </c>
      <c r="N33" s="51">
        <f>N23/N30</f>
        <v>0.09860464998</v>
      </c>
      <c r="O33" s="13">
        <f t="shared" si="18"/>
        <v>0</v>
      </c>
      <c r="P33" s="51">
        <f>P23/P30</f>
        <v>0.09860464998</v>
      </c>
      <c r="Q33" s="13">
        <f t="shared" si="19"/>
        <v>-0.07977767229</v>
      </c>
      <c r="R33" s="51">
        <f>R23/R30</f>
        <v>0.09073820053</v>
      </c>
      <c r="S33" s="13">
        <f t="shared" si="20"/>
        <v>0</v>
      </c>
      <c r="T33" s="51">
        <f>T23/T30</f>
        <v>0.09073820053</v>
      </c>
      <c r="U33" s="13">
        <f t="shared" si="21"/>
        <v>0</v>
      </c>
      <c r="V33" s="51">
        <f>V23/V30</f>
        <v>0.09073820053</v>
      </c>
      <c r="W33" s="13">
        <f t="shared" si="22"/>
        <v>0</v>
      </c>
      <c r="X33" s="51">
        <f>X23/X30</f>
        <v>0.09073820053</v>
      </c>
    </row>
    <row r="34">
      <c r="A34" s="52"/>
      <c r="B34" s="2" t="s">
        <v>1</v>
      </c>
      <c r="C34" s="3">
        <v>46042.0</v>
      </c>
      <c r="D34" s="2" t="s">
        <v>1</v>
      </c>
      <c r="E34" s="3">
        <v>46073.0</v>
      </c>
      <c r="F34" s="2" t="s">
        <v>1</v>
      </c>
      <c r="G34" s="3">
        <v>46108.0</v>
      </c>
      <c r="H34" s="2" t="s">
        <v>1</v>
      </c>
      <c r="I34" s="3">
        <v>46128.0</v>
      </c>
      <c r="J34" s="2" t="s">
        <v>1</v>
      </c>
      <c r="K34" s="3">
        <v>46157.0</v>
      </c>
      <c r="L34" s="2" t="s">
        <v>1</v>
      </c>
      <c r="M34" s="3">
        <v>46188.0</v>
      </c>
      <c r="N34" s="2" t="s">
        <v>1</v>
      </c>
      <c r="O34" s="3">
        <v>46218.0</v>
      </c>
      <c r="P34" s="2" t="s">
        <v>2</v>
      </c>
      <c r="Q34" s="3">
        <v>46248.0</v>
      </c>
      <c r="R34" s="2" t="s">
        <v>3</v>
      </c>
      <c r="S34" s="3">
        <v>46195.0</v>
      </c>
      <c r="T34" s="2" t="s">
        <v>3</v>
      </c>
      <c r="U34" s="3">
        <v>46195.0</v>
      </c>
      <c r="V34" s="2" t="s">
        <v>3</v>
      </c>
      <c r="W34" s="3">
        <v>46195.0</v>
      </c>
      <c r="X34" s="2" t="s">
        <v>3</v>
      </c>
      <c r="Y34" s="3">
        <v>46195.0</v>
      </c>
    </row>
    <row r="35">
      <c r="A35" s="1" t="s">
        <v>69</v>
      </c>
      <c r="B35" s="1" t="s">
        <v>5</v>
      </c>
      <c r="C35" s="53"/>
      <c r="D35" s="54" t="s">
        <v>6</v>
      </c>
      <c r="E35" s="55"/>
      <c r="F35" s="54" t="s">
        <v>7</v>
      </c>
      <c r="G35" s="55"/>
      <c r="H35" s="54" t="s">
        <v>8</v>
      </c>
      <c r="I35" s="55"/>
      <c r="J35" s="54" t="s">
        <v>9</v>
      </c>
      <c r="K35" s="55"/>
      <c r="L35" s="54" t="s">
        <v>10</v>
      </c>
      <c r="M35" s="55"/>
      <c r="N35" s="54" t="s">
        <v>11</v>
      </c>
      <c r="O35" s="55"/>
      <c r="P35" s="1" t="s">
        <v>12</v>
      </c>
      <c r="Q35" s="53"/>
      <c r="R35" s="1" t="s">
        <v>13</v>
      </c>
      <c r="S35" s="53"/>
      <c r="T35" s="1" t="s">
        <v>14</v>
      </c>
      <c r="U35" s="53"/>
      <c r="V35" s="1" t="s">
        <v>15</v>
      </c>
      <c r="W35" s="53"/>
      <c r="X35" s="1" t="s">
        <v>16</v>
      </c>
    </row>
    <row r="36">
      <c r="A36" s="4" t="s">
        <v>61</v>
      </c>
      <c r="B36" s="56">
        <v>2.450637344E7</v>
      </c>
      <c r="C36" s="13">
        <f t="shared" ref="C36:C39" si="23">IFERROR(SUM((D36/B36)-1),0)</f>
        <v>0.4172063984</v>
      </c>
      <c r="D36" s="56">
        <v>3.473058924E7</v>
      </c>
      <c r="E36" s="13">
        <f t="shared" ref="E36:E39" si="24">IFERROR(SUM((F36/D36)-1),0)</f>
        <v>5.047113692</v>
      </c>
      <c r="F36" s="56">
        <v>2.1001982171E8</v>
      </c>
      <c r="G36" s="13">
        <f t="shared" ref="G36:G39" si="25">IFERROR(SUM((H36/F36)-1),0)</f>
        <v>-0.5157384738</v>
      </c>
      <c r="H36" s="56">
        <v>1.017045194E8</v>
      </c>
      <c r="I36" s="13">
        <f t="shared" ref="I36:I39" si="26">IFERROR(SUM((J36/H36)-1),0)</f>
        <v>0.5114181036</v>
      </c>
      <c r="J36" s="56">
        <v>1.5371805184E8</v>
      </c>
      <c r="K36" s="13">
        <f t="shared" ref="K36:K39" si="27">IFERROR(SUM((L36/J36)-1),0)</f>
        <v>-0.07967945699</v>
      </c>
      <c r="L36" s="56">
        <v>1.4146988094E8</v>
      </c>
      <c r="M36" s="13">
        <f t="shared" ref="M36:M39" si="28">IFERROR(SUM((N36/L36)-1),0)</f>
        <v>-0.454207734</v>
      </c>
      <c r="N36" s="56">
        <v>7.721316689E7</v>
      </c>
      <c r="O36" s="13">
        <f t="shared" ref="O36:O39" si="29">IFERROR(SUM((P36/N36)-1),0)</f>
        <v>11.00926615</v>
      </c>
      <c r="P36" s="56">
        <v>9.2727347109E8</v>
      </c>
      <c r="Q36" s="13">
        <f t="shared" ref="Q36:Q39" si="30">IFERROR(SUM((R36/P36)-1),0)</f>
        <v>0</v>
      </c>
      <c r="R36" s="56">
        <v>9.2727347109E8</v>
      </c>
      <c r="S36" s="13">
        <f t="shared" ref="S36:S39" si="31">IFERROR(SUM((T36/R36)-1),0)</f>
        <v>0</v>
      </c>
      <c r="T36" s="56">
        <v>9.2727347109E8</v>
      </c>
      <c r="U36" s="13">
        <f t="shared" ref="U36:U39" si="32">IFERROR(SUM((V36/T36)-1),0)</f>
        <v>0</v>
      </c>
      <c r="V36" s="56">
        <v>9.2727347109E8</v>
      </c>
      <c r="W36" s="13">
        <f t="shared" ref="W36:W39" si="33">IFERROR(SUM((X36/V36)-1),0)</f>
        <v>0</v>
      </c>
      <c r="X36" s="56">
        <v>9.2727347109E8</v>
      </c>
    </row>
    <row r="37">
      <c r="A37" s="4" t="s">
        <v>70</v>
      </c>
      <c r="B37" s="58">
        <v>4.32627480267E9</v>
      </c>
      <c r="C37" s="13">
        <f t="shared" si="23"/>
        <v>0.004633665693</v>
      </c>
      <c r="D37" s="58">
        <v>4.3463213138E9</v>
      </c>
      <c r="E37" s="13">
        <f t="shared" si="24"/>
        <v>-0.01236161722</v>
      </c>
      <c r="F37" s="58">
        <v>4.2925937534E9</v>
      </c>
      <c r="G37" s="13">
        <f t="shared" si="25"/>
        <v>0.003558880122</v>
      </c>
      <c r="H37" s="58">
        <v>4.30787057998E9</v>
      </c>
      <c r="I37" s="13">
        <f t="shared" si="26"/>
        <v>-0.01092500073</v>
      </c>
      <c r="J37" s="58">
        <v>4.26080709077E9</v>
      </c>
      <c r="K37" s="13">
        <f t="shared" si="27"/>
        <v>0.001049182776</v>
      </c>
      <c r="L37" s="58">
        <v>4.26527745618E9</v>
      </c>
      <c r="M37" s="13">
        <f t="shared" si="28"/>
        <v>-0.001337086002</v>
      </c>
      <c r="N37" s="58">
        <v>4.2595744134E9</v>
      </c>
      <c r="O37" s="13">
        <f t="shared" si="29"/>
        <v>0.03709127957</v>
      </c>
      <c r="P37" s="58">
        <v>4.41756747881E9</v>
      </c>
      <c r="Q37" s="13">
        <f t="shared" si="30"/>
        <v>0</v>
      </c>
      <c r="R37" s="58">
        <v>4.41756747881E9</v>
      </c>
      <c r="S37" s="13">
        <f t="shared" si="31"/>
        <v>0</v>
      </c>
      <c r="T37" s="58">
        <v>4.41756747881E9</v>
      </c>
      <c r="U37" s="13">
        <f t="shared" si="32"/>
        <v>0</v>
      </c>
      <c r="V37" s="58">
        <v>4.41756747881E9</v>
      </c>
      <c r="W37" s="13">
        <f t="shared" si="33"/>
        <v>0</v>
      </c>
      <c r="X37" s="58">
        <v>4.41756747881E9</v>
      </c>
    </row>
    <row r="38">
      <c r="A38" s="4" t="s">
        <v>71</v>
      </c>
      <c r="B38" s="58">
        <v>2.497376984E7</v>
      </c>
      <c r="C38" s="13">
        <f t="shared" si="23"/>
        <v>-0.104797692</v>
      </c>
      <c r="D38" s="58">
        <v>2.23565764E7</v>
      </c>
      <c r="E38" s="13">
        <f t="shared" si="24"/>
        <v>-0.2375013112</v>
      </c>
      <c r="F38" s="58">
        <v>1.704686019E7</v>
      </c>
      <c r="G38" s="13">
        <f t="shared" si="25"/>
        <v>0.05123335267</v>
      </c>
      <c r="H38" s="58">
        <v>1.792022799E7</v>
      </c>
      <c r="I38" s="13">
        <f t="shared" si="26"/>
        <v>-0.05816465006</v>
      </c>
      <c r="J38" s="58">
        <v>1.68779042E7</v>
      </c>
      <c r="K38" s="13">
        <f t="shared" si="27"/>
        <v>0.2386850703</v>
      </c>
      <c r="L38" s="58">
        <v>2.090640795E7</v>
      </c>
      <c r="M38" s="13">
        <f t="shared" si="28"/>
        <v>0.3344224406</v>
      </c>
      <c r="N38" s="58">
        <v>2.789797992E7</v>
      </c>
      <c r="O38" s="13">
        <f t="shared" si="29"/>
        <v>-0.2044905777</v>
      </c>
      <c r="P38" s="58">
        <v>2.219310589E7</v>
      </c>
      <c r="Q38" s="13">
        <f t="shared" si="30"/>
        <v>0</v>
      </c>
      <c r="R38" s="58">
        <v>2.219310589E7</v>
      </c>
      <c r="S38" s="13">
        <f t="shared" si="31"/>
        <v>0</v>
      </c>
      <c r="T38" s="58">
        <v>2.219310589E7</v>
      </c>
      <c r="U38" s="13">
        <f t="shared" si="32"/>
        <v>0</v>
      </c>
      <c r="V38" s="58">
        <v>2.219310589E7</v>
      </c>
      <c r="W38" s="13">
        <f t="shared" si="33"/>
        <v>0</v>
      </c>
      <c r="X38" s="58">
        <v>2.219310589E7</v>
      </c>
    </row>
    <row r="39">
      <c r="A39" s="59" t="s">
        <v>72</v>
      </c>
      <c r="B39" s="24">
        <f>SUM(B36:B38)</f>
        <v>4375754946</v>
      </c>
      <c r="C39" s="13">
        <f t="shared" si="23"/>
        <v>0.00631971713</v>
      </c>
      <c r="D39" s="24">
        <f>SUM(D36:D38)</f>
        <v>4403408479</v>
      </c>
      <c r="E39" s="13">
        <f t="shared" si="24"/>
        <v>0.02640044784</v>
      </c>
      <c r="F39" s="24">
        <f>SUM(F36:F38)</f>
        <v>4519660435</v>
      </c>
      <c r="G39" s="13">
        <f t="shared" si="25"/>
        <v>-0.02039204255</v>
      </c>
      <c r="H39" s="24">
        <f>SUM(H36:H38)</f>
        <v>4427495327</v>
      </c>
      <c r="I39" s="13">
        <f t="shared" si="26"/>
        <v>0.0008826027248</v>
      </c>
      <c r="J39" s="24">
        <f>SUM(J36:J38)</f>
        <v>4431403047</v>
      </c>
      <c r="K39" s="13">
        <f t="shared" si="27"/>
        <v>-0.0008460755432</v>
      </c>
      <c r="L39" s="24">
        <f>SUM(L36:L38)</f>
        <v>4427653745</v>
      </c>
      <c r="M39" s="13">
        <f t="shared" si="28"/>
        <v>-0.01422156937</v>
      </c>
      <c r="N39" s="24">
        <f>SUM(N36:N38)</f>
        <v>4364685560</v>
      </c>
      <c r="O39" s="13">
        <f t="shared" si="29"/>
        <v>0.2296496464</v>
      </c>
      <c r="P39" s="24">
        <f>SUM(P36:P38)</f>
        <v>5367034056</v>
      </c>
      <c r="Q39" s="13">
        <f t="shared" si="30"/>
        <v>0</v>
      </c>
      <c r="R39" s="24">
        <f>SUM(R36:R38)</f>
        <v>5367034056</v>
      </c>
      <c r="S39" s="13">
        <f t="shared" si="31"/>
        <v>0</v>
      </c>
      <c r="T39" s="24">
        <f>SUM(T36:T38)</f>
        <v>5367034056</v>
      </c>
      <c r="U39" s="13">
        <f t="shared" si="32"/>
        <v>0</v>
      </c>
      <c r="V39" s="24">
        <f>SUM(V36:V38)</f>
        <v>5367034056</v>
      </c>
      <c r="W39" s="13">
        <f t="shared" si="33"/>
        <v>0</v>
      </c>
      <c r="X39" s="24">
        <f>SUM(X36:X38)</f>
        <v>5367034056</v>
      </c>
    </row>
    <row r="40">
      <c r="B40" s="40"/>
    </row>
    <row r="41">
      <c r="A41" s="25" t="s">
        <v>73</v>
      </c>
      <c r="B41" s="15">
        <v>0.0</v>
      </c>
      <c r="C41" s="13">
        <f t="shared" ref="C41:C44" si="34">IFERROR(SUM((D41/B41)-1),0)</f>
        <v>0</v>
      </c>
      <c r="D41" s="15">
        <v>0.0</v>
      </c>
      <c r="E41" s="13">
        <f t="shared" ref="E41:E44" si="35">IFERROR(SUM((F41/D41)-1),0)</f>
        <v>0</v>
      </c>
      <c r="F41" s="15">
        <v>0.0</v>
      </c>
      <c r="G41" s="13">
        <f t="shared" ref="G41:G44" si="36">IFERROR(SUM((H41/F41)-1),0)</f>
        <v>0</v>
      </c>
      <c r="H41" s="15">
        <v>0.0</v>
      </c>
      <c r="I41" s="13">
        <f t="shared" ref="I41:I44" si="37">IFERROR(SUM((J41/H41)-1),0)</f>
        <v>0</v>
      </c>
      <c r="J41" s="15">
        <v>0.0</v>
      </c>
      <c r="K41" s="13">
        <f t="shared" ref="K41:K44" si="38">IFERROR(SUM((L41/J41)-1),0)</f>
        <v>0</v>
      </c>
      <c r="L41" s="15">
        <v>0.0</v>
      </c>
      <c r="M41" s="13">
        <f t="shared" ref="M41:M44" si="39">IFERROR(SUM((N41/L41)-1),0)</f>
        <v>0</v>
      </c>
      <c r="N41" s="15">
        <v>0.0</v>
      </c>
      <c r="O41" s="13">
        <f t="shared" ref="O41:O44" si="40">IFERROR(SUM((P41/N41)-1),0)</f>
        <v>0</v>
      </c>
      <c r="P41" s="15">
        <v>0.0</v>
      </c>
      <c r="Q41" s="13">
        <f t="shared" ref="Q41:Q44" si="41">IFERROR(SUM((R41/P41)-1),0)</f>
        <v>0</v>
      </c>
      <c r="R41" s="15">
        <v>0.0</v>
      </c>
      <c r="S41" s="13">
        <f t="shared" ref="S41:S44" si="42">IFERROR(SUM((T41/R41)-1),0)</f>
        <v>0</v>
      </c>
      <c r="T41" s="15">
        <v>0.0</v>
      </c>
      <c r="U41" s="13">
        <f t="shared" ref="U41:U44" si="43">IFERROR(SUM((V41/T41)-1),0)</f>
        <v>0</v>
      </c>
      <c r="V41" s="15">
        <v>0.0</v>
      </c>
      <c r="W41" s="13">
        <f t="shared" ref="W41:W44" si="44">IFERROR(SUM((X41/V41)-1),0)</f>
        <v>0</v>
      </c>
      <c r="X41" s="15">
        <v>0.0</v>
      </c>
    </row>
    <row r="42">
      <c r="A42" s="25" t="s">
        <v>74</v>
      </c>
      <c r="B42" s="15">
        <v>0.0</v>
      </c>
      <c r="C42" s="13">
        <f t="shared" si="34"/>
        <v>0</v>
      </c>
      <c r="D42" s="15">
        <v>0.0</v>
      </c>
      <c r="E42" s="13">
        <f t="shared" si="35"/>
        <v>0</v>
      </c>
      <c r="F42" s="15">
        <v>6.720821001E7</v>
      </c>
      <c r="G42" s="13">
        <f t="shared" si="36"/>
        <v>0</v>
      </c>
      <c r="H42" s="15">
        <v>6.720821001E7</v>
      </c>
      <c r="I42" s="13">
        <f t="shared" si="37"/>
        <v>0</v>
      </c>
      <c r="J42" s="15">
        <v>6.720821001E7</v>
      </c>
      <c r="K42" s="13">
        <f t="shared" si="38"/>
        <v>0</v>
      </c>
      <c r="L42" s="15">
        <v>6.720821001E7</v>
      </c>
      <c r="M42" s="13">
        <f t="shared" si="39"/>
        <v>0</v>
      </c>
      <c r="N42" s="15">
        <v>6.720821001E7</v>
      </c>
      <c r="O42" s="13">
        <f t="shared" si="40"/>
        <v>0</v>
      </c>
      <c r="P42" s="15">
        <v>6.720821001E7</v>
      </c>
      <c r="Q42" s="13">
        <f t="shared" si="41"/>
        <v>0</v>
      </c>
      <c r="R42" s="15">
        <v>6.720821001E7</v>
      </c>
      <c r="S42" s="13">
        <f t="shared" si="42"/>
        <v>0</v>
      </c>
      <c r="T42" s="15">
        <v>6.720821001E7</v>
      </c>
      <c r="U42" s="13">
        <f t="shared" si="43"/>
        <v>0</v>
      </c>
      <c r="V42" s="15">
        <v>6.720821001E7</v>
      </c>
      <c r="W42" s="13">
        <f t="shared" si="44"/>
        <v>0</v>
      </c>
      <c r="X42" s="15">
        <v>6.720821001E7</v>
      </c>
    </row>
    <row r="43">
      <c r="A43" s="25" t="s">
        <v>75</v>
      </c>
      <c r="B43" s="26">
        <f>SUM(B41:B42)</f>
        <v>0</v>
      </c>
      <c r="C43" s="27">
        <f t="shared" si="34"/>
        <v>0</v>
      </c>
      <c r="D43" s="26">
        <f>SUM(D41:D42)</f>
        <v>0</v>
      </c>
      <c r="E43" s="27">
        <f t="shared" si="35"/>
        <v>0</v>
      </c>
      <c r="F43" s="26">
        <f>SUM(F41:F42)</f>
        <v>67208210.01</v>
      </c>
      <c r="G43" s="27">
        <f t="shared" si="36"/>
        <v>0</v>
      </c>
      <c r="H43" s="26">
        <f>SUM(H41:H42)</f>
        <v>67208210.01</v>
      </c>
      <c r="I43" s="27">
        <f t="shared" si="37"/>
        <v>0</v>
      </c>
      <c r="J43" s="26">
        <f>SUM(J41:J42)</f>
        <v>67208210.01</v>
      </c>
      <c r="K43" s="27">
        <f t="shared" si="38"/>
        <v>0</v>
      </c>
      <c r="L43" s="26">
        <f>SUM(L41:L42)</f>
        <v>67208210.01</v>
      </c>
      <c r="M43" s="27">
        <f t="shared" si="39"/>
        <v>0</v>
      </c>
      <c r="N43" s="26">
        <f>SUM(N41:N42)</f>
        <v>67208210.01</v>
      </c>
      <c r="O43" s="27">
        <f t="shared" si="40"/>
        <v>0</v>
      </c>
      <c r="P43" s="26">
        <f>SUM(P41:P42)</f>
        <v>67208210.01</v>
      </c>
      <c r="Q43" s="27">
        <f t="shared" si="41"/>
        <v>0</v>
      </c>
      <c r="R43" s="26">
        <f>SUM(R41:R42)</f>
        <v>67208210.01</v>
      </c>
      <c r="S43" s="27">
        <f t="shared" si="42"/>
        <v>0</v>
      </c>
      <c r="T43" s="26">
        <f>SUM(T41:T42)</f>
        <v>67208210.01</v>
      </c>
      <c r="U43" s="27">
        <f t="shared" si="43"/>
        <v>0</v>
      </c>
      <c r="V43" s="26">
        <f>SUM(V41:V42)</f>
        <v>67208210.01</v>
      </c>
      <c r="W43" s="27">
        <f t="shared" si="44"/>
        <v>0</v>
      </c>
      <c r="X43" s="26">
        <f>SUM(X41:X42)</f>
        <v>67208210.01</v>
      </c>
    </row>
    <row r="44">
      <c r="A44" s="1" t="s">
        <v>77</v>
      </c>
      <c r="B44" s="13">
        <f>B43/B39</f>
        <v>0</v>
      </c>
      <c r="C44" s="13">
        <f t="shared" si="34"/>
        <v>0</v>
      </c>
      <c r="D44" s="13">
        <f>D43/D39</f>
        <v>0</v>
      </c>
      <c r="E44" s="13">
        <f t="shared" si="35"/>
        <v>0</v>
      </c>
      <c r="F44" s="13">
        <f>F43/F39</f>
        <v>0.01487019013</v>
      </c>
      <c r="G44" s="13">
        <f t="shared" si="36"/>
        <v>0.02081653421</v>
      </c>
      <c r="H44" s="13">
        <f>H43/H39</f>
        <v>0.01517973595</v>
      </c>
      <c r="I44" s="13">
        <f t="shared" si="37"/>
        <v>-0.0008818244242</v>
      </c>
      <c r="J44" s="13">
        <f>J43/J39</f>
        <v>0.01516635009</v>
      </c>
      <c r="K44" s="13">
        <f t="shared" si="38"/>
        <v>0.0008467919932</v>
      </c>
      <c r="L44" s="13">
        <f>L43/L39</f>
        <v>0.01517919284</v>
      </c>
      <c r="M44" s="13">
        <f t="shared" si="39"/>
        <v>0.01442674025</v>
      </c>
      <c r="N44" s="13">
        <f>N43/N39</f>
        <v>0.01539817911</v>
      </c>
      <c r="O44" s="13">
        <f t="shared" si="40"/>
        <v>-0.1867602264</v>
      </c>
      <c r="P44" s="13">
        <f>P43/P39</f>
        <v>0.01252241169</v>
      </c>
      <c r="Q44" s="13">
        <f t="shared" si="41"/>
        <v>0</v>
      </c>
      <c r="R44" s="13">
        <f>R43/R39</f>
        <v>0.01252241169</v>
      </c>
      <c r="S44" s="13">
        <f t="shared" si="42"/>
        <v>0</v>
      </c>
      <c r="T44" s="13">
        <f>T43/T39</f>
        <v>0.01252241169</v>
      </c>
      <c r="U44" s="13">
        <f t="shared" si="43"/>
        <v>0</v>
      </c>
      <c r="V44" s="13">
        <f>V43/V39</f>
        <v>0.01252241169</v>
      </c>
      <c r="W44" s="13">
        <f t="shared" si="44"/>
        <v>0</v>
      </c>
      <c r="X44" s="13">
        <f>X43/X39</f>
        <v>0.01252241169</v>
      </c>
    </row>
    <row r="46">
      <c r="A46" s="4" t="s">
        <v>79</v>
      </c>
      <c r="B46" s="15">
        <f>B28</f>
        <v>46026953</v>
      </c>
      <c r="C46" s="13">
        <f t="shared" ref="C46:C50" si="45">IFERROR(SUM((D46/B46)-1),0)</f>
        <v>0</v>
      </c>
      <c r="D46" s="15">
        <f>D28</f>
        <v>46026953</v>
      </c>
      <c r="E46" s="13">
        <f t="shared" ref="E46:E50" si="46">IFERROR(SUM((F46/D46)-1),0)</f>
        <v>0</v>
      </c>
      <c r="F46" s="15">
        <f>F28</f>
        <v>46026953</v>
      </c>
      <c r="G46" s="13">
        <f t="shared" ref="G46:G50" si="47">IFERROR(SUM((H46/F46)-1),0)</f>
        <v>-0.0500000076</v>
      </c>
      <c r="H46" s="15">
        <f>H28</f>
        <v>43725605</v>
      </c>
      <c r="I46" s="13">
        <f t="shared" ref="I46:I50" si="48">IFERROR(SUM((J46/H46)-1),0)</f>
        <v>0.05263158737</v>
      </c>
      <c r="J46" s="15">
        <f>J28</f>
        <v>46026953</v>
      </c>
      <c r="K46" s="13">
        <f t="shared" ref="K46:K50" si="49">IFERROR(SUM((L46/J46)-1),0)</f>
        <v>0</v>
      </c>
      <c r="L46" s="15">
        <f>L28</f>
        <v>46026953</v>
      </c>
      <c r="M46" s="13">
        <f t="shared" ref="M46:M50" si="50">IFERROR(SUM((N46/L46)-1),0)</f>
        <v>0</v>
      </c>
      <c r="N46" s="15">
        <f>N28</f>
        <v>46026953</v>
      </c>
      <c r="O46" s="13">
        <f t="shared" ref="O46:O50" si="51">IFERROR(SUM((P46/N46)-1),0)</f>
        <v>0</v>
      </c>
      <c r="P46" s="15">
        <f>P28</f>
        <v>46026953</v>
      </c>
      <c r="Q46" s="13">
        <f t="shared" ref="Q46:Q50" si="52">IFERROR(SUM((R46/P46)-1),0)</f>
        <v>0</v>
      </c>
      <c r="R46" s="15">
        <f>R28</f>
        <v>46026953</v>
      </c>
      <c r="S46" s="13">
        <f t="shared" ref="S46:S50" si="53">IFERROR(SUM((T46/R46)-1),0)</f>
        <v>0</v>
      </c>
      <c r="T46" s="15">
        <f>T28</f>
        <v>46026953</v>
      </c>
      <c r="U46" s="13">
        <f t="shared" ref="U46:U50" si="54">IFERROR(SUM((V46/T46)-1),0)</f>
        <v>0</v>
      </c>
      <c r="V46" s="15">
        <f>V28</f>
        <v>46026953</v>
      </c>
      <c r="W46" s="13">
        <f>IFERROR(SUM((X46/#REF!)-1),0)</f>
        <v>0</v>
      </c>
      <c r="X46" s="15">
        <f>X28</f>
        <v>46026953</v>
      </c>
    </row>
    <row r="47">
      <c r="A47" s="65" t="s">
        <v>80</v>
      </c>
      <c r="B47" s="67">
        <v>3260833.3</v>
      </c>
      <c r="C47" s="68">
        <f t="shared" si="45"/>
        <v>-0.001135243559</v>
      </c>
      <c r="D47" s="67">
        <v>3257131.46</v>
      </c>
      <c r="E47" s="68">
        <f t="shared" si="46"/>
        <v>0.02164176081</v>
      </c>
      <c r="F47" s="67">
        <v>3327621.52</v>
      </c>
      <c r="G47" s="68">
        <f t="shared" si="47"/>
        <v>0.003641321565</v>
      </c>
      <c r="H47" s="67">
        <v>3339738.46</v>
      </c>
      <c r="I47" s="68">
        <f t="shared" si="48"/>
        <v>0.009814693693</v>
      </c>
      <c r="J47" s="67">
        <v>3372516.97</v>
      </c>
      <c r="K47" s="68">
        <f t="shared" si="49"/>
        <v>0.0057320186</v>
      </c>
      <c r="L47" s="67">
        <v>3391848.3</v>
      </c>
      <c r="M47" s="68">
        <f t="shared" si="50"/>
        <v>0</v>
      </c>
      <c r="N47" s="67">
        <v>3391848.3</v>
      </c>
      <c r="O47" s="68">
        <f t="shared" si="51"/>
        <v>-0.009181356961</v>
      </c>
      <c r="P47" s="67">
        <v>3360706.53</v>
      </c>
      <c r="Q47" s="68">
        <f t="shared" si="52"/>
        <v>0</v>
      </c>
      <c r="R47" s="67">
        <v>3360706.53</v>
      </c>
      <c r="S47" s="68">
        <f t="shared" si="53"/>
        <v>0</v>
      </c>
      <c r="T47" s="67">
        <v>3360706.53</v>
      </c>
      <c r="U47" s="68">
        <f t="shared" si="54"/>
        <v>0</v>
      </c>
      <c r="V47" s="67">
        <v>3360706.53</v>
      </c>
      <c r="W47" s="68">
        <f>IFERROR(SUM((X47/V50)-1),0)</f>
        <v>6.997320057</v>
      </c>
      <c r="X47" s="67">
        <v>3360706.53</v>
      </c>
    </row>
    <row r="48">
      <c r="A48" s="1" t="s">
        <v>81</v>
      </c>
      <c r="B48" s="62">
        <f>IFERROR(B47/B22,0)</f>
        <v>0.0697295201</v>
      </c>
      <c r="C48" s="31">
        <f t="shared" si="45"/>
        <v>0.07178173753</v>
      </c>
      <c r="D48" s="62">
        <f>IFERROR(D47/D22,0)</f>
        <v>0.07473482621</v>
      </c>
      <c r="E48" s="31">
        <f t="shared" si="46"/>
        <v>0.01062271247</v>
      </c>
      <c r="F48" s="62">
        <f>IFERROR(F47/F22,0)</f>
        <v>0.07552871278</v>
      </c>
      <c r="G48" s="31">
        <f t="shared" si="47"/>
        <v>-0.01052760218</v>
      </c>
      <c r="H48" s="62">
        <f>IFERROR(H47/H22,0)</f>
        <v>0.07473357654</v>
      </c>
      <c r="I48" s="31">
        <f t="shared" si="48"/>
        <v>-0.02573869995</v>
      </c>
      <c r="J48" s="62">
        <f>IFERROR(J47/J22,0)</f>
        <v>0.07281003143</v>
      </c>
      <c r="K48" s="31">
        <f t="shared" si="49"/>
        <v>0.00003262241165</v>
      </c>
      <c r="L48" s="62">
        <f>IFERROR(L47/L22,0)</f>
        <v>0.07281240667</v>
      </c>
      <c r="M48" s="31">
        <f t="shared" si="50"/>
        <v>-0.07727748731</v>
      </c>
      <c r="N48" s="62">
        <f>IFERROR(N47/N22,0)</f>
        <v>0.06718564684</v>
      </c>
      <c r="O48" s="31">
        <f t="shared" si="51"/>
        <v>-0.009181356961</v>
      </c>
      <c r="P48" s="62">
        <f>IFERROR(P47/P22,0)</f>
        <v>0.06656879143</v>
      </c>
      <c r="Q48" s="31">
        <f t="shared" si="52"/>
        <v>0.07956301199</v>
      </c>
      <c r="R48" s="62">
        <f>IFERROR(R47/R22,0)</f>
        <v>0.07186520498</v>
      </c>
      <c r="S48" s="31">
        <f t="shared" si="53"/>
        <v>0</v>
      </c>
      <c r="T48" s="62">
        <f>IFERROR(T47/T22,0)</f>
        <v>0.07186520498</v>
      </c>
      <c r="U48" s="31">
        <f t="shared" si="54"/>
        <v>0</v>
      </c>
      <c r="V48" s="62">
        <f>IFERROR(V47/V22,0)</f>
        <v>0.07186520498</v>
      </c>
      <c r="W48" s="31">
        <f>IFERROR(SUM((X48/V48)-1),0)</f>
        <v>0</v>
      </c>
      <c r="X48" s="62">
        <f>IFERROR(X47/X22,0)</f>
        <v>0.07186520498</v>
      </c>
      <c r="Y48" s="13"/>
    </row>
    <row r="49">
      <c r="A49" s="25" t="s">
        <v>82</v>
      </c>
      <c r="B49" s="63">
        <f>IFERROR(B47/(B68*B30),0)*12</f>
        <v>0.008911467805</v>
      </c>
      <c r="C49" s="27">
        <f t="shared" si="45"/>
        <v>-0.00944181118</v>
      </c>
      <c r="D49" s="63">
        <f>IFERROR(D47/(D68*D30),0)*12</f>
        <v>0.008827327408</v>
      </c>
      <c r="E49" s="27">
        <f t="shared" si="46"/>
        <v>-0.01619682292</v>
      </c>
      <c r="F49" s="63">
        <f>IFERROR(F47/(F68*F30),0)*12</f>
        <v>0.008684352749</v>
      </c>
      <c r="G49" s="27">
        <f t="shared" si="47"/>
        <v>0.01072346799</v>
      </c>
      <c r="H49" s="63">
        <f>IFERROR(H47/(H68*H30),0)*12</f>
        <v>0.008777479128</v>
      </c>
      <c r="I49" s="27">
        <f t="shared" si="48"/>
        <v>0.009814693693</v>
      </c>
      <c r="J49" s="63">
        <f>IFERROR(J47/(J68*J30),0)*12</f>
        <v>0.008863627397</v>
      </c>
      <c r="K49" s="27">
        <f t="shared" si="49"/>
        <v>-0.000314466482</v>
      </c>
      <c r="L49" s="63">
        <f>IFERROR(L47/(L68*L30),0)*12</f>
        <v>0.008860840083</v>
      </c>
      <c r="M49" s="27">
        <f t="shared" si="50"/>
        <v>0.01732925586</v>
      </c>
      <c r="N49" s="63">
        <f>IFERROR(N47/(N68*N30),0)*12</f>
        <v>0.009014391848</v>
      </c>
      <c r="O49" s="27">
        <f t="shared" si="51"/>
        <v>-0.009181356961</v>
      </c>
      <c r="P49" s="63">
        <f>IFERROR(P47/(P68*P30),0)*12</f>
        <v>0.008931627499</v>
      </c>
      <c r="Q49" s="27">
        <f t="shared" si="52"/>
        <v>-0.01703406814</v>
      </c>
      <c r="R49" s="63">
        <f>IFERROR(R47/(R68*R30),0)*12</f>
        <v>0.008779485548</v>
      </c>
      <c r="S49" s="27">
        <f t="shared" si="53"/>
        <v>0</v>
      </c>
      <c r="T49" s="63">
        <f>IFERROR(T47/(T68*T30),0)*12</f>
        <v>0.008779485548</v>
      </c>
      <c r="U49" s="27">
        <f t="shared" si="54"/>
        <v>0</v>
      </c>
      <c r="V49" s="63">
        <f>IFERROR(V47/(V68*V30),0)*12</f>
        <v>0.008779485548</v>
      </c>
      <c r="W49" s="27">
        <f>IFERROR(SUM((X49/V53)-1),0)</f>
        <v>-0.6061015765</v>
      </c>
      <c r="X49" s="63">
        <f>IFERROR(X47/(X68*X30),0)*12</f>
        <v>0.008779485548</v>
      </c>
    </row>
    <row r="50">
      <c r="A50" s="65" t="s">
        <v>83</v>
      </c>
      <c r="B50" s="67">
        <v>235861.33</v>
      </c>
      <c r="C50" s="68">
        <f t="shared" si="45"/>
        <v>1.174660552</v>
      </c>
      <c r="D50" s="67">
        <v>512918.33</v>
      </c>
      <c r="E50" s="68">
        <f t="shared" si="46"/>
        <v>-0.5900955421</v>
      </c>
      <c r="F50" s="67">
        <v>210247.51</v>
      </c>
      <c r="G50" s="68">
        <f t="shared" si="47"/>
        <v>-0.5863787876</v>
      </c>
      <c r="H50" s="67">
        <v>86962.83</v>
      </c>
      <c r="I50" s="68">
        <f t="shared" si="48"/>
        <v>0.1433920676</v>
      </c>
      <c r="J50" s="67">
        <v>99432.61</v>
      </c>
      <c r="K50" s="68">
        <f t="shared" si="49"/>
        <v>-0.07755886122</v>
      </c>
      <c r="L50" s="67">
        <v>91720.73</v>
      </c>
      <c r="M50" s="68">
        <f t="shared" si="50"/>
        <v>0.1080045918</v>
      </c>
      <c r="N50" s="67">
        <v>101626.99</v>
      </c>
      <c r="O50" s="68">
        <f t="shared" si="51"/>
        <v>3.135014626</v>
      </c>
      <c r="P50" s="67">
        <v>420229.09</v>
      </c>
      <c r="Q50" s="68">
        <f t="shared" si="52"/>
        <v>0</v>
      </c>
      <c r="R50" s="67">
        <v>420229.09</v>
      </c>
      <c r="S50" s="68">
        <f t="shared" si="53"/>
        <v>0</v>
      </c>
      <c r="T50" s="67">
        <v>420229.09</v>
      </c>
      <c r="U50" s="68">
        <f t="shared" si="54"/>
        <v>0</v>
      </c>
      <c r="V50" s="67">
        <v>420229.09</v>
      </c>
      <c r="W50" s="68">
        <f>IFERROR(SUM((X50/V52)-1),0)</f>
        <v>-0.9964087925</v>
      </c>
      <c r="X50" s="67">
        <v>420229.09</v>
      </c>
    </row>
    <row r="51">
      <c r="B51" s="15"/>
      <c r="C51" s="13"/>
      <c r="D51" s="15"/>
      <c r="E51" s="13"/>
      <c r="F51" s="15"/>
      <c r="G51" s="13"/>
      <c r="H51" s="15"/>
      <c r="I51" s="13"/>
      <c r="J51" s="15"/>
      <c r="K51" s="13"/>
      <c r="L51" s="15"/>
      <c r="M51" s="13"/>
      <c r="N51" s="15"/>
      <c r="O51" s="13"/>
      <c r="P51" s="15"/>
      <c r="Q51" s="13"/>
      <c r="R51" s="15"/>
      <c r="S51" s="13"/>
      <c r="T51" s="15"/>
      <c r="U51" s="13"/>
      <c r="V51" s="15"/>
      <c r="W51" s="13"/>
      <c r="X51" s="15"/>
    </row>
    <row r="52">
      <c r="A52" s="25" t="s">
        <v>84</v>
      </c>
      <c r="B52" s="24">
        <f>SUM(B43,B46,B47,B50)</f>
        <v>49523647.63</v>
      </c>
      <c r="C52" s="13">
        <f t="shared" ref="C52:C54" si="55">IFERROR(SUM((D52/B52)-1),0)</f>
        <v>0.005519689544</v>
      </c>
      <c r="D52" s="24">
        <f>SUM(D43,D46,D47,D50)</f>
        <v>49797002.79</v>
      </c>
      <c r="E52" s="13">
        <f t="shared" ref="E52:E54" si="56">IFERROR(SUM((F52/D52)-1),0)</f>
        <v>1.344981133</v>
      </c>
      <c r="F52" s="24">
        <f>SUM(F43,F46,F47,F50)</f>
        <v>116773032</v>
      </c>
      <c r="G52" s="13">
        <f t="shared" ref="G52:G54" si="57">IFERROR(SUM((H52/F52)-1),0)</f>
        <v>-0.02065987067</v>
      </c>
      <c r="H52" s="24">
        <f>SUM(H43,H46,H47,H50)</f>
        <v>114360516.3</v>
      </c>
      <c r="I52" s="13">
        <f t="shared" ref="I52:I54" si="58">IFERROR(SUM((J52/H52)-1),0)</f>
        <v>0.0205192873</v>
      </c>
      <c r="J52" s="24">
        <f>SUM(J43,J46,J47,J50)</f>
        <v>116707112.6</v>
      </c>
      <c r="K52" s="13">
        <f t="shared" ref="K52:K54" si="59">IFERROR(SUM((L52/J52)-1),0)</f>
        <v>0.00009956077005</v>
      </c>
      <c r="L52" s="24">
        <f>SUM(L43,L46,L47,L50)</f>
        <v>116718732</v>
      </c>
      <c r="M52" s="13">
        <f t="shared" ref="M52:M54" si="60">IFERROR(SUM((N52/L52)-1),0)</f>
        <v>0.00008487292337</v>
      </c>
      <c r="N52" s="24">
        <f>SUM(N43,N46,N47,N50)</f>
        <v>116728638.3</v>
      </c>
      <c r="O52" s="13">
        <f t="shared" ref="O52:O54" si="61">IFERROR(SUM((P52/N52)-1),0)</f>
        <v>0.002462637569</v>
      </c>
      <c r="P52" s="24">
        <f>SUM(P43,P46,P47,P50)</f>
        <v>117016098.6</v>
      </c>
      <c r="Q52" s="13">
        <f t="shared" ref="Q52:Q54" si="62">IFERROR(SUM((R52/P52)-1),0)</f>
        <v>0</v>
      </c>
      <c r="R52" s="24">
        <f>SUM(R43,R46,R47,R50)</f>
        <v>117016098.6</v>
      </c>
      <c r="S52" s="13">
        <f t="shared" ref="S52:S54" si="63">IFERROR(SUM((T52/R52)-1),0)</f>
        <v>0</v>
      </c>
      <c r="T52" s="24">
        <f>SUM(T43,T46,T47,T50)</f>
        <v>117016098.6</v>
      </c>
      <c r="U52" s="13">
        <f t="shared" ref="U52:U54" si="64">IFERROR(SUM((V52/T52)-1),0)</f>
        <v>0</v>
      </c>
      <c r="V52" s="24">
        <f>SUM(V43,V46,V47,V50)</f>
        <v>117016098.6</v>
      </c>
      <c r="W52" s="13">
        <f>IFERROR(SUM((X52/#REF!)-1),0)</f>
        <v>0</v>
      </c>
      <c r="X52" s="24">
        <f>SUM(X43,X46,X47,X50)</f>
        <v>117016098.6</v>
      </c>
    </row>
    <row r="53">
      <c r="A53" s="4" t="s">
        <v>85</v>
      </c>
      <c r="B53" s="13">
        <f>(B39/B54)-1</f>
        <v>0.0114472954</v>
      </c>
      <c r="C53" s="13">
        <f t="shared" si="55"/>
        <v>-0.0008040967107</v>
      </c>
      <c r="D53" s="13">
        <f>(D39/D54)-1</f>
        <v>0.01143809066</v>
      </c>
      <c r="E53" s="13">
        <f t="shared" si="56"/>
        <v>1.318736738</v>
      </c>
      <c r="F53" s="13">
        <f>(F39/F54)-1</f>
        <v>0.02652192104</v>
      </c>
      <c r="G53" s="13">
        <f t="shared" si="57"/>
        <v>-0.0002806525186</v>
      </c>
      <c r="H53" s="13">
        <f>(H39/H54)-1</f>
        <v>0.02651447759</v>
      </c>
      <c r="I53" s="13">
        <f t="shared" si="58"/>
        <v>0.02015004778</v>
      </c>
      <c r="J53" s="13">
        <f>(J39/J54)-1</f>
        <v>0.02704874558</v>
      </c>
      <c r="K53" s="13">
        <f t="shared" si="59"/>
        <v>0.0009720618908</v>
      </c>
      <c r="L53" s="13">
        <f>(L39/L54)-1</f>
        <v>0.02707503864</v>
      </c>
      <c r="M53" s="13">
        <f t="shared" si="60"/>
        <v>0.01491163257</v>
      </c>
      <c r="N53" s="13">
        <f>(N39/N54)-1</f>
        <v>0.02747877167</v>
      </c>
      <c r="O53" s="13">
        <f t="shared" si="61"/>
        <v>-0.1888755172</v>
      </c>
      <c r="P53" s="13">
        <f>(P39/P54)-1</f>
        <v>0.02228870445</v>
      </c>
      <c r="Q53" s="13">
        <f t="shared" si="62"/>
        <v>0</v>
      </c>
      <c r="R53" s="13">
        <f>(R39/R54)-1</f>
        <v>0.02228870445</v>
      </c>
      <c r="S53" s="13">
        <f t="shared" si="63"/>
        <v>0</v>
      </c>
      <c r="T53" s="13">
        <f>(T39/T54)-1</f>
        <v>0.02228870445</v>
      </c>
      <c r="U53" s="13">
        <f t="shared" si="64"/>
        <v>0</v>
      </c>
      <c r="V53" s="13">
        <f>(V39/V54)-1</f>
        <v>0.02228870445</v>
      </c>
      <c r="W53" s="13">
        <f>IFERROR(SUM((X53/V54)-1),0)</f>
        <v>-1</v>
      </c>
      <c r="X53" s="13">
        <f>(X39/X54)-1</f>
        <v>0.02228870445</v>
      </c>
    </row>
    <row r="54">
      <c r="A54" s="28" t="s">
        <v>87</v>
      </c>
      <c r="B54" s="22">
        <f>SUM(B39-B52)</f>
        <v>4326231298</v>
      </c>
      <c r="C54" s="13">
        <f t="shared" si="55"/>
        <v>0.006328875282</v>
      </c>
      <c r="D54" s="22">
        <f>SUM(D39-D52)</f>
        <v>4353611477</v>
      </c>
      <c r="E54" s="13">
        <f t="shared" si="56"/>
        <v>0.01131840241</v>
      </c>
      <c r="F54" s="22">
        <f>SUM(F39-F52)</f>
        <v>4402887403</v>
      </c>
      <c r="G54" s="13">
        <f t="shared" si="57"/>
        <v>-0.02038493924</v>
      </c>
      <c r="H54" s="22">
        <f>SUM(H39-H52)</f>
        <v>4313134811</v>
      </c>
      <c r="I54" s="13">
        <f t="shared" si="58"/>
        <v>0.0003619462916</v>
      </c>
      <c r="J54" s="22">
        <f>SUM(J39-J52)</f>
        <v>4314695934</v>
      </c>
      <c r="K54" s="13">
        <f t="shared" si="59"/>
        <v>-0.0008716538193</v>
      </c>
      <c r="L54" s="22">
        <f>SUM(L39-L52)</f>
        <v>4310935013</v>
      </c>
      <c r="M54" s="13">
        <f t="shared" si="60"/>
        <v>-0.01460891684</v>
      </c>
      <c r="N54" s="22">
        <f>SUM(N39-N52)</f>
        <v>4247956922</v>
      </c>
      <c r="O54" s="13">
        <f t="shared" si="61"/>
        <v>0.2358924663</v>
      </c>
      <c r="P54" s="22">
        <f>SUM(P39-P52)</f>
        <v>5250017957</v>
      </c>
      <c r="Q54" s="13">
        <f t="shared" si="62"/>
        <v>0</v>
      </c>
      <c r="R54" s="22">
        <f>SUM(R39-R52)</f>
        <v>5250017957</v>
      </c>
      <c r="S54" s="13">
        <f t="shared" si="63"/>
        <v>0</v>
      </c>
      <c r="T54" s="22">
        <f>SUM(T39-T52)</f>
        <v>5250017957</v>
      </c>
      <c r="U54" s="13">
        <f t="shared" si="64"/>
        <v>0</v>
      </c>
      <c r="V54" s="22">
        <f>SUM(V39-V52)</f>
        <v>5250017957</v>
      </c>
      <c r="W54" s="13">
        <f>IFERROR(SUM((X54/V54)-1),0)</f>
        <v>0</v>
      </c>
      <c r="X54" s="22">
        <f>SUM(X39-X52)</f>
        <v>5250017957</v>
      </c>
    </row>
    <row r="55">
      <c r="A55" s="52"/>
      <c r="B55" s="2" t="s">
        <v>1</v>
      </c>
      <c r="C55" s="3">
        <f>$C$1</f>
        <v>46058</v>
      </c>
      <c r="D55" s="2" t="s">
        <v>1</v>
      </c>
      <c r="E55" s="3">
        <f>$E$1</f>
        <v>46087</v>
      </c>
      <c r="F55" s="2" t="s">
        <v>1</v>
      </c>
      <c r="G55" s="3">
        <f>$G$1</f>
        <v>46114</v>
      </c>
      <c r="H55" s="2" t="s">
        <v>1</v>
      </c>
      <c r="I55" s="3">
        <f>$I$1</f>
        <v>46149</v>
      </c>
      <c r="J55" s="2" t="s">
        <v>1</v>
      </c>
      <c r="K55" s="3">
        <f>$K$1</f>
        <v>46182</v>
      </c>
      <c r="L55" s="2" t="s">
        <v>1</v>
      </c>
      <c r="M55" s="3">
        <f>$M$1</f>
        <v>46197</v>
      </c>
      <c r="N55" s="2" t="s">
        <v>1</v>
      </c>
      <c r="O55" s="3">
        <f>$O$1</f>
        <v>46239</v>
      </c>
      <c r="P55" s="2" t="s">
        <v>2</v>
      </c>
      <c r="Q55" s="3">
        <f>$Q$1</f>
        <v>46267</v>
      </c>
      <c r="R55" s="2" t="s">
        <v>3</v>
      </c>
      <c r="S55" s="3">
        <f>$S$1</f>
        <v>46195</v>
      </c>
      <c r="T55" s="2" t="s">
        <v>3</v>
      </c>
      <c r="U55" s="3">
        <f>$U$1</f>
        <v>46195</v>
      </c>
      <c r="V55" s="2" t="s">
        <v>3</v>
      </c>
      <c r="W55" s="3">
        <f>$W$1</f>
        <v>46195</v>
      </c>
      <c r="X55" s="2" t="s">
        <v>3</v>
      </c>
      <c r="Y55" s="3">
        <f>$Y$1</f>
        <v>46195</v>
      </c>
    </row>
    <row r="56">
      <c r="A56" s="1" t="s">
        <v>247</v>
      </c>
      <c r="B56" s="1" t="s">
        <v>5</v>
      </c>
      <c r="C56" s="53"/>
      <c r="D56" s="54" t="s">
        <v>6</v>
      </c>
      <c r="E56" s="55"/>
      <c r="F56" s="54" t="s">
        <v>7</v>
      </c>
      <c r="G56" s="55"/>
      <c r="H56" s="54" t="s">
        <v>8</v>
      </c>
      <c r="I56" s="55"/>
      <c r="J56" s="54" t="s">
        <v>9</v>
      </c>
      <c r="K56" s="55"/>
      <c r="L56" s="54" t="s">
        <v>10</v>
      </c>
      <c r="M56" s="55"/>
      <c r="N56" s="54" t="s">
        <v>11</v>
      </c>
      <c r="O56" s="55"/>
      <c r="P56" s="1" t="s">
        <v>12</v>
      </c>
      <c r="Q56" s="53"/>
      <c r="R56" s="1" t="s">
        <v>13</v>
      </c>
      <c r="S56" s="53"/>
      <c r="T56" s="1" t="s">
        <v>14</v>
      </c>
      <c r="U56" s="53"/>
      <c r="V56" s="1" t="s">
        <v>15</v>
      </c>
      <c r="W56" s="53"/>
      <c r="X56" s="1" t="s">
        <v>16</v>
      </c>
    </row>
    <row r="57">
      <c r="A57" s="4" t="s">
        <v>248</v>
      </c>
    </row>
    <row r="58">
      <c r="A58" s="176" t="s">
        <v>249</v>
      </c>
      <c r="B58" s="176">
        <v>90.0</v>
      </c>
      <c r="C58" s="177">
        <f t="shared" ref="C58:C70" si="65">IFERROR(SUM((D58/B58)-1),0)</f>
        <v>-0.01111111111</v>
      </c>
      <c r="D58" s="176">
        <v>89.0</v>
      </c>
      <c r="E58" s="177">
        <f t="shared" ref="E58:E70" si="66">IFERROR(SUM((F58/D58)-1),0)</f>
        <v>0</v>
      </c>
      <c r="F58" s="178">
        <v>89.0</v>
      </c>
      <c r="G58" s="177">
        <f t="shared" ref="G58:G70" si="67">IFERROR(SUM((H58/F58)-1),0)</f>
        <v>0</v>
      </c>
      <c r="H58" s="178">
        <v>89.0</v>
      </c>
      <c r="I58" s="177">
        <f t="shared" ref="I58:I70" si="68">IFERROR(SUM((J58/H58)-1),0)</f>
        <v>0</v>
      </c>
      <c r="J58" s="178">
        <v>89.0</v>
      </c>
      <c r="K58" s="177">
        <f t="shared" ref="K58:K70" si="69">IFERROR(SUM((L58/J58)-1),0)</f>
        <v>-0.1011235955</v>
      </c>
      <c r="L58" s="178">
        <v>80.0</v>
      </c>
      <c r="M58" s="177">
        <f t="shared" ref="M58:M70" si="70">IFERROR(SUM((N58/L58)-1),0)</f>
        <v>-0.0375</v>
      </c>
      <c r="N58" s="178">
        <v>77.0</v>
      </c>
      <c r="O58" s="177">
        <f t="shared" ref="O58:O70" si="71">IFERROR(SUM((P58/N58)-1),0)</f>
        <v>0</v>
      </c>
      <c r="P58" s="178">
        <v>77.0</v>
      </c>
      <c r="Q58" s="177">
        <f t="shared" ref="Q58:Q70" si="72">IFERROR(SUM((R58/P58)-1),0)</f>
        <v>0.1688311688</v>
      </c>
      <c r="R58" s="179">
        <v>90.0</v>
      </c>
      <c r="S58" s="177">
        <f t="shared" ref="S58:S70" si="73">IFERROR(SUM((T58/R58)-1),0)</f>
        <v>0</v>
      </c>
      <c r="T58" s="179">
        <v>90.0</v>
      </c>
      <c r="U58" s="177">
        <f t="shared" ref="U58:U70" si="74">IFERROR(SUM((V58/T58)-1),0)</f>
        <v>0</v>
      </c>
      <c r="V58" s="179">
        <v>90.0</v>
      </c>
      <c r="W58" s="177">
        <f t="shared" ref="W58:W70" si="75">IFERROR(SUM((X58/V58)-1),0)</f>
        <v>0</v>
      </c>
      <c r="X58" s="179">
        <v>90.0</v>
      </c>
      <c r="Y58" s="180"/>
    </row>
    <row r="59">
      <c r="A59" s="176" t="s">
        <v>250</v>
      </c>
      <c r="B59" s="176">
        <v>4.0</v>
      </c>
      <c r="C59" s="177">
        <f t="shared" si="65"/>
        <v>-0.25</v>
      </c>
      <c r="D59" s="176">
        <v>3.0</v>
      </c>
      <c r="E59" s="177">
        <f t="shared" si="66"/>
        <v>0</v>
      </c>
      <c r="F59" s="178">
        <v>3.0</v>
      </c>
      <c r="G59" s="177">
        <f t="shared" si="67"/>
        <v>0</v>
      </c>
      <c r="H59" s="178">
        <v>3.0</v>
      </c>
      <c r="I59" s="177">
        <f t="shared" si="68"/>
        <v>0</v>
      </c>
      <c r="J59" s="178">
        <v>3.0</v>
      </c>
      <c r="K59" s="177">
        <f t="shared" si="69"/>
        <v>0</v>
      </c>
      <c r="L59" s="178">
        <v>3.0</v>
      </c>
      <c r="M59" s="177">
        <f t="shared" si="70"/>
        <v>0</v>
      </c>
      <c r="N59" s="178">
        <v>3.0</v>
      </c>
      <c r="O59" s="177">
        <f t="shared" si="71"/>
        <v>0</v>
      </c>
      <c r="P59" s="178">
        <v>3.0</v>
      </c>
      <c r="Q59" s="177">
        <f t="shared" si="72"/>
        <v>0.3333333333</v>
      </c>
      <c r="R59" s="179">
        <v>4.0</v>
      </c>
      <c r="S59" s="177">
        <f t="shared" si="73"/>
        <v>0</v>
      </c>
      <c r="T59" s="179">
        <v>4.0</v>
      </c>
      <c r="U59" s="177">
        <f t="shared" si="74"/>
        <v>0</v>
      </c>
      <c r="V59" s="179">
        <v>4.0</v>
      </c>
      <c r="W59" s="177">
        <f t="shared" si="75"/>
        <v>0</v>
      </c>
      <c r="X59" s="179">
        <v>4.0</v>
      </c>
      <c r="Y59" s="180"/>
    </row>
    <row r="60">
      <c r="A60" s="172" t="s">
        <v>251</v>
      </c>
      <c r="B60" s="172">
        <v>2.82</v>
      </c>
      <c r="C60" s="181">
        <f t="shared" si="65"/>
        <v>-0.007092198582</v>
      </c>
      <c r="D60" s="172">
        <v>2.8</v>
      </c>
      <c r="E60" s="181">
        <f t="shared" si="66"/>
        <v>0.01071428571</v>
      </c>
      <c r="F60" s="172">
        <v>2.83</v>
      </c>
      <c r="G60" s="181">
        <f t="shared" si="67"/>
        <v>-0.003533568905</v>
      </c>
      <c r="H60" s="172">
        <v>2.82</v>
      </c>
      <c r="I60" s="181">
        <f t="shared" si="68"/>
        <v>0.003546099291</v>
      </c>
      <c r="J60" s="172">
        <v>2.83</v>
      </c>
      <c r="K60" s="181">
        <f t="shared" si="69"/>
        <v>-0.02473498233</v>
      </c>
      <c r="L60" s="172">
        <v>2.76</v>
      </c>
      <c r="M60" s="181">
        <f t="shared" si="70"/>
        <v>-0.05072463768</v>
      </c>
      <c r="N60" s="172">
        <v>2.62</v>
      </c>
      <c r="O60" s="181">
        <f t="shared" si="71"/>
        <v>0</v>
      </c>
      <c r="P60" s="172">
        <v>2.62</v>
      </c>
      <c r="Q60" s="181">
        <f t="shared" si="72"/>
        <v>0.0534351145</v>
      </c>
      <c r="R60" s="172">
        <v>2.76</v>
      </c>
      <c r="S60" s="181">
        <f t="shared" si="73"/>
        <v>0</v>
      </c>
      <c r="T60" s="172">
        <v>2.76</v>
      </c>
      <c r="U60" s="181">
        <f t="shared" si="74"/>
        <v>0</v>
      </c>
      <c r="V60" s="172">
        <v>2.76</v>
      </c>
      <c r="W60" s="181">
        <f t="shared" si="75"/>
        <v>0</v>
      </c>
      <c r="X60" s="172">
        <v>2.76</v>
      </c>
    </row>
    <row r="61">
      <c r="A61" s="16" t="s">
        <v>252</v>
      </c>
      <c r="B61" s="15">
        <v>9.11</v>
      </c>
      <c r="C61" s="18">
        <f t="shared" si="65"/>
        <v>-0.03073545554</v>
      </c>
      <c r="D61" s="15">
        <v>8.83</v>
      </c>
      <c r="E61" s="18">
        <f t="shared" si="66"/>
        <v>-0.005662514156</v>
      </c>
      <c r="F61" s="15">
        <v>8.78</v>
      </c>
      <c r="G61" s="18">
        <f t="shared" si="67"/>
        <v>-0.1195899772</v>
      </c>
      <c r="H61" s="15">
        <v>7.73</v>
      </c>
      <c r="I61" s="18">
        <f t="shared" si="68"/>
        <v>-0.1565329884</v>
      </c>
      <c r="J61" s="15">
        <v>6.52</v>
      </c>
      <c r="K61" s="18">
        <f t="shared" si="69"/>
        <v>0.05214723926</v>
      </c>
      <c r="L61" s="15">
        <v>6.86</v>
      </c>
      <c r="M61" s="18">
        <f t="shared" si="70"/>
        <v>-0.07725947522</v>
      </c>
      <c r="N61" s="15">
        <v>6.33</v>
      </c>
      <c r="O61" s="18">
        <f t="shared" si="71"/>
        <v>0</v>
      </c>
      <c r="P61" s="15">
        <v>6.33</v>
      </c>
      <c r="Q61" s="18">
        <f t="shared" si="72"/>
        <v>-1</v>
      </c>
      <c r="R61" s="182"/>
      <c r="S61" s="18">
        <f t="shared" si="73"/>
        <v>0</v>
      </c>
      <c r="T61" s="182"/>
      <c r="U61" s="18">
        <f t="shared" si="74"/>
        <v>0</v>
      </c>
      <c r="V61" s="182"/>
      <c r="W61" s="18">
        <f t="shared" si="75"/>
        <v>0</v>
      </c>
      <c r="X61" s="182"/>
    </row>
    <row r="62">
      <c r="A62" s="172" t="s">
        <v>253</v>
      </c>
      <c r="B62" s="183">
        <v>8.61</v>
      </c>
      <c r="C62" s="181">
        <f t="shared" si="65"/>
        <v>-0.001161440186</v>
      </c>
      <c r="D62" s="183">
        <v>8.6</v>
      </c>
      <c r="E62" s="181">
        <f t="shared" si="66"/>
        <v>0.01279069767</v>
      </c>
      <c r="F62" s="183">
        <v>8.71</v>
      </c>
      <c r="G62" s="181">
        <f t="shared" si="67"/>
        <v>-0.003444316877</v>
      </c>
      <c r="H62" s="183">
        <v>8.68</v>
      </c>
      <c r="I62" s="181">
        <f t="shared" si="68"/>
        <v>-0.001152073733</v>
      </c>
      <c r="J62" s="183">
        <v>8.67</v>
      </c>
      <c r="K62" s="181">
        <f t="shared" si="69"/>
        <v>-0.002306805075</v>
      </c>
      <c r="L62" s="183">
        <v>8.65</v>
      </c>
      <c r="M62" s="181">
        <f t="shared" si="70"/>
        <v>0.003468208092</v>
      </c>
      <c r="N62" s="183">
        <v>8.68</v>
      </c>
      <c r="O62" s="181">
        <f t="shared" si="71"/>
        <v>0</v>
      </c>
      <c r="P62" s="183">
        <v>8.68</v>
      </c>
      <c r="Q62" s="181">
        <f t="shared" si="72"/>
        <v>-0.003456221198</v>
      </c>
      <c r="R62" s="183">
        <v>8.65</v>
      </c>
      <c r="S62" s="181">
        <f t="shared" si="73"/>
        <v>0</v>
      </c>
      <c r="T62" s="183">
        <v>8.65</v>
      </c>
      <c r="U62" s="181">
        <f t="shared" si="74"/>
        <v>0</v>
      </c>
      <c r="V62" s="183">
        <v>8.65</v>
      </c>
      <c r="W62" s="181">
        <f t="shared" si="75"/>
        <v>0</v>
      </c>
      <c r="X62" s="183">
        <v>8.65</v>
      </c>
    </row>
    <row r="63">
      <c r="A63" s="16" t="s">
        <v>254</v>
      </c>
      <c r="B63" s="15">
        <v>79.03</v>
      </c>
      <c r="C63" s="18">
        <f t="shared" si="65"/>
        <v>0.002277616095</v>
      </c>
      <c r="D63" s="15">
        <v>79.21</v>
      </c>
      <c r="E63" s="18">
        <f t="shared" si="66"/>
        <v>-0.00984724151</v>
      </c>
      <c r="F63" s="15">
        <v>78.43</v>
      </c>
      <c r="G63" s="18">
        <f t="shared" si="67"/>
        <v>0.01708529899</v>
      </c>
      <c r="H63" s="15">
        <v>79.77</v>
      </c>
      <c r="I63" s="18">
        <f t="shared" si="68"/>
        <v>-0.0156700514</v>
      </c>
      <c r="J63" s="15">
        <v>78.52</v>
      </c>
      <c r="K63" s="18">
        <f t="shared" si="69"/>
        <v>-0.004457463067</v>
      </c>
      <c r="L63" s="15">
        <v>78.17</v>
      </c>
      <c r="M63" s="18">
        <f t="shared" si="70"/>
        <v>-0.0001279263144</v>
      </c>
      <c r="N63" s="15">
        <v>78.16</v>
      </c>
      <c r="O63" s="18">
        <f t="shared" si="71"/>
        <v>0</v>
      </c>
      <c r="P63" s="15">
        <v>78.16</v>
      </c>
      <c r="Q63" s="18">
        <f t="shared" si="72"/>
        <v>-1</v>
      </c>
      <c r="R63" s="182"/>
      <c r="S63" s="18">
        <f t="shared" si="73"/>
        <v>0</v>
      </c>
      <c r="T63" s="182"/>
      <c r="U63" s="18">
        <f t="shared" si="74"/>
        <v>0</v>
      </c>
      <c r="V63" s="182"/>
      <c r="W63" s="18">
        <f t="shared" si="75"/>
        <v>0</v>
      </c>
      <c r="X63" s="182"/>
    </row>
    <row r="64">
      <c r="A64" s="176" t="s">
        <v>255</v>
      </c>
      <c r="B64" s="184">
        <v>22.0</v>
      </c>
      <c r="C64" s="177">
        <f t="shared" si="65"/>
        <v>0</v>
      </c>
      <c r="D64" s="184">
        <v>22.0</v>
      </c>
      <c r="E64" s="177">
        <f t="shared" si="66"/>
        <v>0</v>
      </c>
      <c r="F64" s="185">
        <v>22.0</v>
      </c>
      <c r="G64" s="177">
        <f t="shared" si="67"/>
        <v>0</v>
      </c>
      <c r="H64" s="185">
        <v>22.0</v>
      </c>
      <c r="I64" s="177">
        <f t="shared" si="68"/>
        <v>0</v>
      </c>
      <c r="J64" s="185">
        <v>22.0</v>
      </c>
      <c r="K64" s="177">
        <f t="shared" si="69"/>
        <v>0</v>
      </c>
      <c r="L64" s="185">
        <v>22.0</v>
      </c>
      <c r="M64" s="177">
        <f t="shared" si="70"/>
        <v>0.04545454545</v>
      </c>
      <c r="N64" s="186">
        <v>23.0</v>
      </c>
      <c r="O64" s="177">
        <f t="shared" si="71"/>
        <v>0</v>
      </c>
      <c r="P64" s="186">
        <v>23.0</v>
      </c>
      <c r="Q64" s="177">
        <f t="shared" si="72"/>
        <v>-0.04347826087</v>
      </c>
      <c r="R64" s="184">
        <v>22.0</v>
      </c>
      <c r="S64" s="177">
        <f t="shared" si="73"/>
        <v>0</v>
      </c>
      <c r="T64" s="185">
        <v>22.0</v>
      </c>
      <c r="U64" s="177">
        <f t="shared" si="74"/>
        <v>0</v>
      </c>
      <c r="V64" s="185">
        <v>22.0</v>
      </c>
      <c r="W64" s="177">
        <f t="shared" si="75"/>
        <v>0</v>
      </c>
      <c r="X64" s="185">
        <v>22.0</v>
      </c>
      <c r="Y64" s="180"/>
    </row>
    <row r="65">
      <c r="A65" s="16" t="s">
        <v>256</v>
      </c>
      <c r="B65" s="15">
        <v>11.75</v>
      </c>
      <c r="C65" s="18">
        <f t="shared" si="65"/>
        <v>0.008510638298</v>
      </c>
      <c r="D65" s="15">
        <v>11.85</v>
      </c>
      <c r="E65" s="18">
        <f t="shared" si="66"/>
        <v>0.07848101266</v>
      </c>
      <c r="F65" s="15">
        <v>12.78</v>
      </c>
      <c r="G65" s="18">
        <f t="shared" si="67"/>
        <v>-0.02190923318</v>
      </c>
      <c r="H65" s="15">
        <v>12.5</v>
      </c>
      <c r="I65" s="18">
        <f t="shared" si="68"/>
        <v>0.1968</v>
      </c>
      <c r="J65" s="15">
        <v>14.96</v>
      </c>
      <c r="K65" s="18">
        <f t="shared" si="69"/>
        <v>0.0006684491979</v>
      </c>
      <c r="L65" s="15">
        <v>14.97</v>
      </c>
      <c r="M65" s="18">
        <f t="shared" si="70"/>
        <v>0.03607214429</v>
      </c>
      <c r="N65" s="15">
        <v>15.51</v>
      </c>
      <c r="O65" s="18">
        <f t="shared" si="71"/>
        <v>0</v>
      </c>
      <c r="P65" s="15">
        <v>15.51</v>
      </c>
      <c r="Q65" s="18">
        <f t="shared" si="72"/>
        <v>-1</v>
      </c>
      <c r="R65" s="182"/>
      <c r="S65" s="18">
        <f t="shared" si="73"/>
        <v>0</v>
      </c>
      <c r="T65" s="182"/>
      <c r="U65" s="18">
        <f t="shared" si="74"/>
        <v>0</v>
      </c>
      <c r="V65" s="182"/>
      <c r="W65" s="18">
        <f t="shared" si="75"/>
        <v>0</v>
      </c>
      <c r="X65" s="182"/>
    </row>
    <row r="66">
      <c r="A66" s="176" t="s">
        <v>257</v>
      </c>
      <c r="B66" s="184">
        <v>13.0</v>
      </c>
      <c r="C66" s="177">
        <f t="shared" si="65"/>
        <v>0.07692307692</v>
      </c>
      <c r="D66" s="184">
        <v>14.0</v>
      </c>
      <c r="E66" s="177">
        <f t="shared" si="66"/>
        <v>0</v>
      </c>
      <c r="F66" s="186">
        <v>14.0</v>
      </c>
      <c r="G66" s="177">
        <f t="shared" si="67"/>
        <v>0</v>
      </c>
      <c r="H66" s="186">
        <v>14.0</v>
      </c>
      <c r="I66" s="177">
        <f t="shared" si="68"/>
        <v>0</v>
      </c>
      <c r="J66" s="186">
        <v>14.0</v>
      </c>
      <c r="K66" s="177">
        <f t="shared" si="69"/>
        <v>0</v>
      </c>
      <c r="L66" s="186">
        <v>14.0</v>
      </c>
      <c r="M66" s="177">
        <f t="shared" si="70"/>
        <v>0</v>
      </c>
      <c r="N66" s="186">
        <v>14.0</v>
      </c>
      <c r="O66" s="177">
        <f t="shared" si="71"/>
        <v>0</v>
      </c>
      <c r="P66" s="186">
        <v>14.0</v>
      </c>
      <c r="Q66" s="177">
        <f t="shared" si="72"/>
        <v>-0.07142857143</v>
      </c>
      <c r="R66" s="185">
        <v>13.0</v>
      </c>
      <c r="S66" s="177">
        <f t="shared" si="73"/>
        <v>0</v>
      </c>
      <c r="T66" s="185">
        <v>13.0</v>
      </c>
      <c r="U66" s="177">
        <f t="shared" si="74"/>
        <v>0</v>
      </c>
      <c r="V66" s="185">
        <v>13.0</v>
      </c>
      <c r="W66" s="177">
        <f t="shared" si="75"/>
        <v>0</v>
      </c>
      <c r="X66" s="185">
        <v>13.0</v>
      </c>
      <c r="Y66" s="180"/>
    </row>
    <row r="67">
      <c r="A67" s="59" t="s">
        <v>258</v>
      </c>
      <c r="B67" s="15">
        <v>53.0</v>
      </c>
      <c r="C67" s="159">
        <f t="shared" si="65"/>
        <v>0.01886792453</v>
      </c>
      <c r="D67" s="15">
        <v>54.0</v>
      </c>
      <c r="E67" s="159">
        <f t="shared" si="66"/>
        <v>0.01851851852</v>
      </c>
      <c r="F67" s="15">
        <v>55.0</v>
      </c>
      <c r="G67" s="159">
        <f t="shared" si="67"/>
        <v>0.01818181818</v>
      </c>
      <c r="H67" s="15">
        <v>56.0</v>
      </c>
      <c r="I67" s="159">
        <f t="shared" si="68"/>
        <v>0</v>
      </c>
      <c r="J67" s="15">
        <v>56.0</v>
      </c>
      <c r="K67" s="159">
        <f t="shared" si="69"/>
        <v>0</v>
      </c>
      <c r="L67" s="15">
        <v>56.0</v>
      </c>
      <c r="M67" s="159">
        <f t="shared" si="70"/>
        <v>0</v>
      </c>
      <c r="N67" s="15">
        <v>56.0</v>
      </c>
      <c r="O67" s="159">
        <f t="shared" si="71"/>
        <v>0</v>
      </c>
      <c r="P67" s="15">
        <v>56.0</v>
      </c>
      <c r="Q67" s="159">
        <f t="shared" si="72"/>
        <v>0</v>
      </c>
      <c r="R67" s="15">
        <v>56.0</v>
      </c>
      <c r="S67" s="159">
        <f t="shared" si="73"/>
        <v>0</v>
      </c>
      <c r="T67" s="15">
        <v>56.0</v>
      </c>
      <c r="U67" s="159">
        <f t="shared" si="74"/>
        <v>0</v>
      </c>
      <c r="V67" s="15">
        <v>56.0</v>
      </c>
      <c r="W67" s="159">
        <f t="shared" si="75"/>
        <v>0</v>
      </c>
      <c r="X67" s="15">
        <v>56.0</v>
      </c>
    </row>
    <row r="68">
      <c r="A68" s="4" t="s">
        <v>113</v>
      </c>
      <c r="B68" s="75">
        <v>9.54</v>
      </c>
      <c r="C68" s="13">
        <f t="shared" si="65"/>
        <v>0.008385744235</v>
      </c>
      <c r="D68" s="75">
        <v>9.62</v>
      </c>
      <c r="E68" s="13">
        <f t="shared" si="66"/>
        <v>0.03846153846</v>
      </c>
      <c r="F68" s="75">
        <v>9.99</v>
      </c>
      <c r="G68" s="13">
        <f t="shared" si="67"/>
        <v>-0.007007007007</v>
      </c>
      <c r="H68" s="75">
        <v>9.92</v>
      </c>
      <c r="I68" s="13">
        <f t="shared" si="68"/>
        <v>0</v>
      </c>
      <c r="J68" s="75">
        <v>9.92</v>
      </c>
      <c r="K68" s="13">
        <f t="shared" si="69"/>
        <v>0.006048387097</v>
      </c>
      <c r="L68" s="75">
        <v>9.98</v>
      </c>
      <c r="M68" s="13">
        <f t="shared" si="70"/>
        <v>-0.01703406814</v>
      </c>
      <c r="N68" s="75">
        <v>9.81</v>
      </c>
      <c r="O68" s="13">
        <f t="shared" si="71"/>
        <v>0</v>
      </c>
      <c r="P68" s="75">
        <v>9.81</v>
      </c>
      <c r="Q68" s="13">
        <f t="shared" si="72"/>
        <v>0.01732925586</v>
      </c>
      <c r="R68" s="75">
        <v>9.98</v>
      </c>
      <c r="S68" s="13">
        <f t="shared" si="73"/>
        <v>0</v>
      </c>
      <c r="T68" s="75">
        <v>9.98</v>
      </c>
      <c r="U68" s="13">
        <f t="shared" si="74"/>
        <v>0</v>
      </c>
      <c r="V68" s="75">
        <v>9.98</v>
      </c>
      <c r="W68" s="13">
        <f t="shared" si="75"/>
        <v>0</v>
      </c>
      <c r="X68" s="75">
        <v>9.98</v>
      </c>
      <c r="Y68" s="13"/>
    </row>
    <row r="69">
      <c r="A69" s="4" t="s">
        <v>116</v>
      </c>
      <c r="B69" s="75">
        <v>9.39</v>
      </c>
      <c r="C69" s="13">
        <f t="shared" si="65"/>
        <v>0.007454739084</v>
      </c>
      <c r="D69" s="75">
        <v>9.46</v>
      </c>
      <c r="E69" s="13">
        <f t="shared" si="66"/>
        <v>0.01268498943</v>
      </c>
      <c r="F69" s="75">
        <v>9.58</v>
      </c>
      <c r="G69" s="13">
        <f t="shared" si="67"/>
        <v>-0.02087682672</v>
      </c>
      <c r="H69" s="75">
        <v>9.38</v>
      </c>
      <c r="I69" s="13">
        <f t="shared" si="68"/>
        <v>0</v>
      </c>
      <c r="J69" s="75">
        <v>9.38</v>
      </c>
      <c r="K69" s="13">
        <f t="shared" si="69"/>
        <v>-0.001066098081</v>
      </c>
      <c r="L69" s="75">
        <v>9.37</v>
      </c>
      <c r="M69" s="13">
        <f t="shared" si="70"/>
        <v>-0.01494130203</v>
      </c>
      <c r="N69" s="75">
        <v>9.23</v>
      </c>
      <c r="O69" s="13">
        <f t="shared" si="71"/>
        <v>0</v>
      </c>
      <c r="P69" s="75">
        <v>9.23</v>
      </c>
      <c r="Q69" s="13">
        <f t="shared" si="72"/>
        <v>0.01516793066</v>
      </c>
      <c r="R69" s="75">
        <v>9.37</v>
      </c>
      <c r="S69" s="13">
        <f t="shared" si="73"/>
        <v>0</v>
      </c>
      <c r="T69" s="75">
        <v>9.37</v>
      </c>
      <c r="U69" s="13">
        <f t="shared" si="74"/>
        <v>0</v>
      </c>
      <c r="V69" s="75">
        <v>9.37</v>
      </c>
      <c r="W69" s="13">
        <f t="shared" si="75"/>
        <v>0</v>
      </c>
      <c r="X69" s="75">
        <v>9.37</v>
      </c>
      <c r="Y69" s="13"/>
    </row>
    <row r="70">
      <c r="A70" s="4" t="s">
        <v>119</v>
      </c>
      <c r="B70" s="24">
        <f>B68/B69</f>
        <v>1.015974441</v>
      </c>
      <c r="C70" s="13">
        <f t="shared" si="65"/>
        <v>0.0009241161062</v>
      </c>
      <c r="D70" s="24">
        <f>D68/D69</f>
        <v>1.016913319</v>
      </c>
      <c r="E70" s="13">
        <f t="shared" si="66"/>
        <v>0.0254536695</v>
      </c>
      <c r="F70" s="22">
        <f>F68/F69</f>
        <v>1.042797495</v>
      </c>
      <c r="G70" s="13">
        <f t="shared" si="67"/>
        <v>0.01416555148</v>
      </c>
      <c r="H70" s="22">
        <f>H68/H69</f>
        <v>1.057569296</v>
      </c>
      <c r="I70" s="13">
        <f t="shared" si="68"/>
        <v>0</v>
      </c>
      <c r="J70" s="22">
        <f>J68/J69</f>
        <v>1.057569296</v>
      </c>
      <c r="K70" s="13">
        <f t="shared" si="69"/>
        <v>0.007122078011</v>
      </c>
      <c r="L70" s="22">
        <f>L68/L69</f>
        <v>1.065101387</v>
      </c>
      <c r="M70" s="13">
        <f t="shared" si="70"/>
        <v>-0.00212450904</v>
      </c>
      <c r="N70" s="22">
        <f>N68/N69</f>
        <v>1.06283857</v>
      </c>
      <c r="O70" s="13">
        <f t="shared" si="71"/>
        <v>0</v>
      </c>
      <c r="P70" s="22">
        <f>P68/P69</f>
        <v>1.06283857</v>
      </c>
      <c r="Q70" s="13">
        <f t="shared" si="72"/>
        <v>0.002129032188</v>
      </c>
      <c r="R70" s="22">
        <f>R68/R69</f>
        <v>1.065101387</v>
      </c>
      <c r="S70" s="13">
        <f t="shared" si="73"/>
        <v>0</v>
      </c>
      <c r="T70" s="22">
        <f>T68/T69</f>
        <v>1.065101387</v>
      </c>
      <c r="U70" s="13">
        <f t="shared" si="74"/>
        <v>0</v>
      </c>
      <c r="V70" s="22">
        <f>V68/V69</f>
        <v>1.065101387</v>
      </c>
      <c r="W70" s="13">
        <f t="shared" si="75"/>
        <v>0</v>
      </c>
      <c r="X70" s="22">
        <f>X68/X69</f>
        <v>1.065101387</v>
      </c>
      <c r="Y70" s="13"/>
    </row>
    <row r="71">
      <c r="A71" s="4" t="s">
        <v>121</v>
      </c>
      <c r="B71" s="4" t="s">
        <v>259</v>
      </c>
      <c r="C71" s="187"/>
      <c r="D71" s="187"/>
      <c r="E71" s="187"/>
      <c r="F71" s="187"/>
    </row>
    <row r="72">
      <c r="A72" s="5" t="s">
        <v>123</v>
      </c>
      <c r="B72" s="64">
        <v>0.009</v>
      </c>
      <c r="C72" s="187"/>
      <c r="D72" s="6"/>
      <c r="E72" s="6"/>
      <c r="F72" s="6"/>
      <c r="G72" s="6"/>
    </row>
    <row r="73">
      <c r="A73" s="4" t="s">
        <v>125</v>
      </c>
      <c r="B73" s="64">
        <v>0.0</v>
      </c>
      <c r="C73" s="187"/>
      <c r="D73" s="6"/>
      <c r="E73" s="6"/>
      <c r="F73" s="6"/>
      <c r="G73" s="6"/>
    </row>
    <row r="74" ht="22.5" customHeight="1">
      <c r="A74" s="4" t="s">
        <v>126</v>
      </c>
      <c r="B74" s="42">
        <f>SUM(B22,D22,F22,H22,J22,L22,N22,P22,R22,T22,V22,X22)</f>
        <v>560021169</v>
      </c>
      <c r="D74" s="86" t="s">
        <v>128</v>
      </c>
      <c r="E74" s="86" t="s">
        <v>113</v>
      </c>
      <c r="F74" s="86" t="s">
        <v>116</v>
      </c>
      <c r="G74" s="86" t="s">
        <v>119</v>
      </c>
      <c r="H74" s="86" t="s">
        <v>129</v>
      </c>
      <c r="I74" s="86" t="s">
        <v>131</v>
      </c>
      <c r="J74" s="87" t="s">
        <v>132</v>
      </c>
      <c r="K74" s="87" t="s">
        <v>133</v>
      </c>
      <c r="L74" s="87" t="s">
        <v>134</v>
      </c>
    </row>
    <row r="75" ht="22.5" customHeight="1">
      <c r="A75" s="4" t="s">
        <v>135</v>
      </c>
      <c r="B75" s="42">
        <f>SUM(B47,D47,F47,H47,J47,L47,N47,P47,R47,T47,V47,X47)</f>
        <v>40145070.96</v>
      </c>
      <c r="D75" s="188" t="s">
        <v>260</v>
      </c>
      <c r="E75" s="189">
        <f>IFERROR(__xludf.DUMMYFUNCTION("GOOGLEFINANCE(D75)"),72.0)</f>
        <v>72</v>
      </c>
      <c r="F75" s="189">
        <f t="array" ref="F75">IFERROR(INDEX(Indicador_Fii[], MATCH(D75, Indicador_Fii[Fii], 0), MATCH(Indicador_Fii[[#HEADERS],[VP/Cota]], Indicador_Fii[#HEADERS], 0)),"")</f>
        <v>93.29</v>
      </c>
      <c r="G75" s="94">
        <f t="shared" ref="G75:G76" si="76">E75/F75</f>
        <v>0.7717869011</v>
      </c>
      <c r="H75" s="94">
        <f t="shared" ref="H75:H76" si="77">I75/F75</f>
        <v>0</v>
      </c>
      <c r="I75" s="101" t="str">
        <f t="array" ref="I75">IFERROR(INDEX(FCD[], MATCH(D75, FCD[FIIs], 0), MATCH(FCD[[#HEADERS],[Preço_Justo]], FCD[#HEADERS], 0)),"")</f>
        <v/>
      </c>
      <c r="J75" s="98">
        <f t="array" ref="J75">IFERROR(INDEX(Indicador_Fii[], MATCH(D75, Indicador_Fii[Fii], 0), MATCH(Indicador_Fii[[#HEADERS],[FFO_Yield]], Indicador_Fii[#HEADERS], 0)),"")</f>
        <v>9.51</v>
      </c>
      <c r="K75" s="98">
        <f t="array" ref="K75">IFERROR(INDEX(Indicador_Fii[], MATCH(D75, Indicador_Fii[Fii], 0), MATCH(Indicador_Fii[[#HEADERS],[DIV_Yield]], Indicador_Fii[#HEADERS], 0)),"")</f>
        <v>10.6</v>
      </c>
      <c r="L75" s="100">
        <f>IFERROR(__xludf.DUMMYFUNCTION("GOOGLEFINANCE(D75, ""volumeavg"")"),64856.0)</f>
        <v>64856</v>
      </c>
    </row>
    <row r="76" ht="22.5" customHeight="1">
      <c r="A76" s="4" t="s">
        <v>144</v>
      </c>
      <c r="B76" s="40">
        <f>B75/B74</f>
        <v>0.0716849169</v>
      </c>
      <c r="D76" s="118" t="s">
        <v>259</v>
      </c>
      <c r="E76" s="131">
        <f t="array" ref="E76">IFERROR(INDEX(FCD[], MATCH(D76, FCD[FIIs], 0), MATCH(FCD[[#HEADERS],[V/Mercado]], FCD[#HEADERS], 0)),"")</f>
        <v>9.16</v>
      </c>
      <c r="F76" s="131">
        <f t="array" ref="F76">IFERROR(INDEX(Indicador_Fii[], MATCH(D76, Indicador_Fii[Fii], 0), MATCH(Indicador_Fii[[#HEADERS],[VP/Cota]], Indicador_Fii[#HEADERS], 0)),"")</f>
        <v>9.37</v>
      </c>
      <c r="G76" s="108">
        <f t="shared" si="76"/>
        <v>0.977588047</v>
      </c>
      <c r="H76" s="94">
        <f t="shared" si="77"/>
        <v>0.9853817937</v>
      </c>
      <c r="I76" s="101">
        <f t="array" ref="I76">IFERROR(INDEX(FCD[], MATCH(D76, FCD[FIIs], 0), MATCH(FCD[[#HEADERS],[Preço_Justo]], FCD[#HEADERS], 0)),"")</f>
        <v>9.233027407</v>
      </c>
      <c r="J76" s="98">
        <f t="array" ref="J76">IFERROR(INDEX(Indicador_Fii[], MATCH(D76, Indicador_Fii[Fii], 0), MATCH(Indicador_Fii[[#HEADERS],[FFO_Yield]], Indicador_Fii[#HEADERS], 0)),"")</f>
        <v>11.46</v>
      </c>
      <c r="K76" s="98">
        <f t="array" ref="K76">IFERROR(INDEX(Indicador_Fii[], MATCH(D76, Indicador_Fii[Fii], 0), MATCH(Indicador_Fii[[#HEADERS],[DIV_Yield]], Indicador_Fii[#HEADERS], 0)),"")</f>
        <v>11.6</v>
      </c>
      <c r="L76" s="100">
        <f>IFERROR(__xludf.DUMMYFUNCTION("GOOGLEFINANCE(D76, ""volumeavg"")"),1877755.0)</f>
        <v>1877755</v>
      </c>
    </row>
    <row r="77">
      <c r="A77" s="4" t="s">
        <v>146</v>
      </c>
      <c r="B77" s="105">
        <f>IFERROR(__xludf.DUMMYFUNCTION("GOOGLEFINANCE(B71)*B79"),4.21606890396E9)</f>
        <v>4216068904</v>
      </c>
    </row>
    <row r="78">
      <c r="A78" s="4" t="s">
        <v>147</v>
      </c>
      <c r="B78" s="40">
        <f>B75/B77</f>
        <v>0.009521920034</v>
      </c>
    </row>
    <row r="79">
      <c r="A79" s="4" t="s">
        <v>149</v>
      </c>
      <c r="B79" s="24">
        <f t="array" ref="B79">IFERROR(INDEX(Indicador_Fii[], MATCH(B71, Indicador_Fii[Fii], 0), MATCH(Indicador_Fii[[#HEADERS],[Qtd_Cotas]], Indicador_Fii[#HEADERS], 0)),"")</f>
        <v>460269531</v>
      </c>
    </row>
    <row r="80">
      <c r="A80" s="4" t="s">
        <v>150</v>
      </c>
      <c r="B80" s="24">
        <f t="array" ref="B80">IFERROR(INDEX(Indicador_Fii[], MATCH(B71, Indicador_Fii[Fii], 0), MATCH(Indicador_Fii[[#HEADERS],[Patrimonio_Liq]], Indicador_Fii[#HEADERS], 0)),"")</f>
        <v>4313690000</v>
      </c>
    </row>
    <row r="81">
      <c r="A81" s="4" t="s">
        <v>151</v>
      </c>
      <c r="B81" s="40">
        <f>B74/B80</f>
        <v>0.1298241573</v>
      </c>
    </row>
    <row r="82">
      <c r="A82" s="4" t="s">
        <v>63</v>
      </c>
      <c r="B82" s="24">
        <f>SUM(B28,D28,F28,H28,J28,L28,N28,P28,R28,T28,V28,X28)</f>
        <v>550022088</v>
      </c>
    </row>
    <row r="83">
      <c r="A83" s="4" t="s">
        <v>152</v>
      </c>
      <c r="B83" s="40">
        <f>B82/B74</f>
        <v>0.9821451732</v>
      </c>
    </row>
    <row r="84">
      <c r="A84" s="4" t="s">
        <v>153</v>
      </c>
      <c r="B84" s="4" t="s">
        <v>154</v>
      </c>
    </row>
    <row r="85">
      <c r="A85" s="4" t="s">
        <v>155</v>
      </c>
      <c r="B85" s="4" t="s">
        <v>3</v>
      </c>
    </row>
    <row r="86">
      <c r="A86" s="4" t="s">
        <v>156</v>
      </c>
      <c r="B86" s="4" t="s">
        <v>3</v>
      </c>
    </row>
    <row r="87">
      <c r="B87" s="124"/>
    </row>
  </sheetData>
  <mergeCells count="1">
    <mergeCell ref="B87:G92"/>
  </mergeCells>
  <dataValidations>
    <dataValidation type="list" allowBlank="1" showErrorMessage="1" sqref="B1 D1 F1 H1 J1 L1 N1 P1 R1 T1 V1 X1 B34 D34 F34 H34 J34 L34 N34 P34 R34 T34 V34 X34 B55 D55 F55 H55 J55 L55 N55 P55 R55 T55 V55 X55">
      <formula1>"Feito,Não,Atual"</formula1>
    </dataValidation>
    <dataValidation type="list" allowBlank="1" showErrorMessage="1" sqref="B84">
      <formula1>"Bom,Normal,Cuidado_Ver_DRE"</formula1>
    </dataValidation>
    <dataValidation type="list" allowBlank="1" showErrorMessage="1" sqref="B85:B86">
      <formula1>"Feito,Não"</formula1>
    </dataValidation>
    <dataValidation type="custom" allowBlank="1" showDropDown="1" sqref="E75:G76 L75:L76">
      <formula1>AND(ISNUMBER(E75),(NOT(OR(NOT(ISERROR(DATEVALUE(E75))), AND(ISNUMBER(E75), LEFT(CELL("format", E75))="D")))))</formula1>
    </dataValidation>
  </dataValidations>
  <drawing r:id="rId2"/>
  <legacyDrawing r:id="rId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8.63"/>
    <col customWidth="1" min="3" max="3" width="15.25"/>
    <col customWidth="1" min="4" max="4" width="17.5"/>
    <col customWidth="1" min="5" max="5" width="16.25"/>
    <col customWidth="1" min="6" max="6" width="19.5"/>
    <col customWidth="1" min="7" max="7" width="17.75"/>
    <col customWidth="1" min="8" max="8" width="17.88"/>
    <col customWidth="1" min="9" max="9" width="16.13"/>
    <col customWidth="1" min="10" max="10" width="18.63"/>
    <col customWidth="1" min="11" max="11" width="16.0"/>
    <col customWidth="1" min="12" max="12" width="18.5"/>
    <col customWidth="1" min="13" max="13" width="16.5"/>
    <col customWidth="1" min="14" max="14" width="21.0"/>
    <col customWidth="1" min="15" max="15" width="15.38"/>
    <col customWidth="1" min="16" max="16" width="20.5"/>
    <col customWidth="1" min="17" max="17" width="15.63"/>
    <col customWidth="1" min="18" max="18" width="19.0"/>
    <col customWidth="1" min="19" max="19" width="15.5"/>
    <col customWidth="1" min="20" max="20" width="16.88"/>
    <col customWidth="1" min="21" max="21" width="15.13"/>
    <col customWidth="1" min="22" max="22" width="16.63"/>
    <col customWidth="1" min="23" max="23" width="15.38"/>
    <col customWidth="1" min="24" max="24" width="16.38"/>
    <col customWidth="1" min="25" max="25" width="15.63"/>
  </cols>
  <sheetData>
    <row r="1">
      <c r="A1" s="1" t="s">
        <v>0</v>
      </c>
      <c r="B1" s="2" t="s">
        <v>1</v>
      </c>
      <c r="C1" s="3">
        <v>46052.0</v>
      </c>
      <c r="D1" s="2" t="s">
        <v>1</v>
      </c>
      <c r="E1" s="3">
        <v>46085.0</v>
      </c>
      <c r="F1" s="2" t="s">
        <v>1</v>
      </c>
      <c r="G1" s="3">
        <v>46105.0</v>
      </c>
      <c r="H1" s="2" t="s">
        <v>1</v>
      </c>
      <c r="I1" s="3">
        <v>46142.0</v>
      </c>
      <c r="J1" s="2" t="s">
        <v>1</v>
      </c>
      <c r="K1" s="3">
        <v>46163.0</v>
      </c>
      <c r="L1" s="2" t="s">
        <v>1</v>
      </c>
      <c r="M1" s="3">
        <v>46192.0</v>
      </c>
      <c r="N1" s="2" t="s">
        <v>1</v>
      </c>
      <c r="O1" s="3">
        <v>46224.0</v>
      </c>
      <c r="P1" s="2" t="s">
        <v>2</v>
      </c>
      <c r="Q1" s="3">
        <v>46195.0</v>
      </c>
      <c r="R1" s="2" t="s">
        <v>3</v>
      </c>
      <c r="S1" s="3">
        <v>46195.0</v>
      </c>
      <c r="T1" s="2" t="s">
        <v>3</v>
      </c>
      <c r="U1" s="3">
        <v>46195.0</v>
      </c>
      <c r="V1" s="2" t="s">
        <v>3</v>
      </c>
      <c r="W1" s="3">
        <v>46195.0</v>
      </c>
      <c r="X1" s="2" t="s">
        <v>3</v>
      </c>
      <c r="Y1" s="3">
        <v>46195.0</v>
      </c>
    </row>
    <row r="2">
      <c r="A2" s="1" t="s">
        <v>202</v>
      </c>
      <c r="B2" s="1" t="s">
        <v>5</v>
      </c>
      <c r="C2" s="53"/>
      <c r="D2" s="54" t="s">
        <v>6</v>
      </c>
      <c r="E2" s="55"/>
      <c r="F2" s="54" t="s">
        <v>7</v>
      </c>
      <c r="G2" s="55"/>
      <c r="H2" s="54" t="s">
        <v>8</v>
      </c>
      <c r="I2" s="55"/>
      <c r="J2" s="54" t="s">
        <v>9</v>
      </c>
      <c r="K2" s="55"/>
      <c r="L2" s="54" t="s">
        <v>10</v>
      </c>
      <c r="M2" s="55"/>
      <c r="N2" s="54" t="s">
        <v>11</v>
      </c>
      <c r="O2" s="55"/>
      <c r="P2" s="1" t="s">
        <v>12</v>
      </c>
      <c r="Q2" s="53"/>
      <c r="R2" s="1" t="s">
        <v>13</v>
      </c>
      <c r="S2" s="53"/>
      <c r="T2" s="1" t="s">
        <v>14</v>
      </c>
      <c r="U2" s="53"/>
      <c r="V2" s="1" t="s">
        <v>15</v>
      </c>
      <c r="W2" s="53"/>
      <c r="X2" s="1" t="s">
        <v>16</v>
      </c>
    </row>
    <row r="3">
      <c r="A3" s="7" t="s">
        <v>17</v>
      </c>
      <c r="B3" s="8">
        <f>SUM(B4,B6,B8,B10,B12,B14,B16)</f>
        <v>16690838</v>
      </c>
      <c r="C3" s="9">
        <f t="shared" ref="C3:C19" si="1">IFERROR(SUM((D3/B3)-1),0)</f>
        <v>-0.04439968802</v>
      </c>
      <c r="D3" s="8">
        <f>SUM(D4,D6,D8,D10,D12,D14,D16)</f>
        <v>15949770</v>
      </c>
      <c r="E3" s="9">
        <f t="shared" ref="E3:E19" si="2">IFERROR(SUM((F3/D3)-1),0)</f>
        <v>-0.02869144822</v>
      </c>
      <c r="F3" s="8">
        <f>SUM(F4,F6,F8,F10,F12,F14,F16)</f>
        <v>15492148</v>
      </c>
      <c r="G3" s="9">
        <f t="shared" ref="G3:G19" si="3">IFERROR(SUM((H3/F3)-1),0)</f>
        <v>0.3053785053</v>
      </c>
      <c r="H3" s="8">
        <f>SUM(H4,H6,H8,H10,H12,H14,H16)</f>
        <v>20223117</v>
      </c>
      <c r="I3" s="9">
        <f t="shared" ref="I3:I19" si="4">IFERROR(SUM((J3/H3)-1),0)</f>
        <v>0.08521070219</v>
      </c>
      <c r="J3" s="8">
        <f>SUM(J4,J6,J8,J10,J12,J14,J16)</f>
        <v>21946343</v>
      </c>
      <c r="K3" s="9">
        <f t="shared" ref="K3:K19" si="5">IFERROR(SUM((L3/J3)-1),0)</f>
        <v>-0.5896686295</v>
      </c>
      <c r="L3" s="8">
        <f>SUM(L4,L6,L8,L10,L12,L14,L16)</f>
        <v>9005273</v>
      </c>
      <c r="M3" s="9">
        <f t="shared" ref="M3:M19" si="6">IFERROR(SUM((N3/L3)-1),0)</f>
        <v>1.234411661</v>
      </c>
      <c r="N3" s="8">
        <f>SUM(N4,N6,N8,N10,N12,N14,N16)</f>
        <v>20121487</v>
      </c>
      <c r="O3" s="9">
        <f t="shared" ref="O3:O19" si="7">IFERROR(SUM((P3/N3)-1),0)</f>
        <v>-0.02122919643</v>
      </c>
      <c r="P3" s="8">
        <f>SUM(P4,P6,P8,P10,P12,P14,P16)</f>
        <v>19694324</v>
      </c>
      <c r="Q3" s="9">
        <f t="shared" ref="Q3:Q19" si="8">IFERROR(SUM((R3/P3)-1),0)</f>
        <v>0</v>
      </c>
      <c r="R3" s="8">
        <f>SUM(R4,R6,R8,R10,R12,R14,R16)</f>
        <v>19694324</v>
      </c>
      <c r="S3" s="9">
        <f t="shared" ref="S3:S19" si="9">IFERROR(SUM((T3/R3)-1),0)</f>
        <v>0</v>
      </c>
      <c r="T3" s="8">
        <f>SUM(T4,T6,T8,T10,T12,T14,T16)</f>
        <v>19694324</v>
      </c>
      <c r="U3" s="9">
        <f t="shared" ref="U3:U19" si="10">IFERROR(SUM((V3/T3)-1),0)</f>
        <v>0.02168965028</v>
      </c>
      <c r="V3" s="8">
        <f>SUM(V4,V6,V8,V10,V12,V14,V16)</f>
        <v>20121487</v>
      </c>
      <c r="W3" s="9">
        <f t="shared" ref="W3:W19" si="11">IFERROR(SUM((X3/V3)-1),0)</f>
        <v>0</v>
      </c>
      <c r="X3" s="8">
        <f>SUM(X4,X6,X8,X10,X12,X14,X16)</f>
        <v>20121487</v>
      </c>
    </row>
    <row r="4">
      <c r="A4" s="4" t="s">
        <v>214</v>
      </c>
      <c r="B4" s="15">
        <v>1.4086213E7</v>
      </c>
      <c r="C4" s="13">
        <f t="shared" si="1"/>
        <v>-0.02356744144</v>
      </c>
      <c r="D4" s="15">
        <v>1.3754237E7</v>
      </c>
      <c r="E4" s="13">
        <f t="shared" si="2"/>
        <v>-0.02403688405</v>
      </c>
      <c r="F4" s="15">
        <v>1.3423628E7</v>
      </c>
      <c r="G4" s="13">
        <f t="shared" si="3"/>
        <v>0.3535865267</v>
      </c>
      <c r="H4" s="15">
        <v>1.8170042E7</v>
      </c>
      <c r="I4" s="13">
        <f t="shared" si="4"/>
        <v>0.07244171477</v>
      </c>
      <c r="J4" s="15">
        <v>1.9486311E7</v>
      </c>
      <c r="K4" s="13">
        <f t="shared" si="5"/>
        <v>0.1271769705</v>
      </c>
      <c r="L4" s="15">
        <v>2.1964521E7</v>
      </c>
      <c r="M4" s="13">
        <f t="shared" si="6"/>
        <v>-0.1312971041</v>
      </c>
      <c r="N4" s="15">
        <v>1.9080643E7</v>
      </c>
      <c r="O4" s="13">
        <f t="shared" si="7"/>
        <v>-0.1030494622</v>
      </c>
      <c r="P4" s="15">
        <v>1.7114393E7</v>
      </c>
      <c r="Q4" s="13">
        <f t="shared" si="8"/>
        <v>0</v>
      </c>
      <c r="R4" s="15">
        <v>1.7114393E7</v>
      </c>
      <c r="S4" s="13">
        <f t="shared" si="9"/>
        <v>0</v>
      </c>
      <c r="T4" s="15">
        <v>1.7114393E7</v>
      </c>
      <c r="U4" s="13">
        <f t="shared" si="10"/>
        <v>0.1148886788</v>
      </c>
      <c r="V4" s="15">
        <v>1.9080643E7</v>
      </c>
      <c r="W4" s="13">
        <f t="shared" si="11"/>
        <v>0</v>
      </c>
      <c r="X4" s="15">
        <v>1.9080643E7</v>
      </c>
      <c r="Y4" s="13"/>
    </row>
    <row r="5">
      <c r="A5" s="16" t="s">
        <v>204</v>
      </c>
      <c r="B5" s="17">
        <f>B4/B3</f>
        <v>0.8439488179</v>
      </c>
      <c r="C5" s="18">
        <f t="shared" si="1"/>
        <v>0.0218001672</v>
      </c>
      <c r="D5" s="17">
        <f>D4/D3</f>
        <v>0.8623470432</v>
      </c>
      <c r="E5" s="18">
        <f t="shared" si="2"/>
        <v>0.004792055165</v>
      </c>
      <c r="F5" s="17">
        <f>F4/F3</f>
        <v>0.8664794579</v>
      </c>
      <c r="G5" s="18">
        <f t="shared" si="3"/>
        <v>0.03693030121</v>
      </c>
      <c r="H5" s="17">
        <f>H4/H3</f>
        <v>0.8984788052</v>
      </c>
      <c r="I5" s="18">
        <f t="shared" si="4"/>
        <v>-0.01176636702</v>
      </c>
      <c r="J5" s="17">
        <f>J4/J3</f>
        <v>0.8879069738</v>
      </c>
      <c r="K5" s="18">
        <f t="shared" si="5"/>
        <v>1.746991948</v>
      </c>
      <c r="L5" s="17">
        <f>L4/L3</f>
        <v>2.439073307</v>
      </c>
      <c r="M5" s="18">
        <f t="shared" si="6"/>
        <v>-0.6112162718</v>
      </c>
      <c r="N5" s="17">
        <f>N4/N3</f>
        <v>0.9482720139</v>
      </c>
      <c r="O5" s="18">
        <f t="shared" si="7"/>
        <v>-0.08359491874</v>
      </c>
      <c r="P5" s="17">
        <f>P4/P3</f>
        <v>0.8690012919</v>
      </c>
      <c r="Q5" s="18">
        <f t="shared" si="8"/>
        <v>0</v>
      </c>
      <c r="R5" s="17">
        <f>R4/R3</f>
        <v>0.8690012919</v>
      </c>
      <c r="S5" s="18">
        <f t="shared" si="9"/>
        <v>0</v>
      </c>
      <c r="T5" s="17">
        <f>T4/T3</f>
        <v>0.8690012919</v>
      </c>
      <c r="U5" s="18">
        <f t="shared" si="10"/>
        <v>0.09122048803</v>
      </c>
      <c r="V5" s="17">
        <f>V4/V3</f>
        <v>0.9482720139</v>
      </c>
      <c r="W5" s="18">
        <f t="shared" si="11"/>
        <v>0</v>
      </c>
      <c r="X5" s="17">
        <f>X4/X3</f>
        <v>0.9482720139</v>
      </c>
      <c r="Y5" s="13"/>
    </row>
    <row r="6">
      <c r="A6" s="4" t="s">
        <v>215</v>
      </c>
      <c r="B6" s="15">
        <v>6914439.0</v>
      </c>
      <c r="C6" s="13">
        <f t="shared" si="1"/>
        <v>-0.5828749086</v>
      </c>
      <c r="D6" s="15">
        <v>2884186.0</v>
      </c>
      <c r="E6" s="13">
        <f t="shared" si="2"/>
        <v>1.028983221</v>
      </c>
      <c r="F6" s="15">
        <v>5851965.0</v>
      </c>
      <c r="G6" s="13">
        <f t="shared" si="3"/>
        <v>-0.5546856483</v>
      </c>
      <c r="H6" s="15">
        <v>2605964.0</v>
      </c>
      <c r="I6" s="13">
        <f t="shared" si="4"/>
        <v>-4.820932676</v>
      </c>
      <c r="J6" s="15">
        <v>-9957213.0</v>
      </c>
      <c r="K6" s="13">
        <f t="shared" si="5"/>
        <v>-1.1905018</v>
      </c>
      <c r="L6" s="15">
        <v>1896867.0</v>
      </c>
      <c r="M6" s="13">
        <f t="shared" si="6"/>
        <v>-8.62446181</v>
      </c>
      <c r="N6" s="15">
        <v>-1.446259E7</v>
      </c>
      <c r="O6" s="13">
        <f t="shared" si="7"/>
        <v>-1.379375202</v>
      </c>
      <c r="P6" s="15">
        <v>5486748.0</v>
      </c>
      <c r="Q6" s="13">
        <f t="shared" si="8"/>
        <v>0</v>
      </c>
      <c r="R6" s="15">
        <v>5486748.0</v>
      </c>
      <c r="S6" s="13">
        <f t="shared" si="9"/>
        <v>0</v>
      </c>
      <c r="T6" s="15">
        <v>5486748.0</v>
      </c>
      <c r="U6" s="13">
        <f t="shared" si="10"/>
        <v>-3.635912931</v>
      </c>
      <c r="V6" s="15">
        <v>-1.446259E7</v>
      </c>
      <c r="W6" s="13">
        <f t="shared" si="11"/>
        <v>0</v>
      </c>
      <c r="X6" s="15">
        <v>-1.446259E7</v>
      </c>
    </row>
    <row r="7">
      <c r="A7" s="16" t="s">
        <v>216</v>
      </c>
      <c r="B7" s="17">
        <f>B6/B3</f>
        <v>0.414265539</v>
      </c>
      <c r="C7" s="18">
        <f t="shared" si="1"/>
        <v>-0.5634941866</v>
      </c>
      <c r="D7" s="17">
        <f>D6/D3</f>
        <v>0.180829316</v>
      </c>
      <c r="E7" s="18">
        <f t="shared" si="2"/>
        <v>1.088917283</v>
      </c>
      <c r="F7" s="17">
        <f>F6/F3</f>
        <v>0.3777374835</v>
      </c>
      <c r="G7" s="18">
        <f t="shared" si="3"/>
        <v>-0.6588618934</v>
      </c>
      <c r="H7" s="17">
        <f>H6/H3</f>
        <v>0.1288606499</v>
      </c>
      <c r="I7" s="18">
        <f t="shared" si="4"/>
        <v>-4.520913191</v>
      </c>
      <c r="J7" s="17">
        <f>J6/J3</f>
        <v>-0.4537071621</v>
      </c>
      <c r="K7" s="18">
        <f t="shared" si="5"/>
        <v>-1.46426331</v>
      </c>
      <c r="L7" s="17">
        <f>L6/L3</f>
        <v>0.2106395886</v>
      </c>
      <c r="M7" s="18">
        <f t="shared" si="6"/>
        <v>-4.412290557</v>
      </c>
      <c r="N7" s="17">
        <f>N6/N3</f>
        <v>-0.7187634791</v>
      </c>
      <c r="O7" s="18">
        <f t="shared" si="7"/>
        <v>-1.387603717</v>
      </c>
      <c r="P7" s="17">
        <f>P6/P3</f>
        <v>0.2785953963</v>
      </c>
      <c r="Q7" s="18">
        <f t="shared" si="8"/>
        <v>0</v>
      </c>
      <c r="R7" s="17">
        <f>R6/R3</f>
        <v>0.2785953963</v>
      </c>
      <c r="S7" s="18">
        <f t="shared" si="9"/>
        <v>0</v>
      </c>
      <c r="T7" s="17">
        <f>T6/T3</f>
        <v>0.2785953963</v>
      </c>
      <c r="U7" s="18">
        <f t="shared" si="10"/>
        <v>-3.579954617</v>
      </c>
      <c r="V7" s="17">
        <f>V6/V3</f>
        <v>-0.7187634791</v>
      </c>
      <c r="W7" s="18">
        <f t="shared" si="11"/>
        <v>0</v>
      </c>
      <c r="X7" s="17">
        <f>X6/X3</f>
        <v>-0.7187634791</v>
      </c>
    </row>
    <row r="8">
      <c r="A8" s="4" t="s">
        <v>207</v>
      </c>
      <c r="B8" s="15">
        <v>1366768.0</v>
      </c>
      <c r="C8" s="13">
        <f t="shared" si="1"/>
        <v>0.1157899512</v>
      </c>
      <c r="D8" s="15">
        <v>1525026.0</v>
      </c>
      <c r="E8" s="13">
        <f t="shared" si="2"/>
        <v>-0.10982698</v>
      </c>
      <c r="F8" s="15">
        <v>1357537.0</v>
      </c>
      <c r="G8" s="13">
        <f t="shared" si="3"/>
        <v>-0.008250235537</v>
      </c>
      <c r="H8" s="15">
        <v>1346337.0</v>
      </c>
      <c r="I8" s="13">
        <f t="shared" si="4"/>
        <v>0.01935696635</v>
      </c>
      <c r="J8" s="15">
        <v>1372398.0</v>
      </c>
      <c r="K8" s="13">
        <f t="shared" si="5"/>
        <v>-0.0130377631</v>
      </c>
      <c r="L8" s="15">
        <v>1354505.0</v>
      </c>
      <c r="M8" s="13">
        <f t="shared" si="6"/>
        <v>-0.009472094972</v>
      </c>
      <c r="N8" s="15">
        <v>1341675.0</v>
      </c>
      <c r="O8" s="13">
        <f t="shared" si="7"/>
        <v>0.002399985093</v>
      </c>
      <c r="P8" s="15">
        <v>1344895.0</v>
      </c>
      <c r="Q8" s="13">
        <f t="shared" si="8"/>
        <v>0</v>
      </c>
      <c r="R8" s="15">
        <v>1344895.0</v>
      </c>
      <c r="S8" s="13">
        <f t="shared" si="9"/>
        <v>0</v>
      </c>
      <c r="T8" s="15">
        <v>1344895.0</v>
      </c>
      <c r="U8" s="13">
        <f t="shared" si="10"/>
        <v>-0.002394238955</v>
      </c>
      <c r="V8" s="15">
        <v>1341675.0</v>
      </c>
      <c r="W8" s="13">
        <f t="shared" si="11"/>
        <v>0</v>
      </c>
      <c r="X8" s="15">
        <v>1341675.0</v>
      </c>
    </row>
    <row r="9">
      <c r="A9" s="16" t="s">
        <v>210</v>
      </c>
      <c r="B9" s="17">
        <f>B8/B3</f>
        <v>0.08188732046</v>
      </c>
      <c r="C9" s="18">
        <f t="shared" si="1"/>
        <v>0.1676324685</v>
      </c>
      <c r="D9" s="17">
        <f>D8/D3</f>
        <v>0.09561429412</v>
      </c>
      <c r="E9" s="18">
        <f t="shared" si="2"/>
        <v>-0.08353219133</v>
      </c>
      <c r="F9" s="17">
        <f>F8/F3</f>
        <v>0.08762742261</v>
      </c>
      <c r="G9" s="18">
        <f t="shared" si="3"/>
        <v>-0.2402588518</v>
      </c>
      <c r="H9" s="17">
        <f>H8/H3</f>
        <v>0.06657415867</v>
      </c>
      <c r="I9" s="18">
        <f t="shared" si="4"/>
        <v>-0.06068290306</v>
      </c>
      <c r="J9" s="17">
        <f>J8/J3</f>
        <v>0.06253424545</v>
      </c>
      <c r="K9" s="18">
        <f t="shared" si="5"/>
        <v>1.40528097</v>
      </c>
      <c r="L9" s="17">
        <f>L8/L3</f>
        <v>0.1504124306</v>
      </c>
      <c r="M9" s="18">
        <f t="shared" si="6"/>
        <v>-0.5566940853</v>
      </c>
      <c r="N9" s="17">
        <f>N8/N3</f>
        <v>0.06667872012</v>
      </c>
      <c r="O9" s="18">
        <f t="shared" si="7"/>
        <v>0.02414169021</v>
      </c>
      <c r="P9" s="17">
        <f>P8/P3</f>
        <v>0.06828845712</v>
      </c>
      <c r="Q9" s="18">
        <f t="shared" si="8"/>
        <v>0</v>
      </c>
      <c r="R9" s="17">
        <f>R8/R3</f>
        <v>0.06828845712</v>
      </c>
      <c r="S9" s="18">
        <f t="shared" si="9"/>
        <v>0</v>
      </c>
      <c r="T9" s="17">
        <f>T8/T3</f>
        <v>0.06828845712</v>
      </c>
      <c r="U9" s="18">
        <f t="shared" si="10"/>
        <v>-0.02357260762</v>
      </c>
      <c r="V9" s="17">
        <f>V8/V3</f>
        <v>0.06667872012</v>
      </c>
      <c r="W9" s="18">
        <f t="shared" si="11"/>
        <v>0</v>
      </c>
      <c r="X9" s="17">
        <f>X8/X3</f>
        <v>0.06667872012</v>
      </c>
    </row>
    <row r="10">
      <c r="A10" s="4" t="s">
        <v>217</v>
      </c>
      <c r="B10" s="15">
        <v>3749607.0</v>
      </c>
      <c r="C10" s="13">
        <f t="shared" si="1"/>
        <v>-0.8159551121</v>
      </c>
      <c r="D10" s="15">
        <v>690096.0</v>
      </c>
      <c r="E10" s="13">
        <f t="shared" si="2"/>
        <v>-1.046284865</v>
      </c>
      <c r="F10" s="15">
        <v>-31941.0</v>
      </c>
      <c r="G10" s="13">
        <f t="shared" si="3"/>
        <v>9.181522182</v>
      </c>
      <c r="H10" s="15">
        <v>-325208.0</v>
      </c>
      <c r="I10" s="13">
        <f t="shared" si="4"/>
        <v>-2.251122359</v>
      </c>
      <c r="J10" s="15">
        <v>406875.0</v>
      </c>
      <c r="K10" s="13">
        <f t="shared" si="5"/>
        <v>-4.875851306</v>
      </c>
      <c r="L10" s="15">
        <v>-1576987.0</v>
      </c>
      <c r="M10" s="13">
        <f t="shared" si="6"/>
        <v>-0.3997217479</v>
      </c>
      <c r="N10" s="15">
        <v>-946631.0</v>
      </c>
      <c r="O10" s="13">
        <f t="shared" si="7"/>
        <v>0.1689813666</v>
      </c>
      <c r="P10" s="15">
        <v>-1106594.0</v>
      </c>
      <c r="Q10" s="13">
        <f t="shared" si="8"/>
        <v>0</v>
      </c>
      <c r="R10" s="15">
        <v>-1106594.0</v>
      </c>
      <c r="S10" s="13">
        <f t="shared" si="9"/>
        <v>0</v>
      </c>
      <c r="T10" s="15">
        <v>-1106594.0</v>
      </c>
      <c r="U10" s="13">
        <f t="shared" si="10"/>
        <v>-0.1445543713</v>
      </c>
      <c r="V10" s="15">
        <v>-946631.0</v>
      </c>
      <c r="W10" s="13">
        <f t="shared" si="11"/>
        <v>0</v>
      </c>
      <c r="X10" s="15">
        <v>-946631.0</v>
      </c>
    </row>
    <row r="11">
      <c r="A11" s="16" t="s">
        <v>218</v>
      </c>
      <c r="B11" s="17">
        <f>B10/B3</f>
        <v>0.2246506137</v>
      </c>
      <c r="C11" s="18">
        <f t="shared" si="1"/>
        <v>-0.8074039056</v>
      </c>
      <c r="D11" s="17">
        <f>D10/D3</f>
        <v>0.04326683081</v>
      </c>
      <c r="E11" s="18">
        <f t="shared" si="2"/>
        <v>-1.047652072</v>
      </c>
      <c r="F11" s="17">
        <f>F10/F3</f>
        <v>-0.002061754122</v>
      </c>
      <c r="G11" s="18">
        <f t="shared" si="3"/>
        <v>6.799670471</v>
      </c>
      <c r="H11" s="17">
        <f>H10/H3</f>
        <v>-0.01608100275</v>
      </c>
      <c r="I11" s="18">
        <f t="shared" si="4"/>
        <v>-2.15288428</v>
      </c>
      <c r="J11" s="17">
        <f>J10/J3</f>
        <v>0.01853953527</v>
      </c>
      <c r="K11" s="18">
        <f t="shared" si="5"/>
        <v>-10.44566169</v>
      </c>
      <c r="L11" s="17">
        <f>L10/L3</f>
        <v>-0.175118178</v>
      </c>
      <c r="M11" s="18">
        <f t="shared" si="6"/>
        <v>-0.731348407</v>
      </c>
      <c r="N11" s="17">
        <f>N10/N3</f>
        <v>-0.04704577748</v>
      </c>
      <c r="O11" s="18">
        <f t="shared" si="7"/>
        <v>0.1943361636</v>
      </c>
      <c r="P11" s="17">
        <f>P10/P3</f>
        <v>-0.05618847339</v>
      </c>
      <c r="Q11" s="18">
        <f t="shared" si="8"/>
        <v>0</v>
      </c>
      <c r="R11" s="17">
        <f>R10/R3</f>
        <v>-0.05618847339</v>
      </c>
      <c r="S11" s="18">
        <f t="shared" si="9"/>
        <v>0</v>
      </c>
      <c r="T11" s="17">
        <f>T10/T3</f>
        <v>-0.05618847339</v>
      </c>
      <c r="U11" s="18">
        <f t="shared" si="10"/>
        <v>-0.1627147946</v>
      </c>
      <c r="V11" s="17">
        <f>V10/V3</f>
        <v>-0.04704577748</v>
      </c>
      <c r="W11" s="18">
        <f t="shared" si="11"/>
        <v>0</v>
      </c>
      <c r="X11" s="17">
        <f>X10/X3</f>
        <v>-0.04704577748</v>
      </c>
    </row>
    <row r="12">
      <c r="A12" s="4" t="s">
        <v>220</v>
      </c>
      <c r="B12" s="15">
        <v>189855.0</v>
      </c>
      <c r="C12" s="13">
        <f t="shared" si="1"/>
        <v>-0.9773774723</v>
      </c>
      <c r="D12" s="15">
        <v>4295.0</v>
      </c>
      <c r="E12" s="13">
        <f t="shared" si="2"/>
        <v>-1</v>
      </c>
      <c r="F12" s="15">
        <v>0.0</v>
      </c>
      <c r="G12" s="13">
        <f t="shared" si="3"/>
        <v>0</v>
      </c>
      <c r="H12" s="15">
        <v>-191907.0</v>
      </c>
      <c r="I12" s="13">
        <f t="shared" si="4"/>
        <v>-2.67683826</v>
      </c>
      <c r="J12" s="15">
        <v>321797.0</v>
      </c>
      <c r="K12" s="13">
        <f t="shared" si="5"/>
        <v>-48.39164131</v>
      </c>
      <c r="L12" s="15">
        <v>-1.5250488E7</v>
      </c>
      <c r="M12" s="13">
        <f t="shared" si="6"/>
        <v>-0.9261699035</v>
      </c>
      <c r="N12" s="15">
        <v>-1125945.0</v>
      </c>
      <c r="O12" s="13">
        <f t="shared" si="7"/>
        <v>-1.010985439</v>
      </c>
      <c r="P12" s="15">
        <v>12369.0</v>
      </c>
      <c r="Q12" s="13">
        <f t="shared" si="8"/>
        <v>0</v>
      </c>
      <c r="R12" s="15">
        <v>12369.0</v>
      </c>
      <c r="S12" s="13">
        <f t="shared" si="9"/>
        <v>0</v>
      </c>
      <c r="T12" s="15">
        <v>12369.0</v>
      </c>
      <c r="U12" s="13">
        <f t="shared" si="10"/>
        <v>-92.0295901</v>
      </c>
      <c r="V12" s="15">
        <v>-1125945.0</v>
      </c>
      <c r="W12" s="13">
        <f t="shared" si="11"/>
        <v>0</v>
      </c>
      <c r="X12" s="15">
        <v>-1125945.0</v>
      </c>
    </row>
    <row r="13">
      <c r="A13" s="16" t="s">
        <v>221</v>
      </c>
      <c r="B13" s="17">
        <f>B12/B3</f>
        <v>0.01137480335</v>
      </c>
      <c r="C13" s="18">
        <f t="shared" si="1"/>
        <v>-0.9763263705</v>
      </c>
      <c r="D13" s="17">
        <f>D12/D3</f>
        <v>0.0002692828799</v>
      </c>
      <c r="E13" s="18">
        <f t="shared" si="2"/>
        <v>-1</v>
      </c>
      <c r="F13" s="17">
        <f>F12/F3</f>
        <v>0</v>
      </c>
      <c r="G13" s="18">
        <f t="shared" si="3"/>
        <v>0</v>
      </c>
      <c r="H13" s="17">
        <f>H12/H3</f>
        <v>-0.00948948671</v>
      </c>
      <c r="I13" s="18">
        <f t="shared" si="4"/>
        <v>-2.545172985</v>
      </c>
      <c r="J13" s="17">
        <f>J12/J3</f>
        <v>0.01466289851</v>
      </c>
      <c r="K13" s="18">
        <f t="shared" si="5"/>
        <v>-116.4960228</v>
      </c>
      <c r="L13" s="17">
        <f>L12/L3</f>
        <v>-1.69350646</v>
      </c>
      <c r="M13" s="18">
        <f t="shared" si="6"/>
        <v>-0.9669577018</v>
      </c>
      <c r="N13" s="17">
        <f>N12/N3</f>
        <v>-0.0559573455</v>
      </c>
      <c r="O13" s="18">
        <f t="shared" si="7"/>
        <v>-1.011223709</v>
      </c>
      <c r="P13" s="17">
        <f>P12/P3</f>
        <v>0.0006280489749</v>
      </c>
      <c r="Q13" s="18">
        <f t="shared" si="8"/>
        <v>0</v>
      </c>
      <c r="R13" s="17">
        <f>R12/R3</f>
        <v>0.0006280489749</v>
      </c>
      <c r="S13" s="18">
        <f t="shared" si="9"/>
        <v>0</v>
      </c>
      <c r="T13" s="17">
        <f>T12/T3</f>
        <v>0.0006280489749</v>
      </c>
      <c r="U13" s="18">
        <f t="shared" si="10"/>
        <v>-90.09710505</v>
      </c>
      <c r="V13" s="17">
        <f>V12/V3</f>
        <v>-0.0559573455</v>
      </c>
      <c r="W13" s="18">
        <f t="shared" si="11"/>
        <v>0</v>
      </c>
      <c r="X13" s="17">
        <f>X12/X3</f>
        <v>-0.0559573455</v>
      </c>
    </row>
    <row r="14">
      <c r="A14" s="4" t="s">
        <v>222</v>
      </c>
      <c r="B14" s="15">
        <v>1048001.0</v>
      </c>
      <c r="C14" s="13">
        <f t="shared" si="1"/>
        <v>-0.3643011791</v>
      </c>
      <c r="D14" s="15">
        <v>666213.0</v>
      </c>
      <c r="E14" s="13">
        <f t="shared" si="2"/>
        <v>0.0672007301</v>
      </c>
      <c r="F14" s="15">
        <v>710983.0</v>
      </c>
      <c r="G14" s="13">
        <f t="shared" si="3"/>
        <v>0.2639486457</v>
      </c>
      <c r="H14" s="15">
        <v>898646.0</v>
      </c>
      <c r="I14" s="13">
        <f t="shared" si="4"/>
        <v>-0.1477878942</v>
      </c>
      <c r="J14" s="15">
        <v>765837.0</v>
      </c>
      <c r="K14" s="13">
        <f t="shared" si="5"/>
        <v>0.223151924</v>
      </c>
      <c r="L14" s="15">
        <v>936735.0</v>
      </c>
      <c r="M14" s="13">
        <f t="shared" si="6"/>
        <v>-0.1191596343</v>
      </c>
      <c r="N14" s="15">
        <v>825114.0</v>
      </c>
      <c r="O14" s="13">
        <f t="shared" si="7"/>
        <v>0.4818158461</v>
      </c>
      <c r="P14" s="15">
        <v>1222667.0</v>
      </c>
      <c r="Q14" s="13">
        <f t="shared" si="8"/>
        <v>0</v>
      </c>
      <c r="R14" s="15">
        <v>1222667.0</v>
      </c>
      <c r="S14" s="13">
        <f t="shared" si="9"/>
        <v>0</v>
      </c>
      <c r="T14" s="15">
        <v>1222667.0</v>
      </c>
      <c r="U14" s="13">
        <f t="shared" si="10"/>
        <v>-0.3251523105</v>
      </c>
      <c r="V14" s="15">
        <v>825114.0</v>
      </c>
      <c r="W14" s="13">
        <f t="shared" si="11"/>
        <v>0</v>
      </c>
      <c r="X14" s="15">
        <v>825114.0</v>
      </c>
    </row>
    <row r="15">
      <c r="A15" s="16" t="s">
        <v>223</v>
      </c>
      <c r="B15" s="17">
        <f>B14/B3</f>
        <v>0.06278899837</v>
      </c>
      <c r="C15" s="18">
        <f t="shared" si="1"/>
        <v>-0.3347649504</v>
      </c>
      <c r="D15" s="17">
        <f>D14/D3</f>
        <v>0.04176944244</v>
      </c>
      <c r="E15" s="18">
        <f t="shared" si="2"/>
        <v>0.0987247339</v>
      </c>
      <c r="F15" s="17">
        <f>F14/F3</f>
        <v>0.04589311953</v>
      </c>
      <c r="G15" s="18">
        <f t="shared" si="3"/>
        <v>-0.0317378135</v>
      </c>
      <c r="H15" s="17">
        <f>H14/H3</f>
        <v>0.04443657227</v>
      </c>
      <c r="I15" s="18">
        <f t="shared" si="4"/>
        <v>-0.2147035557</v>
      </c>
      <c r="J15" s="17">
        <f>J14/J3</f>
        <v>0.0348958822</v>
      </c>
      <c r="K15" s="18">
        <f t="shared" si="5"/>
        <v>1.98088816</v>
      </c>
      <c r="L15" s="17">
        <f>L14/L3</f>
        <v>0.1040207221</v>
      </c>
      <c r="M15" s="18">
        <f t="shared" si="6"/>
        <v>-0.6057842066</v>
      </c>
      <c r="N15" s="17">
        <f>N14/N3</f>
        <v>0.04100661149</v>
      </c>
      <c r="O15" s="18">
        <f t="shared" si="7"/>
        <v>0.5139559135</v>
      </c>
      <c r="P15" s="17">
        <f>P14/P3</f>
        <v>0.06208220196</v>
      </c>
      <c r="Q15" s="18">
        <f t="shared" si="8"/>
        <v>0</v>
      </c>
      <c r="R15" s="17">
        <f>R14/R3</f>
        <v>0.06208220196</v>
      </c>
      <c r="S15" s="18">
        <f t="shared" si="9"/>
        <v>0</v>
      </c>
      <c r="T15" s="17">
        <f>T14/T3</f>
        <v>0.06208220196</v>
      </c>
      <c r="U15" s="18">
        <f t="shared" si="10"/>
        <v>-0.3394787846</v>
      </c>
      <c r="V15" s="17">
        <f>V14/V3</f>
        <v>0.04100661149</v>
      </c>
      <c r="W15" s="18">
        <f t="shared" si="11"/>
        <v>0</v>
      </c>
      <c r="X15" s="17">
        <f>X14/X3</f>
        <v>0.04100661149</v>
      </c>
    </row>
    <row r="16">
      <c r="A16" s="4" t="s">
        <v>226</v>
      </c>
      <c r="B16" s="15">
        <v>-1.0664045E7</v>
      </c>
      <c r="C16" s="13">
        <f t="shared" si="1"/>
        <v>-0.6648285899</v>
      </c>
      <c r="D16" s="15">
        <v>-3574283.0</v>
      </c>
      <c r="E16" s="13">
        <f t="shared" si="2"/>
        <v>0.6283053133</v>
      </c>
      <c r="F16" s="15">
        <v>-5820024.0</v>
      </c>
      <c r="G16" s="13">
        <f t="shared" si="3"/>
        <v>-0.60811897</v>
      </c>
      <c r="H16" s="15">
        <v>-2280757.0</v>
      </c>
      <c r="I16" s="13">
        <f t="shared" si="4"/>
        <v>-5.187354462</v>
      </c>
      <c r="J16" s="15">
        <v>9550338.0</v>
      </c>
      <c r="K16" s="13">
        <f t="shared" si="5"/>
        <v>-1.033494103</v>
      </c>
      <c r="L16" s="15">
        <v>-319880.0</v>
      </c>
      <c r="M16" s="13">
        <f t="shared" si="6"/>
        <v>-49.17188008</v>
      </c>
      <c r="N16" s="15">
        <v>1.5409221E7</v>
      </c>
      <c r="O16" s="13">
        <f t="shared" si="7"/>
        <v>-1.284255382</v>
      </c>
      <c r="P16" s="15">
        <v>-4380154.0</v>
      </c>
      <c r="Q16" s="13">
        <f t="shared" si="8"/>
        <v>0</v>
      </c>
      <c r="R16" s="15">
        <v>-4380154.0</v>
      </c>
      <c r="S16" s="13">
        <f t="shared" si="9"/>
        <v>0</v>
      </c>
      <c r="T16" s="15">
        <v>-4380154.0</v>
      </c>
      <c r="U16" s="13">
        <f t="shared" si="10"/>
        <v>-4.517963295</v>
      </c>
      <c r="V16" s="15">
        <v>1.5409221E7</v>
      </c>
      <c r="W16" s="13">
        <f t="shared" si="11"/>
        <v>0</v>
      </c>
      <c r="X16" s="15">
        <v>1.5409221E7</v>
      </c>
    </row>
    <row r="17">
      <c r="A17" s="16" t="s">
        <v>228</v>
      </c>
      <c r="B17" s="17">
        <f>B16/B3</f>
        <v>-0.6389160928</v>
      </c>
      <c r="C17" s="18">
        <f t="shared" si="1"/>
        <v>-0.6492556502</v>
      </c>
      <c r="D17" s="17">
        <f>D16/D3</f>
        <v>-0.2240962095</v>
      </c>
      <c r="E17" s="18">
        <f t="shared" si="2"/>
        <v>0.6764037651</v>
      </c>
      <c r="F17" s="17">
        <f>F16/F3</f>
        <v>-0.3756757294</v>
      </c>
      <c r="G17" s="18">
        <f t="shared" si="3"/>
        <v>-0.6997950951</v>
      </c>
      <c r="H17" s="17">
        <f>H16/H3</f>
        <v>-0.1127796966</v>
      </c>
      <c r="I17" s="18">
        <f t="shared" si="4"/>
        <v>-4.858563552</v>
      </c>
      <c r="J17" s="17">
        <f>J16/J3</f>
        <v>0.4351676268</v>
      </c>
      <c r="K17" s="18">
        <f t="shared" si="5"/>
        <v>-1.08162696</v>
      </c>
      <c r="L17" s="17">
        <f>L16/L3</f>
        <v>-0.03552141062</v>
      </c>
      <c r="M17" s="18">
        <f t="shared" si="6"/>
        <v>-22.5590891</v>
      </c>
      <c r="N17" s="17">
        <f>N16/N3</f>
        <v>0.7658092565</v>
      </c>
      <c r="O17" s="18">
        <f t="shared" si="7"/>
        <v>-1.290420782</v>
      </c>
      <c r="P17" s="17">
        <f>P16/P3</f>
        <v>-0.2224069229</v>
      </c>
      <c r="Q17" s="18">
        <f t="shared" si="8"/>
        <v>0</v>
      </c>
      <c r="R17" s="17">
        <f>R16/R3</f>
        <v>-0.2224069229</v>
      </c>
      <c r="S17" s="18">
        <f t="shared" si="9"/>
        <v>0</v>
      </c>
      <c r="T17" s="17">
        <f>T16/T3</f>
        <v>-0.2224069229</v>
      </c>
      <c r="U17" s="18">
        <f t="shared" si="10"/>
        <v>-4.443279762</v>
      </c>
      <c r="V17" s="17">
        <f>V16/V3</f>
        <v>0.7658092565</v>
      </c>
      <c r="W17" s="18">
        <f t="shared" si="11"/>
        <v>0</v>
      </c>
      <c r="X17" s="17">
        <f>X16/X3</f>
        <v>0.7658092565</v>
      </c>
    </row>
    <row r="18">
      <c r="A18" s="1" t="s">
        <v>36</v>
      </c>
      <c r="B18" s="24">
        <f>B12</f>
        <v>189855</v>
      </c>
      <c r="C18" s="13">
        <f t="shared" si="1"/>
        <v>-0.875131021</v>
      </c>
      <c r="D18" s="48">
        <v>23707.0</v>
      </c>
      <c r="E18" s="13">
        <f t="shared" si="2"/>
        <v>-1</v>
      </c>
      <c r="F18" s="24">
        <f>F12</f>
        <v>0</v>
      </c>
      <c r="G18" s="13">
        <f t="shared" si="3"/>
        <v>0</v>
      </c>
      <c r="H18" s="24">
        <f>H12</f>
        <v>-191907</v>
      </c>
      <c r="I18" s="13">
        <f t="shared" si="4"/>
        <v>-2.67683826</v>
      </c>
      <c r="J18" s="24">
        <f>J12</f>
        <v>321797</v>
      </c>
      <c r="K18" s="13">
        <f t="shared" si="5"/>
        <v>-48.39164131</v>
      </c>
      <c r="L18" s="24">
        <f>L12</f>
        <v>-15250488</v>
      </c>
      <c r="M18" s="13">
        <f t="shared" si="6"/>
        <v>-0.9261699035</v>
      </c>
      <c r="N18" s="24">
        <f>N12</f>
        <v>-1125945</v>
      </c>
      <c r="O18" s="13">
        <f t="shared" si="7"/>
        <v>-1.010985439</v>
      </c>
      <c r="P18" s="24">
        <f>P12</f>
        <v>12369</v>
      </c>
      <c r="Q18" s="13">
        <f t="shared" si="8"/>
        <v>0</v>
      </c>
      <c r="R18" s="24">
        <f>R12</f>
        <v>12369</v>
      </c>
      <c r="S18" s="13">
        <f t="shared" si="9"/>
        <v>0</v>
      </c>
      <c r="T18" s="24">
        <f>T12</f>
        <v>12369</v>
      </c>
      <c r="U18" s="13">
        <f t="shared" si="10"/>
        <v>-92.0295901</v>
      </c>
      <c r="V18" s="24">
        <f>V12</f>
        <v>-1125945</v>
      </c>
      <c r="W18" s="13">
        <f t="shared" si="11"/>
        <v>0</v>
      </c>
      <c r="X18" s="24">
        <f>X12</f>
        <v>-1125945</v>
      </c>
    </row>
    <row r="19">
      <c r="A19" s="28" t="s">
        <v>39</v>
      </c>
      <c r="B19" s="24">
        <f>B3-ABS(B18)</f>
        <v>16500983</v>
      </c>
      <c r="C19" s="13">
        <f t="shared" si="1"/>
        <v>-0.03484156065</v>
      </c>
      <c r="D19" s="24">
        <f>D3-ABS(D18)</f>
        <v>15926063</v>
      </c>
      <c r="E19" s="13">
        <f t="shared" si="2"/>
        <v>-0.02724559108</v>
      </c>
      <c r="F19" s="24">
        <f>F3-ABS(F18)</f>
        <v>15492148</v>
      </c>
      <c r="G19" s="13">
        <f t="shared" si="3"/>
        <v>0.2929911333</v>
      </c>
      <c r="H19" s="24">
        <f>H3-ABS(H18)</f>
        <v>20031210</v>
      </c>
      <c r="I19" s="13">
        <f t="shared" si="4"/>
        <v>0.07954267366</v>
      </c>
      <c r="J19" s="24">
        <f>J3-ABS(J18)</f>
        <v>21624546</v>
      </c>
      <c r="K19" s="13">
        <f t="shared" si="5"/>
        <v>-1.288802133</v>
      </c>
      <c r="L19" s="24">
        <f>L3-ABS(L18)</f>
        <v>-6245215</v>
      </c>
      <c r="M19" s="13">
        <f t="shared" si="6"/>
        <v>-4.041615381</v>
      </c>
      <c r="N19" s="24">
        <f>N3-ABS(N18)</f>
        <v>18995542</v>
      </c>
      <c r="O19" s="13">
        <f t="shared" si="7"/>
        <v>0.03613547852</v>
      </c>
      <c r="P19" s="24">
        <f>P3-ABS(P18)</f>
        <v>19681955</v>
      </c>
      <c r="Q19" s="13">
        <f t="shared" si="8"/>
        <v>0</v>
      </c>
      <c r="R19" s="24">
        <f>R3-ABS(R18)</f>
        <v>19681955</v>
      </c>
      <c r="S19" s="13">
        <f t="shared" si="9"/>
        <v>0</v>
      </c>
      <c r="T19" s="24">
        <f>T3-ABS(T18)</f>
        <v>19681955</v>
      </c>
      <c r="U19" s="13">
        <f t="shared" si="10"/>
        <v>-0.03487524486</v>
      </c>
      <c r="V19" s="24">
        <f>V3-ABS(V18)</f>
        <v>18995542</v>
      </c>
      <c r="W19" s="13">
        <f t="shared" si="11"/>
        <v>0</v>
      </c>
      <c r="X19" s="24">
        <f>X3-ABS(X18)</f>
        <v>18995542</v>
      </c>
    </row>
    <row r="21">
      <c r="A21" s="25" t="s">
        <v>44</v>
      </c>
      <c r="B21" s="26">
        <f>SUM(B22,B23)</f>
        <v>1074852</v>
      </c>
      <c r="C21" s="27">
        <f t="shared" ref="C21:C37" si="12">IFERROR(SUM((D21/B21)-1),0)</f>
        <v>0.1761033147</v>
      </c>
      <c r="D21" s="26">
        <f>SUM(D22,D23)</f>
        <v>1264137</v>
      </c>
      <c r="E21" s="27">
        <f t="shared" ref="E21:E37" si="13">IFERROR(SUM((F21/D21)-1),0)</f>
        <v>-0.01241242049</v>
      </c>
      <c r="F21" s="26">
        <f>SUM(F22,F23)</f>
        <v>1248446</v>
      </c>
      <c r="G21" s="27">
        <f t="shared" ref="G21:G37" si="14">IFERROR(SUM((H21/F21)-1),0)</f>
        <v>-0.1379891481</v>
      </c>
      <c r="H21" s="26">
        <f>SUM(H22,H23)</f>
        <v>1076174</v>
      </c>
      <c r="I21" s="27">
        <f t="shared" ref="I21:I37" si="15">IFERROR(SUM((J21/H21)-1),0)</f>
        <v>0.2425657933</v>
      </c>
      <c r="J21" s="26">
        <f>SUM(J22,J23)</f>
        <v>1337217</v>
      </c>
      <c r="K21" s="27">
        <f t="shared" ref="K21:K37" si="16">IFERROR(SUM((L21/J21)-1),0)</f>
        <v>-0.07364922821</v>
      </c>
      <c r="L21" s="26">
        <f>SUM(L22,L23)</f>
        <v>1238732</v>
      </c>
      <c r="M21" s="27">
        <f t="shared" ref="M21:M37" si="17">IFERROR(SUM((N21/L21)-1),0)</f>
        <v>-0.01697219415</v>
      </c>
      <c r="N21" s="26">
        <f>SUM(N22,N23)</f>
        <v>1217708</v>
      </c>
      <c r="O21" s="27">
        <f t="shared" ref="O21:O37" si="18">IFERROR(SUM((P21/N21)-1),0)</f>
        <v>-0.01693427324</v>
      </c>
      <c r="P21" s="26">
        <f>SUM(P22,P23)</f>
        <v>1197087</v>
      </c>
      <c r="Q21" s="27">
        <f t="shared" ref="Q21:Q37" si="19">IFERROR(SUM((R21/P21)-1),0)</f>
        <v>0</v>
      </c>
      <c r="R21" s="26">
        <f>SUM(R22,R23)</f>
        <v>1197087</v>
      </c>
      <c r="S21" s="27">
        <f t="shared" ref="S21:S37" si="20">IFERROR(SUM((T21/R21)-1),0)</f>
        <v>0</v>
      </c>
      <c r="T21" s="26">
        <f>SUM(T22,T23)</f>
        <v>1197087</v>
      </c>
      <c r="U21" s="27">
        <f t="shared" ref="U21:U37" si="21">IFERROR(SUM((V21/T21)-1),0)</f>
        <v>0.01722598274</v>
      </c>
      <c r="V21" s="26">
        <f>SUM(V22,V23)</f>
        <v>1217708</v>
      </c>
      <c r="W21" s="27">
        <f t="shared" ref="W21:W37" si="22">IFERROR(SUM((X21/V21)-1),0)</f>
        <v>0</v>
      </c>
      <c r="X21" s="26">
        <f>SUM(X22,X23)</f>
        <v>1217708</v>
      </c>
    </row>
    <row r="22">
      <c r="A22" s="4" t="s">
        <v>212</v>
      </c>
      <c r="B22" s="15">
        <v>1074852.0</v>
      </c>
      <c r="C22" s="13">
        <f t="shared" si="12"/>
        <v>0.1761033147</v>
      </c>
      <c r="D22" s="15">
        <v>1264137.0</v>
      </c>
      <c r="E22" s="13">
        <f t="shared" si="13"/>
        <v>-0.01241242049</v>
      </c>
      <c r="F22" s="15">
        <v>1248446.0</v>
      </c>
      <c r="G22" s="13">
        <f t="shared" si="14"/>
        <v>-0.1379891481</v>
      </c>
      <c r="H22" s="15">
        <v>1076174.0</v>
      </c>
      <c r="I22" s="13">
        <f t="shared" si="15"/>
        <v>0.2425657933</v>
      </c>
      <c r="J22" s="15">
        <v>1337217.0</v>
      </c>
      <c r="K22" s="13">
        <f t="shared" si="16"/>
        <v>-0.07364922821</v>
      </c>
      <c r="L22" s="15">
        <v>1238732.0</v>
      </c>
      <c r="M22" s="13">
        <f t="shared" si="17"/>
        <v>-0.01697219415</v>
      </c>
      <c r="N22" s="15">
        <v>1217708.0</v>
      </c>
      <c r="O22" s="13">
        <f t="shared" si="18"/>
        <v>-0.01693427324</v>
      </c>
      <c r="P22" s="15">
        <v>1197087.0</v>
      </c>
      <c r="Q22" s="13">
        <f t="shared" si="19"/>
        <v>0</v>
      </c>
      <c r="R22" s="15">
        <v>1197087.0</v>
      </c>
      <c r="S22" s="13">
        <f t="shared" si="20"/>
        <v>0</v>
      </c>
      <c r="T22" s="15">
        <v>1197087.0</v>
      </c>
      <c r="U22" s="13">
        <f t="shared" si="21"/>
        <v>0.01722598274</v>
      </c>
      <c r="V22" s="15">
        <v>1217708.0</v>
      </c>
      <c r="W22" s="13">
        <f t="shared" si="22"/>
        <v>0</v>
      </c>
      <c r="X22" s="15">
        <v>1217708.0</v>
      </c>
    </row>
    <row r="23">
      <c r="A23" s="25" t="s">
        <v>49</v>
      </c>
      <c r="B23" s="15">
        <v>0.0</v>
      </c>
      <c r="C23" s="13">
        <f t="shared" si="12"/>
        <v>0</v>
      </c>
      <c r="D23" s="15">
        <v>0.0</v>
      </c>
      <c r="E23" s="13">
        <f t="shared" si="13"/>
        <v>0</v>
      </c>
      <c r="F23" s="15">
        <v>0.0</v>
      </c>
      <c r="G23" s="13">
        <f t="shared" si="14"/>
        <v>0</v>
      </c>
      <c r="H23" s="15">
        <v>0.0</v>
      </c>
      <c r="I23" s="13">
        <f t="shared" si="15"/>
        <v>0</v>
      </c>
      <c r="J23" s="15">
        <v>0.0</v>
      </c>
      <c r="K23" s="13">
        <f t="shared" si="16"/>
        <v>0</v>
      </c>
      <c r="L23" s="15">
        <v>0.0</v>
      </c>
      <c r="M23" s="13">
        <f t="shared" si="17"/>
        <v>0</v>
      </c>
      <c r="N23" s="15">
        <v>0.0</v>
      </c>
      <c r="O23" s="13">
        <f t="shared" si="18"/>
        <v>0</v>
      </c>
      <c r="P23" s="15">
        <v>0.0</v>
      </c>
      <c r="Q23" s="13">
        <f t="shared" si="19"/>
        <v>0</v>
      </c>
      <c r="R23" s="15">
        <v>0.0</v>
      </c>
      <c r="S23" s="13">
        <f t="shared" si="20"/>
        <v>0</v>
      </c>
      <c r="T23" s="15">
        <v>0.0</v>
      </c>
      <c r="U23" s="13">
        <f t="shared" si="21"/>
        <v>0</v>
      </c>
      <c r="V23" s="15">
        <v>0.0</v>
      </c>
      <c r="W23" s="13">
        <f t="shared" si="22"/>
        <v>0</v>
      </c>
      <c r="X23" s="15">
        <v>0.0</v>
      </c>
    </row>
    <row r="24">
      <c r="A24" s="1" t="s">
        <v>54</v>
      </c>
      <c r="B24" s="30">
        <f>B21/B3</f>
        <v>0.06439772527</v>
      </c>
      <c r="C24" s="31">
        <f t="shared" si="12"/>
        <v>0.2307481485</v>
      </c>
      <c r="D24" s="30">
        <f>D21/D3</f>
        <v>0.07925738114</v>
      </c>
      <c r="E24" s="31">
        <f t="shared" si="13"/>
        <v>0.01675989334</v>
      </c>
      <c r="F24" s="30">
        <f>F21/F3</f>
        <v>0.0805857264</v>
      </c>
      <c r="G24" s="31">
        <f t="shared" si="14"/>
        <v>-0.3396468163</v>
      </c>
      <c r="H24" s="30">
        <f>H21/H3</f>
        <v>0.05321504099</v>
      </c>
      <c r="I24" s="31">
        <f t="shared" si="15"/>
        <v>0.1449995754</v>
      </c>
      <c r="J24" s="30">
        <f>J21/J3</f>
        <v>0.06093119933</v>
      </c>
      <c r="K24" s="31">
        <f t="shared" si="16"/>
        <v>1.257567514</v>
      </c>
      <c r="L24" s="30">
        <f>L21/L3</f>
        <v>0.1375562962</v>
      </c>
      <c r="M24" s="31">
        <f t="shared" si="17"/>
        <v>-0.560050718</v>
      </c>
      <c r="N24" s="30">
        <f>N21/N3</f>
        <v>0.06051779374</v>
      </c>
      <c r="O24" s="31">
        <f t="shared" si="18"/>
        <v>0.004388078571</v>
      </c>
      <c r="P24" s="30">
        <f>P21/P3</f>
        <v>0.06078335057</v>
      </c>
      <c r="Q24" s="31">
        <f t="shared" si="19"/>
        <v>0</v>
      </c>
      <c r="R24" s="30">
        <f>R21/R3</f>
        <v>0.06078335057</v>
      </c>
      <c r="S24" s="31">
        <f t="shared" si="20"/>
        <v>0</v>
      </c>
      <c r="T24" s="30">
        <f>T21/T3</f>
        <v>0.06078335057</v>
      </c>
      <c r="U24" s="31">
        <f t="shared" si="21"/>
        <v>-0.004368907462</v>
      </c>
      <c r="V24" s="30">
        <f>V21/V3</f>
        <v>0.06051779374</v>
      </c>
      <c r="W24" s="31">
        <f t="shared" si="22"/>
        <v>0</v>
      </c>
      <c r="X24" s="30">
        <f>X21/X3</f>
        <v>0.06051779374</v>
      </c>
    </row>
    <row r="25">
      <c r="A25" s="36" t="s">
        <v>56</v>
      </c>
      <c r="B25" s="37">
        <f>B26/$B$3</f>
        <v>0.9356022747</v>
      </c>
      <c r="C25" s="38">
        <f t="shared" si="12"/>
        <v>-0.01588244949</v>
      </c>
      <c r="D25" s="37">
        <f>D26/$D$3</f>
        <v>0.9207426189</v>
      </c>
      <c r="E25" s="38">
        <f t="shared" si="13"/>
        <v>-0.001442689007</v>
      </c>
      <c r="F25" s="37">
        <f>F26/$F$3</f>
        <v>0.9194142736</v>
      </c>
      <c r="G25" s="38">
        <f t="shared" si="14"/>
        <v>0.02976969816</v>
      </c>
      <c r="H25" s="37">
        <f>H26/$H$3</f>
        <v>0.946784959</v>
      </c>
      <c r="I25" s="38">
        <f t="shared" si="15"/>
        <v>-0.008149853117</v>
      </c>
      <c r="J25" s="37">
        <f>J26/$J$3</f>
        <v>0.9390688007</v>
      </c>
      <c r="K25" s="38">
        <f t="shared" si="16"/>
        <v>-0.08159689343</v>
      </c>
      <c r="L25" s="37">
        <f>L26/$L$3</f>
        <v>0.8624437038</v>
      </c>
      <c r="M25" s="38">
        <f t="shared" si="17"/>
        <v>0.08932583321</v>
      </c>
      <c r="N25" s="37">
        <f>N26/$N$3</f>
        <v>0.9394822063</v>
      </c>
      <c r="O25" s="38">
        <f t="shared" si="18"/>
        <v>-0.0215058587</v>
      </c>
      <c r="P25" s="37">
        <f>P26/$N$3</f>
        <v>0.9192778347</v>
      </c>
      <c r="Q25" s="38">
        <f t="shared" si="19"/>
        <v>0</v>
      </c>
      <c r="R25" s="37">
        <f>R26/$N$3</f>
        <v>0.9192778347</v>
      </c>
      <c r="S25" s="38">
        <f t="shared" si="20"/>
        <v>0</v>
      </c>
      <c r="T25" s="37">
        <f>T26/$N$3</f>
        <v>0.9192778347</v>
      </c>
      <c r="U25" s="38">
        <f t="shared" si="21"/>
        <v>0.02197852577</v>
      </c>
      <c r="V25" s="37">
        <f>V26/$N$3</f>
        <v>0.9394822063</v>
      </c>
      <c r="W25" s="38">
        <f t="shared" si="22"/>
        <v>0</v>
      </c>
      <c r="X25" s="37">
        <f>X26/$N$3</f>
        <v>0.9394822063</v>
      </c>
      <c r="Y25" s="13"/>
    </row>
    <row r="26">
      <c r="A26" s="28" t="s">
        <v>57</v>
      </c>
      <c r="B26" s="24">
        <f>B3-B21</f>
        <v>15615986</v>
      </c>
      <c r="C26" s="13">
        <f t="shared" si="12"/>
        <v>-0.05957696171</v>
      </c>
      <c r="D26" s="24">
        <f>D3-D21</f>
        <v>14685633</v>
      </c>
      <c r="E26" s="13">
        <f t="shared" si="13"/>
        <v>-0.03009274438</v>
      </c>
      <c r="F26" s="24">
        <f>F3-F21</f>
        <v>14243702</v>
      </c>
      <c r="G26" s="13">
        <f t="shared" si="14"/>
        <v>0.3442392294</v>
      </c>
      <c r="H26" s="24">
        <f>H3-H21</f>
        <v>19146943</v>
      </c>
      <c r="I26" s="13">
        <f t="shared" si="15"/>
        <v>0.07636639436</v>
      </c>
      <c r="J26" s="24">
        <f>J3-J21</f>
        <v>20609126</v>
      </c>
      <c r="K26" s="13">
        <f t="shared" si="16"/>
        <v>-0.6231503946</v>
      </c>
      <c r="L26" s="24">
        <f>L3-L21</f>
        <v>7766541</v>
      </c>
      <c r="M26" s="13">
        <f t="shared" si="17"/>
        <v>1.434002344</v>
      </c>
      <c r="N26" s="24">
        <f>N3-N21</f>
        <v>18903779</v>
      </c>
      <c r="O26" s="13">
        <f t="shared" si="18"/>
        <v>-0.0215058587</v>
      </c>
      <c r="P26" s="24">
        <f>P3-P21</f>
        <v>18497237</v>
      </c>
      <c r="Q26" s="13">
        <f t="shared" si="19"/>
        <v>0</v>
      </c>
      <c r="R26" s="24">
        <f>R3-R21</f>
        <v>18497237</v>
      </c>
      <c r="S26" s="13">
        <f t="shared" si="20"/>
        <v>0</v>
      </c>
      <c r="T26" s="24">
        <f>T3-T21</f>
        <v>18497237</v>
      </c>
      <c r="U26" s="13">
        <f t="shared" si="21"/>
        <v>0.02197852577</v>
      </c>
      <c r="V26" s="24">
        <f>V3-V21</f>
        <v>18903779</v>
      </c>
      <c r="W26" s="13">
        <f t="shared" si="22"/>
        <v>0</v>
      </c>
      <c r="X26" s="24">
        <f>X3-X21</f>
        <v>18903779</v>
      </c>
    </row>
    <row r="27">
      <c r="A27" s="28" t="s">
        <v>58</v>
      </c>
      <c r="B27" s="39">
        <f>B26-ABS(B18)</f>
        <v>15426131</v>
      </c>
      <c r="C27" s="12">
        <f t="shared" si="12"/>
        <v>-0.04953964153</v>
      </c>
      <c r="D27" s="39">
        <f>D26-ABS(D18)</f>
        <v>14661926</v>
      </c>
      <c r="E27" s="12">
        <f t="shared" si="13"/>
        <v>-0.02852449262</v>
      </c>
      <c r="F27" s="39">
        <f>F26-ABS(F18)</f>
        <v>14243702</v>
      </c>
      <c r="G27" s="12">
        <f t="shared" si="14"/>
        <v>0.3307661168</v>
      </c>
      <c r="H27" s="39">
        <f>H26-ABS(H18)</f>
        <v>18955036</v>
      </c>
      <c r="I27" s="12">
        <f t="shared" si="15"/>
        <v>0.07028702029</v>
      </c>
      <c r="J27" s="39">
        <f>J26-ABS(J18)</f>
        <v>20287329</v>
      </c>
      <c r="K27" s="12">
        <f t="shared" si="16"/>
        <v>-1.368897601</v>
      </c>
      <c r="L27" s="39">
        <f>L26-ABS(L18)</f>
        <v>-7483947</v>
      </c>
      <c r="M27" s="12">
        <f t="shared" si="17"/>
        <v>-3.375462306</v>
      </c>
      <c r="N27" s="39">
        <f>N26-ABS(N18)</f>
        <v>17777834</v>
      </c>
      <c r="O27" s="12">
        <f t="shared" si="18"/>
        <v>0.03977053673</v>
      </c>
      <c r="P27" s="39">
        <f>P26-ABS(P18)</f>
        <v>18484868</v>
      </c>
      <c r="Q27" s="12">
        <f t="shared" si="19"/>
        <v>0</v>
      </c>
      <c r="R27" s="39">
        <f>R26-ABS(R18)</f>
        <v>18484868</v>
      </c>
      <c r="S27" s="12">
        <f t="shared" si="20"/>
        <v>0</v>
      </c>
      <c r="T27" s="39">
        <f>T26-ABS(T18)</f>
        <v>18484868</v>
      </c>
      <c r="U27" s="12">
        <f t="shared" si="21"/>
        <v>-0.03824933995</v>
      </c>
      <c r="V27" s="39">
        <f>V26-ABS(V18)</f>
        <v>17777834</v>
      </c>
      <c r="W27" s="12">
        <f t="shared" si="22"/>
        <v>0</v>
      </c>
      <c r="X27" s="39">
        <f>X26-ABS(X18)</f>
        <v>17777834</v>
      </c>
    </row>
    <row r="28">
      <c r="A28" s="1" t="s">
        <v>59</v>
      </c>
      <c r="B28" s="15">
        <f>(B36-B35)*B34</f>
        <v>645684</v>
      </c>
      <c r="C28" s="13">
        <f t="shared" si="12"/>
        <v>-0.1235403076</v>
      </c>
      <c r="D28" s="15">
        <f>(D36-D35)*D34</f>
        <v>565916</v>
      </c>
      <c r="E28" s="13">
        <f t="shared" si="13"/>
        <v>0.1209013352</v>
      </c>
      <c r="F28" s="15">
        <f>(F36-F35)*F34</f>
        <v>634336</v>
      </c>
      <c r="G28" s="13">
        <f t="shared" si="14"/>
        <v>6.388816022</v>
      </c>
      <c r="H28" s="15">
        <f>(H36-H35)*H34</f>
        <v>4686992</v>
      </c>
      <c r="I28" s="13">
        <f t="shared" si="15"/>
        <v>0.1667839416</v>
      </c>
      <c r="J28" s="15">
        <f>(J36-J35)*J34</f>
        <v>5468707</v>
      </c>
      <c r="K28" s="13">
        <f t="shared" si="16"/>
        <v>-2.348376865</v>
      </c>
      <c r="L28" s="15">
        <f>(L36-L35)*L34</f>
        <v>-7373878</v>
      </c>
      <c r="M28" s="13">
        <f t="shared" si="17"/>
        <v>-1.095099621</v>
      </c>
      <c r="N28" s="15">
        <f>(N36-N35)*N34</f>
        <v>701253</v>
      </c>
      <c r="O28" s="13">
        <f t="shared" si="18"/>
        <v>1.118393789</v>
      </c>
      <c r="P28" s="15">
        <f>(P36-P35)*P34</f>
        <v>1485530</v>
      </c>
      <c r="Q28" s="13">
        <f t="shared" si="19"/>
        <v>0</v>
      </c>
      <c r="R28" s="15">
        <f>(R36-R35)*R34</f>
        <v>1485530</v>
      </c>
      <c r="S28" s="13">
        <f t="shared" si="20"/>
        <v>0</v>
      </c>
      <c r="T28" s="15">
        <f>(T36-T35)*T34</f>
        <v>1485530</v>
      </c>
      <c r="U28" s="13">
        <f t="shared" si="21"/>
        <v>-0.5279442354</v>
      </c>
      <c r="V28" s="15">
        <f>(V36-V35)*V34</f>
        <v>701253</v>
      </c>
      <c r="W28" s="13">
        <f t="shared" si="22"/>
        <v>0</v>
      </c>
      <c r="X28" s="15">
        <f>(X36-X35)*X34</f>
        <v>701253</v>
      </c>
    </row>
    <row r="29">
      <c r="A29" s="4" t="s">
        <v>60</v>
      </c>
      <c r="B29" s="40">
        <f>B28/B26</f>
        <v>0.04134762928</v>
      </c>
      <c r="C29" s="13">
        <f t="shared" si="12"/>
        <v>-0.06801550295</v>
      </c>
      <c r="D29" s="40">
        <f>D28/D26</f>
        <v>0.03853534948</v>
      </c>
      <c r="E29" s="13">
        <f t="shared" si="13"/>
        <v>0.1556788844</v>
      </c>
      <c r="F29" s="40">
        <f>F28/F26</f>
        <v>0.0445344897</v>
      </c>
      <c r="G29" s="13">
        <f t="shared" si="14"/>
        <v>4.496652575</v>
      </c>
      <c r="H29" s="40">
        <f>H28/H26</f>
        <v>0.2447906175</v>
      </c>
      <c r="I29" s="13">
        <f t="shared" si="15"/>
        <v>0.08400257357</v>
      </c>
      <c r="J29" s="40">
        <f>J28/J26</f>
        <v>0.2653536593</v>
      </c>
      <c r="K29" s="13">
        <f t="shared" si="16"/>
        <v>-4.578023821</v>
      </c>
      <c r="L29" s="40">
        <f>L28/L26</f>
        <v>-0.9494417141</v>
      </c>
      <c r="M29" s="13">
        <f t="shared" si="17"/>
        <v>-1.039071294</v>
      </c>
      <c r="N29" s="40">
        <f>N28/N26</f>
        <v>0.03709591611</v>
      </c>
      <c r="O29" s="13">
        <f t="shared" si="18"/>
        <v>1.164952962</v>
      </c>
      <c r="P29" s="40">
        <f>P28/P26</f>
        <v>0.08031091346</v>
      </c>
      <c r="Q29" s="13">
        <f t="shared" si="19"/>
        <v>0</v>
      </c>
      <c r="R29" s="40">
        <f>R28/R26</f>
        <v>0.08031091346</v>
      </c>
      <c r="S29" s="13">
        <f t="shared" si="20"/>
        <v>0</v>
      </c>
      <c r="T29" s="40">
        <f>T28/T26</f>
        <v>0.08031091346</v>
      </c>
      <c r="U29" s="13">
        <f t="shared" si="21"/>
        <v>-0.5380962</v>
      </c>
      <c r="V29" s="40">
        <f>V28/V26</f>
        <v>0.03709591611</v>
      </c>
      <c r="W29" s="13">
        <f t="shared" si="22"/>
        <v>0</v>
      </c>
      <c r="X29" s="40">
        <f>X28/X26</f>
        <v>0.03709591611</v>
      </c>
    </row>
    <row r="30">
      <c r="A30" s="4" t="s">
        <v>61</v>
      </c>
      <c r="B30" s="41">
        <f>B40+B28</f>
        <v>62982542.42</v>
      </c>
      <c r="C30" s="13">
        <f t="shared" si="12"/>
        <v>0.1790935444</v>
      </c>
      <c r="D30" s="41">
        <f>D40+D28</f>
        <v>74262309.18</v>
      </c>
      <c r="E30" s="13">
        <f t="shared" si="13"/>
        <v>0.1358042208</v>
      </c>
      <c r="F30" s="41">
        <f>F40+F28</f>
        <v>84347444.21</v>
      </c>
      <c r="G30" s="13">
        <f t="shared" si="14"/>
        <v>-0.1270647713</v>
      </c>
      <c r="H30" s="41">
        <f>H40+H28</f>
        <v>73629855.5</v>
      </c>
      <c r="I30" s="13">
        <f t="shared" si="15"/>
        <v>0.5728496559</v>
      </c>
      <c r="J30" s="41">
        <f>J40+J28</f>
        <v>115808692.9</v>
      </c>
      <c r="K30" s="13">
        <f t="shared" si="16"/>
        <v>-0.585821167</v>
      </c>
      <c r="L30" s="41">
        <f>L40+L28</f>
        <v>47965509.27</v>
      </c>
      <c r="M30" s="13">
        <f t="shared" si="17"/>
        <v>1.369827051</v>
      </c>
      <c r="N30" s="41">
        <f>N40+N28</f>
        <v>113669961.4</v>
      </c>
      <c r="O30" s="13">
        <f t="shared" si="18"/>
        <v>0.1131296228</v>
      </c>
      <c r="P30" s="41">
        <f>P40+P28</f>
        <v>126529401.2</v>
      </c>
      <c r="Q30" s="13">
        <f t="shared" si="19"/>
        <v>0</v>
      </c>
      <c r="R30" s="41">
        <f>R40+R28</f>
        <v>126529401.2</v>
      </c>
      <c r="S30" s="13">
        <f t="shared" si="20"/>
        <v>0</v>
      </c>
      <c r="T30" s="41">
        <f>T40+T28</f>
        <v>126529401.2</v>
      </c>
      <c r="U30" s="13">
        <f t="shared" si="21"/>
        <v>-0.1016320296</v>
      </c>
      <c r="V30" s="41">
        <f>V40+V28</f>
        <v>113669961.4</v>
      </c>
      <c r="W30" s="13">
        <f t="shared" si="22"/>
        <v>0</v>
      </c>
      <c r="X30" s="41">
        <f>X40+X28</f>
        <v>113669961.4</v>
      </c>
      <c r="Y30" s="13"/>
    </row>
    <row r="31">
      <c r="A31" s="4" t="s">
        <v>62</v>
      </c>
      <c r="B31" s="42">
        <f>B30/B34</f>
        <v>3.702305854</v>
      </c>
      <c r="C31" s="13">
        <f t="shared" si="12"/>
        <v>0.1790935444</v>
      </c>
      <c r="D31" s="42">
        <f>D30/D34</f>
        <v>4.365364933</v>
      </c>
      <c r="E31" s="13">
        <f t="shared" si="13"/>
        <v>0.1358042208</v>
      </c>
      <c r="F31" s="42">
        <f>F30/F34</f>
        <v>4.958199916</v>
      </c>
      <c r="G31" s="13">
        <f t="shared" si="14"/>
        <v>-0.1270647713</v>
      </c>
      <c r="H31" s="42">
        <f>H30/H34</f>
        <v>4.328187377</v>
      </c>
      <c r="I31" s="13">
        <f t="shared" si="15"/>
        <v>0.5728496559</v>
      </c>
      <c r="J31" s="42">
        <f>J30/J34</f>
        <v>6.807588027</v>
      </c>
      <c r="K31" s="13">
        <f t="shared" si="16"/>
        <v>-0.585821167</v>
      </c>
      <c r="L31" s="42">
        <f>L30/L34</f>
        <v>2.819558864</v>
      </c>
      <c r="M31" s="13">
        <f t="shared" si="17"/>
        <v>1.369827051</v>
      </c>
      <c r="N31" s="42">
        <f>N30/N34</f>
        <v>6.681866867</v>
      </c>
      <c r="O31" s="13">
        <f t="shared" si="18"/>
        <v>0.1131296228</v>
      </c>
      <c r="P31" s="42">
        <f>P30/P34</f>
        <v>7.437783945</v>
      </c>
      <c r="Q31" s="13">
        <f t="shared" si="19"/>
        <v>0</v>
      </c>
      <c r="R31" s="42">
        <f>R30/R34</f>
        <v>7.437783945</v>
      </c>
      <c r="S31" s="13">
        <f t="shared" si="20"/>
        <v>0</v>
      </c>
      <c r="T31" s="42">
        <f>T30/T34</f>
        <v>7.437783945</v>
      </c>
      <c r="U31" s="13">
        <f t="shared" si="21"/>
        <v>-0.1016320296</v>
      </c>
      <c r="V31" s="42">
        <f>V30/V34</f>
        <v>6.681866867</v>
      </c>
      <c r="W31" s="13">
        <f t="shared" si="22"/>
        <v>0</v>
      </c>
      <c r="X31" s="42">
        <f>X30/X34</f>
        <v>6.681866867</v>
      </c>
      <c r="Y31" s="13"/>
    </row>
    <row r="32">
      <c r="A32" s="28" t="s">
        <v>63</v>
      </c>
      <c r="B32" s="43">
        <v>1.4970302E7</v>
      </c>
      <c r="C32" s="12">
        <f t="shared" si="12"/>
        <v>-0.05681815905</v>
      </c>
      <c r="D32" s="15">
        <v>1.4119717E7</v>
      </c>
      <c r="E32" s="12">
        <f t="shared" si="13"/>
        <v>-0.03614456295</v>
      </c>
      <c r="F32" s="15">
        <v>1.3609366E7</v>
      </c>
      <c r="G32" s="12">
        <f t="shared" si="14"/>
        <v>0.06249997245</v>
      </c>
      <c r="H32" s="15">
        <v>1.4459951E7</v>
      </c>
      <c r="I32" s="12">
        <f t="shared" si="15"/>
        <v>0.047058804</v>
      </c>
      <c r="J32" s="15">
        <v>1.5140419E7</v>
      </c>
      <c r="K32" s="12">
        <f t="shared" si="16"/>
        <v>0</v>
      </c>
      <c r="L32" s="15">
        <v>1.5140419E7</v>
      </c>
      <c r="M32" s="12">
        <f t="shared" si="17"/>
        <v>0.2022471769</v>
      </c>
      <c r="N32" s="15">
        <v>1.8202526E7</v>
      </c>
      <c r="O32" s="12">
        <f t="shared" si="18"/>
        <v>-0.06542053559</v>
      </c>
      <c r="P32" s="15">
        <v>1.7011707E7</v>
      </c>
      <c r="Q32" s="12">
        <f t="shared" si="19"/>
        <v>0</v>
      </c>
      <c r="R32" s="15">
        <v>1.7011707E7</v>
      </c>
      <c r="S32" s="12">
        <f t="shared" si="20"/>
        <v>0</v>
      </c>
      <c r="T32" s="15">
        <v>1.7011707E7</v>
      </c>
      <c r="U32" s="12">
        <f t="shared" si="21"/>
        <v>0.0699999712</v>
      </c>
      <c r="V32" s="15">
        <v>1.8202526E7</v>
      </c>
      <c r="W32" s="12">
        <f t="shared" si="22"/>
        <v>0</v>
      </c>
      <c r="X32" s="15">
        <v>1.8202526E7</v>
      </c>
    </row>
    <row r="33">
      <c r="A33" s="1" t="s">
        <v>64</v>
      </c>
      <c r="B33" s="40">
        <f>B32/B26</f>
        <v>0.9586523707</v>
      </c>
      <c r="C33" s="13">
        <f t="shared" si="12"/>
        <v>0.002933576223</v>
      </c>
      <c r="D33" s="40">
        <f>D32/D26</f>
        <v>0.9614646505</v>
      </c>
      <c r="E33" s="13">
        <f t="shared" si="13"/>
        <v>-0.0062395848</v>
      </c>
      <c r="F33" s="40">
        <f>F32/F26</f>
        <v>0.9554655103</v>
      </c>
      <c r="G33" s="13">
        <f t="shared" si="14"/>
        <v>-0.2095901167</v>
      </c>
      <c r="H33" s="40">
        <f>H32/H26</f>
        <v>0.7552093825</v>
      </c>
      <c r="I33" s="13">
        <f t="shared" si="15"/>
        <v>-0.02722826587</v>
      </c>
      <c r="J33" s="40">
        <f>J32/J26</f>
        <v>0.7346463407</v>
      </c>
      <c r="K33" s="13">
        <f t="shared" si="16"/>
        <v>1.653578472</v>
      </c>
      <c r="L33" s="40">
        <f>L32/L26</f>
        <v>1.949441714</v>
      </c>
      <c r="M33" s="13">
        <f t="shared" si="17"/>
        <v>-0.5060616191</v>
      </c>
      <c r="N33" s="40">
        <f>N32/N26</f>
        <v>0.9629040839</v>
      </c>
      <c r="O33" s="13">
        <f t="shared" si="18"/>
        <v>-0.04487985675</v>
      </c>
      <c r="P33" s="40">
        <f>P32/P26</f>
        <v>0.9196890865</v>
      </c>
      <c r="Q33" s="13">
        <f t="shared" si="19"/>
        <v>0</v>
      </c>
      <c r="R33" s="40">
        <f>R32/R26</f>
        <v>0.9196890865</v>
      </c>
      <c r="S33" s="13">
        <f t="shared" si="20"/>
        <v>0</v>
      </c>
      <c r="T33" s="40">
        <f>T32/T26</f>
        <v>0.9196890865</v>
      </c>
      <c r="U33" s="13">
        <f t="shared" si="21"/>
        <v>0.04698870301</v>
      </c>
      <c r="V33" s="40">
        <f>V32/V26</f>
        <v>0.9629040839</v>
      </c>
      <c r="W33" s="13">
        <f t="shared" si="22"/>
        <v>0</v>
      </c>
      <c r="X33" s="40">
        <f>X32/X26</f>
        <v>0.9629040839</v>
      </c>
    </row>
    <row r="34">
      <c r="A34" s="4" t="s">
        <v>65</v>
      </c>
      <c r="B34" s="48">
        <v>1.7011707E7</v>
      </c>
      <c r="C34" s="13">
        <f t="shared" si="12"/>
        <v>0</v>
      </c>
      <c r="D34" s="48">
        <v>1.7011707E7</v>
      </c>
      <c r="E34" s="13">
        <f t="shared" si="13"/>
        <v>0</v>
      </c>
      <c r="F34" s="48">
        <v>1.7011707E7</v>
      </c>
      <c r="G34" s="13">
        <f t="shared" si="14"/>
        <v>0</v>
      </c>
      <c r="H34" s="48">
        <v>1.7011707E7</v>
      </c>
      <c r="I34" s="13">
        <f t="shared" si="15"/>
        <v>0</v>
      </c>
      <c r="J34" s="48">
        <v>1.7011707E7</v>
      </c>
      <c r="K34" s="13">
        <f t="shared" si="16"/>
        <v>0</v>
      </c>
      <c r="L34" s="48">
        <v>1.7011707E7</v>
      </c>
      <c r="M34" s="13">
        <f t="shared" si="17"/>
        <v>0</v>
      </c>
      <c r="N34" s="48">
        <v>1.7011707E7</v>
      </c>
      <c r="O34" s="13">
        <f t="shared" si="18"/>
        <v>0</v>
      </c>
      <c r="P34" s="48">
        <v>1.7011707E7</v>
      </c>
      <c r="Q34" s="13">
        <f t="shared" si="19"/>
        <v>0</v>
      </c>
      <c r="R34" s="48">
        <v>1.7011707E7</v>
      </c>
      <c r="S34" s="13">
        <f t="shared" si="20"/>
        <v>0</v>
      </c>
      <c r="T34" s="48">
        <v>1.7011707E7</v>
      </c>
      <c r="U34" s="13">
        <f t="shared" si="21"/>
        <v>0</v>
      </c>
      <c r="V34" s="48">
        <v>1.7011707E7</v>
      </c>
      <c r="W34" s="13">
        <f t="shared" si="22"/>
        <v>0</v>
      </c>
      <c r="X34" s="48">
        <v>1.7011707E7</v>
      </c>
    </row>
    <row r="35">
      <c r="A35" s="28" t="s">
        <v>66</v>
      </c>
      <c r="B35" s="50">
        <f>B32/B34</f>
        <v>0.8799999906</v>
      </c>
      <c r="C35" s="13">
        <f t="shared" si="12"/>
        <v>-0.05681815905</v>
      </c>
      <c r="D35" s="50">
        <f>D32/D34</f>
        <v>0.8300000112</v>
      </c>
      <c r="E35" s="13">
        <f t="shared" si="13"/>
        <v>-0.03614456295</v>
      </c>
      <c r="F35" s="50">
        <f>F32/F34</f>
        <v>0.8000000235</v>
      </c>
      <c r="G35" s="13">
        <f t="shared" si="14"/>
        <v>0.06249997245</v>
      </c>
      <c r="H35" s="50">
        <f>H32/H34</f>
        <v>0.8500000029</v>
      </c>
      <c r="I35" s="13">
        <f t="shared" si="15"/>
        <v>0.047058804</v>
      </c>
      <c r="J35" s="50">
        <f>J32/J34</f>
        <v>0.8899999865</v>
      </c>
      <c r="K35" s="13">
        <f t="shared" si="16"/>
        <v>0</v>
      </c>
      <c r="L35" s="50">
        <f>L32/L34</f>
        <v>0.8899999865</v>
      </c>
      <c r="M35" s="13">
        <f t="shared" si="17"/>
        <v>0.2022471769</v>
      </c>
      <c r="N35" s="50">
        <f>N32/N34</f>
        <v>1.069999971</v>
      </c>
      <c r="O35" s="13">
        <f t="shared" si="18"/>
        <v>-0.06542053559</v>
      </c>
      <c r="P35" s="50">
        <f>P32/P34</f>
        <v>1</v>
      </c>
      <c r="Q35" s="13">
        <f t="shared" si="19"/>
        <v>0</v>
      </c>
      <c r="R35" s="50">
        <f>R32/R34</f>
        <v>1</v>
      </c>
      <c r="S35" s="13">
        <f t="shared" si="20"/>
        <v>0</v>
      </c>
      <c r="T35" s="50">
        <f>T32/T34</f>
        <v>1</v>
      </c>
      <c r="U35" s="13">
        <f t="shared" si="21"/>
        <v>0.0699999712</v>
      </c>
      <c r="V35" s="50">
        <f>V32/V34</f>
        <v>1.069999971</v>
      </c>
      <c r="W35" s="13">
        <f t="shared" si="22"/>
        <v>0</v>
      </c>
      <c r="X35" s="50">
        <f>X32/X34</f>
        <v>1.069999971</v>
      </c>
    </row>
    <row r="36">
      <c r="A36" s="28" t="s">
        <v>67</v>
      </c>
      <c r="B36" s="50">
        <f>B26/B34</f>
        <v>0.9179552646</v>
      </c>
      <c r="C36" s="13">
        <f t="shared" si="12"/>
        <v>-0.05957696171</v>
      </c>
      <c r="D36" s="50">
        <f>D26/D34</f>
        <v>0.8632662789</v>
      </c>
      <c r="E36" s="13">
        <f t="shared" si="13"/>
        <v>-0.03009274438</v>
      </c>
      <c r="F36" s="50">
        <f>F26/F34</f>
        <v>0.8372882275</v>
      </c>
      <c r="G36" s="13">
        <f t="shared" si="14"/>
        <v>0.3442392294</v>
      </c>
      <c r="H36" s="50">
        <f>H26/H34</f>
        <v>1.125515682</v>
      </c>
      <c r="I36" s="13">
        <f t="shared" si="15"/>
        <v>0.07636639436</v>
      </c>
      <c r="J36" s="50">
        <f>J26/J34</f>
        <v>1.211467256</v>
      </c>
      <c r="K36" s="13">
        <f t="shared" si="16"/>
        <v>-0.6231503946</v>
      </c>
      <c r="L36" s="50">
        <f>L26/L34</f>
        <v>0.4565409574</v>
      </c>
      <c r="M36" s="13">
        <f t="shared" si="17"/>
        <v>1.434002344</v>
      </c>
      <c r="N36" s="50">
        <f>N26/N34</f>
        <v>1.11122176</v>
      </c>
      <c r="O36" s="13">
        <f t="shared" si="18"/>
        <v>-0.0215058587</v>
      </c>
      <c r="P36" s="50">
        <f>P26/P34</f>
        <v>1.087323982</v>
      </c>
      <c r="Q36" s="13">
        <f t="shared" si="19"/>
        <v>0</v>
      </c>
      <c r="R36" s="50">
        <f>R26/R34</f>
        <v>1.087323982</v>
      </c>
      <c r="S36" s="13">
        <f t="shared" si="20"/>
        <v>0</v>
      </c>
      <c r="T36" s="50">
        <f>T26/T34</f>
        <v>1.087323982</v>
      </c>
      <c r="U36" s="13">
        <f t="shared" si="21"/>
        <v>0.02197852577</v>
      </c>
      <c r="V36" s="50">
        <f>V26/V34</f>
        <v>1.11122176</v>
      </c>
      <c r="W36" s="13">
        <f t="shared" si="22"/>
        <v>0</v>
      </c>
      <c r="X36" s="50">
        <f>X26/X34</f>
        <v>1.11122176</v>
      </c>
    </row>
    <row r="37">
      <c r="A37" s="4" t="s">
        <v>68</v>
      </c>
      <c r="B37" s="51">
        <f>B27/B34</f>
        <v>0.9067950089</v>
      </c>
      <c r="C37" s="13">
        <f t="shared" si="12"/>
        <v>-0.04953964153</v>
      </c>
      <c r="D37" s="51">
        <f>D27/D34</f>
        <v>0.8618727092</v>
      </c>
      <c r="E37" s="13">
        <f t="shared" si="13"/>
        <v>-0.02852449262</v>
      </c>
      <c r="F37" s="51">
        <f>F27/F34</f>
        <v>0.8372882275</v>
      </c>
      <c r="G37" s="13">
        <f t="shared" si="14"/>
        <v>0.3307661168</v>
      </c>
      <c r="H37" s="51">
        <f>H27/H34</f>
        <v>1.114234803</v>
      </c>
      <c r="I37" s="13">
        <f t="shared" si="15"/>
        <v>0.07028702029</v>
      </c>
      <c r="J37" s="51">
        <f>J27/J34</f>
        <v>1.192551047</v>
      </c>
      <c r="K37" s="13">
        <f t="shared" si="16"/>
        <v>-1.368897601</v>
      </c>
      <c r="L37" s="51">
        <f>L27/L34</f>
        <v>-0.4399292205</v>
      </c>
      <c r="M37" s="13">
        <f t="shared" si="17"/>
        <v>-3.375462306</v>
      </c>
      <c r="N37" s="51">
        <f>N27/N34</f>
        <v>1.045035281</v>
      </c>
      <c r="O37" s="13">
        <f t="shared" si="18"/>
        <v>0.03977053673</v>
      </c>
      <c r="P37" s="51">
        <f>P27/P34</f>
        <v>1.086596895</v>
      </c>
      <c r="Q37" s="13">
        <f t="shared" si="19"/>
        <v>0</v>
      </c>
      <c r="R37" s="51">
        <f>R27/R34</f>
        <v>1.086596895</v>
      </c>
      <c r="S37" s="13">
        <f t="shared" si="20"/>
        <v>0</v>
      </c>
      <c r="T37" s="51">
        <f>T27/T34</f>
        <v>1.086596895</v>
      </c>
      <c r="U37" s="13">
        <f t="shared" si="21"/>
        <v>-0.03824933995</v>
      </c>
      <c r="V37" s="51">
        <f>V27/V34</f>
        <v>1.045035281</v>
      </c>
      <c r="W37" s="13">
        <f t="shared" si="22"/>
        <v>0</v>
      </c>
      <c r="X37" s="51">
        <f>X27/X34</f>
        <v>1.045035281</v>
      </c>
    </row>
    <row r="38">
      <c r="A38" s="52"/>
      <c r="B38" s="2" t="s">
        <v>1</v>
      </c>
      <c r="C38" s="3">
        <v>46037.0</v>
      </c>
      <c r="D38" s="2" t="s">
        <v>1</v>
      </c>
      <c r="E38" s="3">
        <v>46066.0</v>
      </c>
      <c r="F38" s="2" t="s">
        <v>1</v>
      </c>
      <c r="G38" s="3">
        <v>46094.0</v>
      </c>
      <c r="H38" s="2" t="s">
        <v>1</v>
      </c>
      <c r="I38" s="3">
        <v>46127.0</v>
      </c>
      <c r="J38" s="2" t="s">
        <v>1</v>
      </c>
      <c r="K38" s="3">
        <v>46157.0</v>
      </c>
      <c r="L38" s="2" t="s">
        <v>1</v>
      </c>
      <c r="M38" s="3">
        <v>46189.0</v>
      </c>
      <c r="N38" s="2" t="s">
        <v>1</v>
      </c>
      <c r="O38" s="3">
        <v>46217.0</v>
      </c>
      <c r="P38" s="2" t="s">
        <v>2</v>
      </c>
      <c r="Q38" s="3">
        <v>46195.0</v>
      </c>
      <c r="R38" s="2" t="s">
        <v>3</v>
      </c>
      <c r="S38" s="3">
        <v>46195.0</v>
      </c>
      <c r="T38" s="2" t="s">
        <v>3</v>
      </c>
      <c r="U38" s="3">
        <v>46195.0</v>
      </c>
      <c r="V38" s="2" t="s">
        <v>3</v>
      </c>
      <c r="W38" s="3">
        <v>46195.0</v>
      </c>
      <c r="X38" s="2" t="s">
        <v>3</v>
      </c>
      <c r="Y38" s="3">
        <v>46195.0</v>
      </c>
    </row>
    <row r="39">
      <c r="A39" s="1" t="s">
        <v>69</v>
      </c>
      <c r="B39" s="1" t="s">
        <v>5</v>
      </c>
      <c r="C39" s="53"/>
      <c r="D39" s="54" t="s">
        <v>6</v>
      </c>
      <c r="E39" s="55"/>
      <c r="F39" s="54" t="s">
        <v>7</v>
      </c>
      <c r="G39" s="55"/>
      <c r="H39" s="54" t="s">
        <v>8</v>
      </c>
      <c r="I39" s="55"/>
      <c r="J39" s="54" t="s">
        <v>9</v>
      </c>
      <c r="K39" s="55"/>
      <c r="L39" s="54" t="s">
        <v>10</v>
      </c>
      <c r="M39" s="55"/>
      <c r="N39" s="54" t="s">
        <v>11</v>
      </c>
      <c r="O39" s="55"/>
      <c r="P39" s="1" t="s">
        <v>12</v>
      </c>
      <c r="Q39" s="53"/>
      <c r="R39" s="1" t="s">
        <v>13</v>
      </c>
      <c r="S39" s="53"/>
      <c r="T39" s="1" t="s">
        <v>14</v>
      </c>
      <c r="U39" s="53"/>
      <c r="V39" s="1" t="s">
        <v>15</v>
      </c>
      <c r="W39" s="53"/>
      <c r="X39" s="1" t="s">
        <v>16</v>
      </c>
    </row>
    <row r="40">
      <c r="A40" s="4" t="s">
        <v>61</v>
      </c>
      <c r="B40" s="56">
        <v>6.233685842E7</v>
      </c>
      <c r="C40" s="13">
        <f t="shared" ref="C40:C43" si="23">IFERROR(SUM((D40/B40)-1),0)</f>
        <v>0.1822282202</v>
      </c>
      <c r="D40" s="56">
        <v>7.369639318E7</v>
      </c>
      <c r="E40" s="13">
        <f t="shared" ref="E40:E43" si="24">IFERROR(SUM((F40/D40)-1),0)</f>
        <v>0.1359186603</v>
      </c>
      <c r="F40" s="56">
        <v>8.371310821E7</v>
      </c>
      <c r="G40" s="13">
        <f t="shared" ref="G40:G43" si="25">IFERROR(SUM((H40/F40)-1),0)</f>
        <v>-0.176438852</v>
      </c>
      <c r="H40" s="56">
        <v>6.89428635E7</v>
      </c>
      <c r="I40" s="13">
        <f t="shared" ref="I40:I43" si="26">IFERROR(SUM((J40/H40)-1),0)</f>
        <v>0.6004555118</v>
      </c>
      <c r="J40" s="56">
        <v>1.1033998589E8</v>
      </c>
      <c r="K40" s="13">
        <f t="shared" ref="K40:K43" si="27">IFERROR(SUM((L40/J40)-1),0)</f>
        <v>-0.4984647966</v>
      </c>
      <c r="L40" s="56">
        <v>5.533938727E7</v>
      </c>
      <c r="M40" s="13">
        <f t="shared" ref="M40:M43" si="28">IFERROR(SUM((N40/L40)-1),0)</f>
        <v>1.041379819</v>
      </c>
      <c r="N40" s="56">
        <v>1.1296870836E8</v>
      </c>
      <c r="O40" s="13">
        <f t="shared" ref="O40:O43" si="29">IFERROR(SUM((P40/N40)-1),0)</f>
        <v>0.1068894478</v>
      </c>
      <c r="P40" s="56">
        <v>1.2504387121E8</v>
      </c>
      <c r="Q40" s="13">
        <f t="shared" ref="Q40:Q43" si="30">IFERROR(SUM((R40/P40)-1),0)</f>
        <v>0</v>
      </c>
      <c r="R40" s="56">
        <v>1.2504387121E8</v>
      </c>
      <c r="S40" s="13">
        <f t="shared" ref="S40:S43" si="31">IFERROR(SUM((T40/R40)-1),0)</f>
        <v>0</v>
      </c>
      <c r="T40" s="56">
        <v>1.2504387121E8</v>
      </c>
      <c r="U40" s="13">
        <f t="shared" ref="U40:U43" si="32">IFERROR(SUM((V40/T40)-1),0)</f>
        <v>-0.09656741057</v>
      </c>
      <c r="V40" s="56">
        <v>1.1296870836E8</v>
      </c>
      <c r="W40" s="13">
        <f t="shared" ref="W40:W43" si="33">IFERROR(SUM((X40/V40)-1),0)</f>
        <v>0</v>
      </c>
      <c r="X40" s="56">
        <v>1.1296870836E8</v>
      </c>
    </row>
    <row r="41">
      <c r="A41" s="4" t="s">
        <v>70</v>
      </c>
      <c r="B41" s="58">
        <v>1.53005238987E9</v>
      </c>
      <c r="C41" s="13">
        <f t="shared" si="23"/>
        <v>-0.00542357168</v>
      </c>
      <c r="D41" s="154">
        <v>1.52175404106E9</v>
      </c>
      <c r="E41" s="13">
        <f t="shared" si="24"/>
        <v>-0.002442411894</v>
      </c>
      <c r="F41" s="154">
        <v>1.51803729089E9</v>
      </c>
      <c r="G41" s="13">
        <f t="shared" si="25"/>
        <v>0.008974574756</v>
      </c>
      <c r="H41" s="154">
        <v>1.53166103004E9</v>
      </c>
      <c r="I41" s="13">
        <f t="shared" si="26"/>
        <v>-0.02345835053</v>
      </c>
      <c r="J41" s="154">
        <v>1.4957307887E9</v>
      </c>
      <c r="K41" s="13">
        <f t="shared" si="27"/>
        <v>0.00352552593</v>
      </c>
      <c r="L41" s="154">
        <v>1.50100402638E9</v>
      </c>
      <c r="M41" s="13">
        <f t="shared" si="28"/>
        <v>-0.02112136773</v>
      </c>
      <c r="N41" s="58">
        <v>1.46930076838E9</v>
      </c>
      <c r="O41" s="13">
        <f t="shared" si="29"/>
        <v>-0.002336650149</v>
      </c>
      <c r="P41" s="58">
        <v>1.46586752652E9</v>
      </c>
      <c r="Q41" s="13">
        <f t="shared" si="30"/>
        <v>0</v>
      </c>
      <c r="R41" s="58">
        <v>1.46586752652E9</v>
      </c>
      <c r="S41" s="13">
        <f t="shared" si="31"/>
        <v>0</v>
      </c>
      <c r="T41" s="58">
        <v>1.46586752652E9</v>
      </c>
      <c r="U41" s="13">
        <f t="shared" si="32"/>
        <v>0.002342122871</v>
      </c>
      <c r="V41" s="58">
        <v>1.46930076838E9</v>
      </c>
      <c r="W41" s="13">
        <f t="shared" si="33"/>
        <v>0</v>
      </c>
      <c r="X41" s="58">
        <v>1.46930076838E9</v>
      </c>
    </row>
    <row r="42">
      <c r="A42" s="4" t="s">
        <v>71</v>
      </c>
      <c r="B42" s="58">
        <v>131436.67</v>
      </c>
      <c r="C42" s="13">
        <f t="shared" si="23"/>
        <v>4.008745961</v>
      </c>
      <c r="D42" s="154">
        <v>658332.89</v>
      </c>
      <c r="E42" s="13">
        <f t="shared" si="24"/>
        <v>-0.4492190114</v>
      </c>
      <c r="F42" s="154">
        <v>362597.24</v>
      </c>
      <c r="G42" s="13">
        <f t="shared" si="25"/>
        <v>-0.581470587</v>
      </c>
      <c r="H42" s="154">
        <v>151757.61</v>
      </c>
      <c r="I42" s="13">
        <f t="shared" si="26"/>
        <v>8.1555806</v>
      </c>
      <c r="J42" s="154">
        <v>1389429.03</v>
      </c>
      <c r="K42" s="13">
        <f t="shared" si="27"/>
        <v>27.84673461</v>
      </c>
      <c r="L42" s="154">
        <v>4.008049049E7</v>
      </c>
      <c r="M42" s="13">
        <f t="shared" si="28"/>
        <v>-0.9929733599</v>
      </c>
      <c r="N42" s="58">
        <v>281631.18</v>
      </c>
      <c r="O42" s="13">
        <f t="shared" si="29"/>
        <v>-0.4025893369</v>
      </c>
      <c r="P42" s="58">
        <v>168249.47</v>
      </c>
      <c r="Q42" s="13">
        <f t="shared" si="30"/>
        <v>0</v>
      </c>
      <c r="R42" s="58">
        <v>168249.47</v>
      </c>
      <c r="S42" s="13">
        <f t="shared" si="31"/>
        <v>0</v>
      </c>
      <c r="T42" s="58">
        <v>168249.47</v>
      </c>
      <c r="U42" s="13">
        <f t="shared" si="32"/>
        <v>0.6738904438</v>
      </c>
      <c r="V42" s="58">
        <v>281631.18</v>
      </c>
      <c r="W42" s="13">
        <f t="shared" si="33"/>
        <v>0</v>
      </c>
      <c r="X42" s="58">
        <v>281631.18</v>
      </c>
    </row>
    <row r="43">
      <c r="A43" s="59" t="s">
        <v>72</v>
      </c>
      <c r="B43" s="24">
        <f>SUM(B40:B42)</f>
        <v>1592520685</v>
      </c>
      <c r="C43" s="13">
        <f t="shared" si="23"/>
        <v>0.002253083557</v>
      </c>
      <c r="D43" s="22">
        <f>SUM(D40:D42)</f>
        <v>1596108767</v>
      </c>
      <c r="E43" s="13">
        <f t="shared" si="24"/>
        <v>0.003761792012</v>
      </c>
      <c r="F43" s="22">
        <f>SUM(F40:F42)</f>
        <v>1602112996</v>
      </c>
      <c r="G43" s="13">
        <f t="shared" si="25"/>
        <v>-0.0008472218833</v>
      </c>
      <c r="H43" s="22">
        <f>SUM(H40:H42)</f>
        <v>1600755651</v>
      </c>
      <c r="I43" s="13">
        <f t="shared" si="26"/>
        <v>0.004188367203</v>
      </c>
      <c r="J43" s="22">
        <f>SUM(J40:J42)</f>
        <v>1607460204</v>
      </c>
      <c r="K43" s="13">
        <f t="shared" si="27"/>
        <v>-0.006865675091</v>
      </c>
      <c r="L43" s="22">
        <f>SUM(L40:L42)</f>
        <v>1596423904</v>
      </c>
      <c r="M43" s="13">
        <f t="shared" si="28"/>
        <v>-0.00868992013</v>
      </c>
      <c r="N43" s="24">
        <f>SUM(N40:N42)</f>
        <v>1582551108</v>
      </c>
      <c r="O43" s="13">
        <f t="shared" si="29"/>
        <v>0.00538910828</v>
      </c>
      <c r="P43" s="24">
        <f>SUM(P40:P42)</f>
        <v>1591079647</v>
      </c>
      <c r="Q43" s="13">
        <f t="shared" si="30"/>
        <v>0</v>
      </c>
      <c r="R43" s="24">
        <f>SUM(R40:R42)</f>
        <v>1591079647</v>
      </c>
      <c r="S43" s="13">
        <f t="shared" si="31"/>
        <v>0</v>
      </c>
      <c r="T43" s="24">
        <f>SUM(T40:T42)</f>
        <v>1591079647</v>
      </c>
      <c r="U43" s="13">
        <f t="shared" si="32"/>
        <v>-0.005360221467</v>
      </c>
      <c r="V43" s="24">
        <f>SUM(V40:V42)</f>
        <v>1582551108</v>
      </c>
      <c r="W43" s="13">
        <f t="shared" si="33"/>
        <v>0</v>
      </c>
      <c r="X43" s="24">
        <f>SUM(X40:X42)</f>
        <v>1582551108</v>
      </c>
    </row>
    <row r="44">
      <c r="B44" s="40"/>
      <c r="D44" s="156"/>
      <c r="F44" s="156"/>
      <c r="H44" s="156"/>
      <c r="J44" s="156"/>
      <c r="L44" s="156"/>
    </row>
    <row r="45">
      <c r="A45" s="25" t="s">
        <v>73</v>
      </c>
      <c r="B45" s="15">
        <v>0.0</v>
      </c>
      <c r="C45" s="13">
        <f t="shared" ref="C45:C48" si="34">IFERROR(SUM((D45/B45)-1),0)</f>
        <v>0</v>
      </c>
      <c r="D45" s="22">
        <v>0.0</v>
      </c>
      <c r="E45" s="13">
        <f t="shared" ref="E45:E48" si="35">IFERROR(SUM((F45/D45)-1),0)</f>
        <v>0</v>
      </c>
      <c r="F45" s="22">
        <v>0.0</v>
      </c>
      <c r="G45" s="13">
        <f t="shared" ref="G45:G48" si="36">IFERROR(SUM((H45/F45)-1),0)</f>
        <v>0</v>
      </c>
      <c r="H45" s="22">
        <v>0.0</v>
      </c>
      <c r="I45" s="13">
        <f t="shared" ref="I45:I48" si="37">IFERROR(SUM((J45/H45)-1),0)</f>
        <v>0</v>
      </c>
      <c r="J45" s="22">
        <v>0.0</v>
      </c>
      <c r="K45" s="13">
        <f t="shared" ref="K45:K48" si="38">IFERROR(SUM((L45/J45)-1),0)</f>
        <v>0</v>
      </c>
      <c r="L45" s="22">
        <v>0.0</v>
      </c>
      <c r="M45" s="13">
        <f t="shared" ref="M45:M48" si="39">IFERROR(SUM((N45/L45)-1),0)</f>
        <v>0</v>
      </c>
      <c r="N45" s="15">
        <v>0.0</v>
      </c>
      <c r="O45" s="13">
        <f t="shared" ref="O45:O48" si="40">IFERROR(SUM((P45/N45)-1),0)</f>
        <v>0</v>
      </c>
      <c r="P45" s="15">
        <v>0.0</v>
      </c>
      <c r="Q45" s="13">
        <f t="shared" ref="Q45:Q48" si="41">IFERROR(SUM((R45/P45)-1),0)</f>
        <v>0</v>
      </c>
      <c r="R45" s="15">
        <v>0.0</v>
      </c>
      <c r="S45" s="13">
        <f t="shared" ref="S45:S48" si="42">IFERROR(SUM((T45/R45)-1),0)</f>
        <v>0</v>
      </c>
      <c r="T45" s="15">
        <v>0.0</v>
      </c>
      <c r="U45" s="13">
        <f t="shared" ref="U45:U48" si="43">IFERROR(SUM((V45/T45)-1),0)</f>
        <v>0</v>
      </c>
      <c r="V45" s="15">
        <v>0.0</v>
      </c>
      <c r="W45" s="13">
        <f t="shared" ref="W45:W48" si="44">IFERROR(SUM((X45/V45)-1),0)</f>
        <v>0</v>
      </c>
      <c r="X45" s="15">
        <v>0.0</v>
      </c>
    </row>
    <row r="46">
      <c r="A46" s="25" t="s">
        <v>74</v>
      </c>
      <c r="B46" s="15">
        <v>0.0</v>
      </c>
      <c r="C46" s="13">
        <f t="shared" si="34"/>
        <v>0</v>
      </c>
      <c r="D46" s="22">
        <v>0.0</v>
      </c>
      <c r="E46" s="13">
        <f t="shared" si="35"/>
        <v>0</v>
      </c>
      <c r="F46" s="22">
        <v>0.0</v>
      </c>
      <c r="G46" s="13">
        <f t="shared" si="36"/>
        <v>0</v>
      </c>
      <c r="H46" s="22">
        <v>0.0</v>
      </c>
      <c r="I46" s="13">
        <f t="shared" si="37"/>
        <v>0</v>
      </c>
      <c r="J46" s="22">
        <v>0.0</v>
      </c>
      <c r="K46" s="13">
        <f t="shared" si="38"/>
        <v>0</v>
      </c>
      <c r="L46" s="22">
        <v>0.0</v>
      </c>
      <c r="M46" s="13">
        <f t="shared" si="39"/>
        <v>0</v>
      </c>
      <c r="N46" s="15">
        <v>0.0</v>
      </c>
      <c r="O46" s="13">
        <f t="shared" si="40"/>
        <v>0</v>
      </c>
      <c r="P46" s="15">
        <v>0.0</v>
      </c>
      <c r="Q46" s="13">
        <f t="shared" si="41"/>
        <v>0</v>
      </c>
      <c r="R46" s="15">
        <v>0.0</v>
      </c>
      <c r="S46" s="13">
        <f t="shared" si="42"/>
        <v>0</v>
      </c>
      <c r="T46" s="15">
        <v>0.0</v>
      </c>
      <c r="U46" s="13">
        <f t="shared" si="43"/>
        <v>0</v>
      </c>
      <c r="V46" s="15">
        <v>0.0</v>
      </c>
      <c r="W46" s="13">
        <f t="shared" si="44"/>
        <v>0</v>
      </c>
      <c r="X46" s="15">
        <v>0.0</v>
      </c>
    </row>
    <row r="47">
      <c r="A47" s="25" t="s">
        <v>75</v>
      </c>
      <c r="B47" s="26">
        <f>SUM(B45:B46)</f>
        <v>0</v>
      </c>
      <c r="C47" s="27">
        <f t="shared" si="34"/>
        <v>0</v>
      </c>
      <c r="D47" s="61">
        <f>SUM(D45:D46)</f>
        <v>0</v>
      </c>
      <c r="E47" s="27">
        <f t="shared" si="35"/>
        <v>0</v>
      </c>
      <c r="F47" s="61">
        <f>SUM(F45:F46)</f>
        <v>0</v>
      </c>
      <c r="G47" s="27">
        <f t="shared" si="36"/>
        <v>0</v>
      </c>
      <c r="H47" s="61">
        <f>SUM(H45:H46)</f>
        <v>0</v>
      </c>
      <c r="I47" s="27">
        <f t="shared" si="37"/>
        <v>0</v>
      </c>
      <c r="J47" s="61">
        <f>SUM(J45:J46)</f>
        <v>0</v>
      </c>
      <c r="K47" s="27">
        <f t="shared" si="38"/>
        <v>0</v>
      </c>
      <c r="L47" s="61">
        <f>SUM(L45:L46)</f>
        <v>0</v>
      </c>
      <c r="M47" s="27">
        <f t="shared" si="39"/>
        <v>0</v>
      </c>
      <c r="N47" s="26">
        <f>SUM(N45:N46)</f>
        <v>0</v>
      </c>
      <c r="O47" s="27">
        <f t="shared" si="40"/>
        <v>0</v>
      </c>
      <c r="P47" s="26">
        <f>SUM(P45:P46)</f>
        <v>0</v>
      </c>
      <c r="Q47" s="27">
        <f t="shared" si="41"/>
        <v>0</v>
      </c>
      <c r="R47" s="26">
        <f>SUM(R45:R46)</f>
        <v>0</v>
      </c>
      <c r="S47" s="27">
        <f t="shared" si="42"/>
        <v>0</v>
      </c>
      <c r="T47" s="26">
        <f>SUM(T45:T46)</f>
        <v>0</v>
      </c>
      <c r="U47" s="27">
        <f t="shared" si="43"/>
        <v>0</v>
      </c>
      <c r="V47" s="26">
        <f>SUM(V45:V46)</f>
        <v>0</v>
      </c>
      <c r="W47" s="27">
        <f t="shared" si="44"/>
        <v>0</v>
      </c>
      <c r="X47" s="26">
        <f>SUM(X45:X46)</f>
        <v>0</v>
      </c>
    </row>
    <row r="48">
      <c r="A48" s="1" t="s">
        <v>77</v>
      </c>
      <c r="B48" s="13">
        <f>B47/B43</f>
        <v>0</v>
      </c>
      <c r="C48" s="13">
        <f t="shared" si="34"/>
        <v>0</v>
      </c>
      <c r="D48" s="13">
        <f>D47/D43</f>
        <v>0</v>
      </c>
      <c r="E48" s="13">
        <f t="shared" si="35"/>
        <v>0</v>
      </c>
      <c r="F48" s="13">
        <f>F47/F43</f>
        <v>0</v>
      </c>
      <c r="G48" s="13">
        <f t="shared" si="36"/>
        <v>0</v>
      </c>
      <c r="H48" s="13">
        <f>H47/H43</f>
        <v>0</v>
      </c>
      <c r="I48" s="13">
        <f t="shared" si="37"/>
        <v>0</v>
      </c>
      <c r="J48" s="13">
        <f>J47/J43</f>
        <v>0</v>
      </c>
      <c r="K48" s="13">
        <f t="shared" si="38"/>
        <v>0</v>
      </c>
      <c r="L48" s="13">
        <f>L47/L43</f>
        <v>0</v>
      </c>
      <c r="M48" s="13">
        <f t="shared" si="39"/>
        <v>0</v>
      </c>
      <c r="N48" s="13">
        <f>N47/N43</f>
        <v>0</v>
      </c>
      <c r="O48" s="13">
        <f t="shared" si="40"/>
        <v>0</v>
      </c>
      <c r="P48" s="13">
        <f>P47/P43</f>
        <v>0</v>
      </c>
      <c r="Q48" s="13">
        <f t="shared" si="41"/>
        <v>0</v>
      </c>
      <c r="R48" s="13">
        <f>R47/R43</f>
        <v>0</v>
      </c>
      <c r="S48" s="13">
        <f t="shared" si="42"/>
        <v>0</v>
      </c>
      <c r="T48" s="13">
        <f>T47/T43</f>
        <v>0</v>
      </c>
      <c r="U48" s="13">
        <f t="shared" si="43"/>
        <v>0</v>
      </c>
      <c r="V48" s="13">
        <f>V47/V43</f>
        <v>0</v>
      </c>
      <c r="W48" s="13">
        <f t="shared" si="44"/>
        <v>0</v>
      </c>
      <c r="X48" s="13">
        <f>X47/X43</f>
        <v>0</v>
      </c>
    </row>
    <row r="49">
      <c r="D49" s="6"/>
      <c r="F49" s="6"/>
      <c r="H49" s="6"/>
      <c r="J49" s="6"/>
      <c r="L49" s="6"/>
    </row>
    <row r="50">
      <c r="A50" s="4" t="s">
        <v>79</v>
      </c>
      <c r="B50" s="15">
        <f>B32</f>
        <v>14970302</v>
      </c>
      <c r="C50" s="13">
        <f t="shared" ref="C50:C54" si="45">IFERROR(SUM((D50/B50)-1),0)</f>
        <v>-0.05681815905</v>
      </c>
      <c r="D50" s="22">
        <f>D32</f>
        <v>14119717</v>
      </c>
      <c r="E50" s="13">
        <f t="shared" ref="E50:E54" si="46">IFERROR(SUM((F50/D50)-1),0)</f>
        <v>-0.03614456295</v>
      </c>
      <c r="F50" s="22">
        <f>F32</f>
        <v>13609366</v>
      </c>
      <c r="G50" s="13">
        <f t="shared" ref="G50:G54" si="47">IFERROR(SUM((H50/F50)-1),0)</f>
        <v>0.06249997245</v>
      </c>
      <c r="H50" s="22">
        <f>H32</f>
        <v>14459951</v>
      </c>
      <c r="I50" s="13">
        <f t="shared" ref="I50:I54" si="48">IFERROR(SUM((J50/H50)-1),0)</f>
        <v>0.047058804</v>
      </c>
      <c r="J50" s="22">
        <f>J32</f>
        <v>15140419</v>
      </c>
      <c r="K50" s="13">
        <f t="shared" ref="K50:K54" si="49">IFERROR(SUM((L50/J50)-1),0)</f>
        <v>0</v>
      </c>
      <c r="L50" s="22">
        <f>L32</f>
        <v>15140419</v>
      </c>
      <c r="M50" s="13">
        <f t="shared" ref="M50:M54" si="50">IFERROR(SUM((N50/L50)-1),0)</f>
        <v>0.2022471769</v>
      </c>
      <c r="N50" s="15">
        <f>N32</f>
        <v>18202526</v>
      </c>
      <c r="O50" s="13">
        <f t="shared" ref="O50:O54" si="51">IFERROR(SUM((P50/N50)-1),0)</f>
        <v>-0.06542053559</v>
      </c>
      <c r="P50" s="15">
        <f>P32</f>
        <v>17011707</v>
      </c>
      <c r="Q50" s="13">
        <f t="shared" ref="Q50:Q54" si="52">IFERROR(SUM((R50/P50)-1),0)</f>
        <v>0</v>
      </c>
      <c r="R50" s="15">
        <f>R32</f>
        <v>17011707</v>
      </c>
      <c r="S50" s="13">
        <f t="shared" ref="S50:S54" si="53">IFERROR(SUM((T50/R50)-1),0)</f>
        <v>0</v>
      </c>
      <c r="T50" s="15">
        <f>T32</f>
        <v>17011707</v>
      </c>
      <c r="U50" s="13">
        <f t="shared" ref="U50:U54" si="54">IFERROR(SUM((V50/T50)-1),0)</f>
        <v>0.0699999712</v>
      </c>
      <c r="V50" s="15">
        <f>V32</f>
        <v>18202526</v>
      </c>
      <c r="W50" s="13">
        <f>IFERROR(SUM((X50/#REF!)-1),0)</f>
        <v>0</v>
      </c>
      <c r="X50" s="15">
        <f>X32</f>
        <v>18202526</v>
      </c>
    </row>
    <row r="51">
      <c r="A51" s="65" t="s">
        <v>80</v>
      </c>
      <c r="B51" s="67">
        <v>1234631.26</v>
      </c>
      <c r="C51" s="68">
        <f t="shared" si="45"/>
        <v>-0.01932854025</v>
      </c>
      <c r="D51" s="197">
        <v>1210767.64</v>
      </c>
      <c r="E51" s="68">
        <f t="shared" si="46"/>
        <v>-0.1461737861</v>
      </c>
      <c r="F51" s="197">
        <v>1033785.15</v>
      </c>
      <c r="G51" s="68">
        <f t="shared" si="47"/>
        <v>0.2279578112</v>
      </c>
      <c r="H51" s="197">
        <v>1269444.55</v>
      </c>
      <c r="I51" s="68">
        <f t="shared" si="48"/>
        <v>-0.09948580267</v>
      </c>
      <c r="J51" s="197">
        <v>1143152.84</v>
      </c>
      <c r="K51" s="68">
        <f t="shared" si="49"/>
        <v>-0.01281453318</v>
      </c>
      <c r="L51" s="197">
        <v>1128503.87</v>
      </c>
      <c r="M51" s="68">
        <f t="shared" si="50"/>
        <v>0.02456795297</v>
      </c>
      <c r="N51" s="67">
        <v>1156228.9</v>
      </c>
      <c r="O51" s="68">
        <f t="shared" si="51"/>
        <v>0.03529974904</v>
      </c>
      <c r="P51" s="67">
        <v>1197043.49</v>
      </c>
      <c r="Q51" s="68">
        <f t="shared" si="52"/>
        <v>0</v>
      </c>
      <c r="R51" s="67">
        <v>1197043.49</v>
      </c>
      <c r="S51" s="68">
        <f t="shared" si="53"/>
        <v>0</v>
      </c>
      <c r="T51" s="67">
        <v>1197043.49</v>
      </c>
      <c r="U51" s="68">
        <f t="shared" si="54"/>
        <v>-0.03409616304</v>
      </c>
      <c r="V51" s="67">
        <v>1156228.9</v>
      </c>
      <c r="W51" s="68">
        <f>IFERROR(SUM((X51/V54)-1),0)</f>
        <v>14.90498652</v>
      </c>
      <c r="X51" s="67">
        <v>1156228.9</v>
      </c>
    </row>
    <row r="52">
      <c r="A52" s="1" t="s">
        <v>81</v>
      </c>
      <c r="B52" s="62">
        <f>IFERROR(B51/B26,0)</f>
        <v>0.0790620112</v>
      </c>
      <c r="C52" s="31">
        <f t="shared" si="45"/>
        <v>0.0427982087</v>
      </c>
      <c r="D52" s="31">
        <f>IFERROR(D51/D26,0)</f>
        <v>0.08244572365</v>
      </c>
      <c r="E52" s="31">
        <f t="shared" si="46"/>
        <v>-0.1196826202</v>
      </c>
      <c r="F52" s="31">
        <f>IFERROR(F51/F26,0)</f>
        <v>0.07257840342</v>
      </c>
      <c r="G52" s="31">
        <f t="shared" si="47"/>
        <v>-0.08650351491</v>
      </c>
      <c r="H52" s="31">
        <f>IFERROR(H51/H26,0)</f>
        <v>0.06630011642</v>
      </c>
      <c r="I52" s="31">
        <f t="shared" si="48"/>
        <v>-0.1633757779</v>
      </c>
      <c r="J52" s="31">
        <f>IFERROR(J51/J26,0)</f>
        <v>0.05546828332</v>
      </c>
      <c r="K52" s="31">
        <f t="shared" si="49"/>
        <v>1.619574103</v>
      </c>
      <c r="L52" s="31">
        <f>IFERROR(L51/L26,0)</f>
        <v>0.1453032785</v>
      </c>
      <c r="M52" s="31">
        <f t="shared" si="50"/>
        <v>-0.5790604083</v>
      </c>
      <c r="N52" s="62">
        <f>IFERROR(N51/N26,0)</f>
        <v>0.06116390273</v>
      </c>
      <c r="O52" s="31">
        <f t="shared" si="51"/>
        <v>0.05805411125</v>
      </c>
      <c r="P52" s="62">
        <f>IFERROR(P51/P26,0)</f>
        <v>0.06471471874</v>
      </c>
      <c r="Q52" s="31">
        <f t="shared" si="52"/>
        <v>0</v>
      </c>
      <c r="R52" s="62">
        <f>IFERROR(R51/R26,0)</f>
        <v>0.06471471874</v>
      </c>
      <c r="S52" s="31">
        <f t="shared" si="53"/>
        <v>0</v>
      </c>
      <c r="T52" s="62">
        <f>IFERROR(T51/T26,0)</f>
        <v>0.06471471874</v>
      </c>
      <c r="U52" s="31">
        <f t="shared" si="54"/>
        <v>-0.05486875447</v>
      </c>
      <c r="V52" s="62">
        <f>IFERROR(V51/V26,0)</f>
        <v>0.06116390273</v>
      </c>
      <c r="W52" s="31">
        <f>IFERROR(SUM((X52/V52)-1),0)</f>
        <v>0</v>
      </c>
      <c r="X52" s="62">
        <f>IFERROR(X51/X26,0)</f>
        <v>0.06116390273</v>
      </c>
      <c r="Y52" s="13"/>
    </row>
    <row r="53">
      <c r="A53" s="25" t="s">
        <v>82</v>
      </c>
      <c r="B53" s="63">
        <f>IFERROR(B51/(B71*B34),0)*12</f>
        <v>0.01028951646</v>
      </c>
      <c r="C53" s="27">
        <f t="shared" si="45"/>
        <v>-0.06432158321</v>
      </c>
      <c r="D53" s="27">
        <f>IFERROR(D51/(D71*D34),0)*12</f>
        <v>0.009627678468</v>
      </c>
      <c r="E53" s="27">
        <f t="shared" si="46"/>
        <v>-0.1064890476</v>
      </c>
      <c r="F53" s="27">
        <f>IFERROR(F51/(F71*F34),0)*12</f>
        <v>0.008602436157</v>
      </c>
      <c r="G53" s="27">
        <f t="shared" si="47"/>
        <v>0.2229086425</v>
      </c>
      <c r="H53" s="27">
        <f>IFERROR(H51/(H71*H34),0)*12</f>
        <v>0.01051999352</v>
      </c>
      <c r="I53" s="27">
        <f t="shared" si="48"/>
        <v>-0.105684652</v>
      </c>
      <c r="J53" s="27">
        <f>IFERROR(J51/(J71*J34),0)*12</f>
        <v>0.009408191669</v>
      </c>
      <c r="K53" s="27">
        <f t="shared" si="49"/>
        <v>0.01198022199</v>
      </c>
      <c r="L53" s="27">
        <f>IFERROR(L51/(L71*L34),0)*12</f>
        <v>0.009520903894</v>
      </c>
      <c r="M53" s="27">
        <f t="shared" si="50"/>
        <v>0.09126275857</v>
      </c>
      <c r="N53" s="63">
        <f>IFERROR(N51/(N71*N34),0)*12</f>
        <v>0.01038980785</v>
      </c>
      <c r="O53" s="27">
        <f t="shared" si="51"/>
        <v>0.06963714529</v>
      </c>
      <c r="P53" s="63">
        <f>IFERROR(P51/(P71*P34),0)*12</f>
        <v>0.01111332441</v>
      </c>
      <c r="Q53" s="27">
        <f t="shared" si="52"/>
        <v>0</v>
      </c>
      <c r="R53" s="63">
        <f>IFERROR(R51/(R71*R34),0)*12</f>
        <v>0.01111332441</v>
      </c>
      <c r="S53" s="27">
        <f t="shared" si="53"/>
        <v>0</v>
      </c>
      <c r="T53" s="63">
        <f>IFERROR(T51/(T71*T34),0)*12</f>
        <v>0.01111332441</v>
      </c>
      <c r="U53" s="27">
        <f t="shared" si="54"/>
        <v>-0.06510352188</v>
      </c>
      <c r="V53" s="63">
        <f>IFERROR(V51/(V71*V34),0)*12</f>
        <v>0.01038980785</v>
      </c>
      <c r="W53" s="27">
        <f>IFERROR(SUM((X53/V57)-1),0)</f>
        <v>-0.164215119</v>
      </c>
      <c r="X53" s="63">
        <f>IFERROR(X51/(X71*X34),0)*12</f>
        <v>0.01038980785</v>
      </c>
    </row>
    <row r="54">
      <c r="A54" s="65" t="s">
        <v>83</v>
      </c>
      <c r="B54" s="67">
        <v>114979.61</v>
      </c>
      <c r="C54" s="68">
        <f t="shared" si="45"/>
        <v>0.1283743265</v>
      </c>
      <c r="D54" s="197">
        <v>129740.04</v>
      </c>
      <c r="E54" s="68">
        <f t="shared" si="46"/>
        <v>0.08635892204</v>
      </c>
      <c r="F54" s="197">
        <v>140944.25</v>
      </c>
      <c r="G54" s="68">
        <f t="shared" si="47"/>
        <v>0.07448207359</v>
      </c>
      <c r="H54" s="197">
        <v>151442.07</v>
      </c>
      <c r="I54" s="68">
        <f t="shared" si="48"/>
        <v>-0.2135171554</v>
      </c>
      <c r="J54" s="197">
        <v>119106.59</v>
      </c>
      <c r="K54" s="68">
        <f t="shared" si="49"/>
        <v>-0.480708918</v>
      </c>
      <c r="L54" s="197">
        <v>61850.99</v>
      </c>
      <c r="M54" s="68">
        <f t="shared" si="50"/>
        <v>0.1753409283</v>
      </c>
      <c r="N54" s="67">
        <v>72696.0</v>
      </c>
      <c r="O54" s="68">
        <f t="shared" si="51"/>
        <v>0.115771982</v>
      </c>
      <c r="P54" s="67">
        <v>81112.16</v>
      </c>
      <c r="Q54" s="68">
        <f t="shared" si="52"/>
        <v>0</v>
      </c>
      <c r="R54" s="67">
        <v>81112.16</v>
      </c>
      <c r="S54" s="68">
        <f t="shared" si="53"/>
        <v>0</v>
      </c>
      <c r="T54" s="67">
        <v>81112.16</v>
      </c>
      <c r="U54" s="68">
        <f t="shared" si="54"/>
        <v>-0.1037595349</v>
      </c>
      <c r="V54" s="67">
        <v>72696.0</v>
      </c>
      <c r="W54" s="68">
        <f>IFERROR(SUM((X54/V56)-1),0)</f>
        <v>-0.9962588486</v>
      </c>
      <c r="X54" s="67">
        <v>72696.0</v>
      </c>
    </row>
    <row r="55">
      <c r="B55" s="15"/>
      <c r="C55" s="13"/>
      <c r="D55" s="136"/>
      <c r="E55" s="13"/>
      <c r="F55" s="136"/>
      <c r="G55" s="13"/>
      <c r="H55" s="136"/>
      <c r="I55" s="13"/>
      <c r="J55" s="136"/>
      <c r="K55" s="13"/>
      <c r="L55" s="136"/>
      <c r="M55" s="13"/>
      <c r="N55" s="15"/>
      <c r="O55" s="13"/>
      <c r="P55" s="15"/>
      <c r="Q55" s="13"/>
      <c r="R55" s="15"/>
      <c r="S55" s="13"/>
      <c r="T55" s="15"/>
      <c r="U55" s="13"/>
      <c r="V55" s="15"/>
      <c r="W55" s="13"/>
      <c r="X55" s="15"/>
    </row>
    <row r="56">
      <c r="A56" s="25" t="s">
        <v>84</v>
      </c>
      <c r="B56" s="24">
        <f>SUM(B47,B50,B51,B54)</f>
        <v>16319912.87</v>
      </c>
      <c r="C56" s="13">
        <f t="shared" ref="C56:C58" si="55">IFERROR(SUM((D56/B56)-1),0)</f>
        <v>-0.05267725366</v>
      </c>
      <c r="D56" s="22">
        <f>SUM(D47,D50,D51,D54)</f>
        <v>15460224.68</v>
      </c>
      <c r="E56" s="13">
        <f t="shared" ref="E56:E58" si="56">IFERROR(SUM((F56/D56)-1),0)</f>
        <v>-0.0437334705</v>
      </c>
      <c r="F56" s="22">
        <f>SUM(F47,F50,F51,F54)</f>
        <v>14784095.4</v>
      </c>
      <c r="G56" s="13">
        <f t="shared" ref="G56:G58" si="57">IFERROR(SUM((H56/F56)-1),0)</f>
        <v>0.07418392471</v>
      </c>
      <c r="H56" s="22">
        <f>SUM(H47,H50,H51,H54)</f>
        <v>15880837.62</v>
      </c>
      <c r="I56" s="13">
        <f t="shared" ref="I56:I58" si="58">IFERROR(SUM((J56/H56)-1),0)</f>
        <v>0.03285977871</v>
      </c>
      <c r="J56" s="22">
        <f>SUM(J47,J50,J51,J54)</f>
        <v>16402678.43</v>
      </c>
      <c r="K56" s="13">
        <f t="shared" ref="K56:K58" si="59">IFERROR(SUM((L56/J56)-1),0)</f>
        <v>-0.004383709057</v>
      </c>
      <c r="L56" s="22">
        <f>SUM(L47,L50,L51,L54)</f>
        <v>16330773.86</v>
      </c>
      <c r="M56" s="13">
        <f t="shared" ref="M56:M58" si="60">IFERROR(SUM((N56/L56)-1),0)</f>
        <v>0.1898671224</v>
      </c>
      <c r="N56" s="24">
        <f>SUM(N47,N50,N51,N54)</f>
        <v>19431450.9</v>
      </c>
      <c r="O56" s="13">
        <f t="shared" ref="O56:O58" si="61">IFERROR(SUM((P56/N56)-1),0)</f>
        <v>-0.0587495116</v>
      </c>
      <c r="P56" s="24">
        <f>SUM(P47,P50,P51,P54)</f>
        <v>18289862.65</v>
      </c>
      <c r="Q56" s="13">
        <f t="shared" ref="Q56:Q58" si="62">IFERROR(SUM((R56/P56)-1),0)</f>
        <v>0</v>
      </c>
      <c r="R56" s="24">
        <f>SUM(R47,R50,R51,R54)</f>
        <v>18289862.65</v>
      </c>
      <c r="S56" s="13">
        <f t="shared" ref="S56:S58" si="63">IFERROR(SUM((T56/R56)-1),0)</f>
        <v>0</v>
      </c>
      <c r="T56" s="24">
        <f>SUM(T47,T50,T51,T54)</f>
        <v>18289862.65</v>
      </c>
      <c r="U56" s="13">
        <f t="shared" ref="U56:U58" si="64">IFERROR(SUM((V56/T56)-1),0)</f>
        <v>0.0624164474</v>
      </c>
      <c r="V56" s="24">
        <f>SUM(V47,V50,V51,V54)</f>
        <v>19431450.9</v>
      </c>
      <c r="W56" s="13">
        <f>IFERROR(SUM((X56/#REF!)-1),0)</f>
        <v>0</v>
      </c>
      <c r="X56" s="24">
        <f>SUM(X47,X50,X51,X54)</f>
        <v>19431450.9</v>
      </c>
    </row>
    <row r="57">
      <c r="A57" s="4" t="s">
        <v>85</v>
      </c>
      <c r="B57" s="13">
        <f>(B43/B58)-1</f>
        <v>0.01035395564</v>
      </c>
      <c r="C57" s="13">
        <f t="shared" si="55"/>
        <v>-0.05534291521</v>
      </c>
      <c r="D57" s="13">
        <f>(D43/D58)-1</f>
        <v>0.009780937549</v>
      </c>
      <c r="E57" s="13">
        <f t="shared" si="56"/>
        <v>-0.04775796928</v>
      </c>
      <c r="F57" s="13">
        <f>(F43/F58)-1</f>
        <v>0.009313819834</v>
      </c>
      <c r="G57" s="13">
        <f t="shared" si="57"/>
        <v>0.07584723667</v>
      </c>
      <c r="H57" s="13">
        <f>(H43/H58)-1</f>
        <v>0.01002024733</v>
      </c>
      <c r="I57" s="13">
        <f t="shared" si="58"/>
        <v>0.02884617512</v>
      </c>
      <c r="J57" s="13">
        <f>(J43/J58)-1</f>
        <v>0.01030929314</v>
      </c>
      <c r="K57" s="13">
        <f t="shared" si="59"/>
        <v>0.002524953466</v>
      </c>
      <c r="L57" s="13">
        <f>(L43/L58)-1</f>
        <v>0.01033532363</v>
      </c>
      <c r="M57" s="13">
        <f t="shared" si="60"/>
        <v>0.2027875522</v>
      </c>
      <c r="N57" s="13">
        <f>(N43/N58)-1</f>
        <v>0.01243119861</v>
      </c>
      <c r="O57" s="13">
        <f t="shared" si="61"/>
        <v>-0.06453668821</v>
      </c>
      <c r="P57" s="13">
        <f>(P43/P58)-1</f>
        <v>0.01162893022</v>
      </c>
      <c r="Q57" s="13">
        <f t="shared" si="62"/>
        <v>0</v>
      </c>
      <c r="R57" s="13">
        <f>(R43/R58)-1</f>
        <v>0.01162893022</v>
      </c>
      <c r="S57" s="13">
        <f t="shared" si="63"/>
        <v>0</v>
      </c>
      <c r="T57" s="13">
        <f>(T43/T58)-1</f>
        <v>0.01162893022</v>
      </c>
      <c r="U57" s="13">
        <f t="shared" si="64"/>
        <v>0.06898901047</v>
      </c>
      <c r="V57" s="13">
        <f>(V43/V58)-1</f>
        <v>0.01243119861</v>
      </c>
      <c r="W57" s="13">
        <f>IFERROR(SUM((X57/V58)-1),0)</f>
        <v>-1</v>
      </c>
      <c r="X57" s="13">
        <f>(X43/X58)-1</f>
        <v>0.01243119861</v>
      </c>
    </row>
    <row r="58">
      <c r="A58" s="28" t="s">
        <v>87</v>
      </c>
      <c r="B58" s="22">
        <f>SUM(B43-B56)</f>
        <v>1576200772</v>
      </c>
      <c r="C58" s="13">
        <f t="shared" si="55"/>
        <v>0.002821829832</v>
      </c>
      <c r="D58" s="22">
        <f>SUM(D43-D56)</f>
        <v>1580648542</v>
      </c>
      <c r="E58" s="13">
        <f t="shared" si="56"/>
        <v>0.004226340208</v>
      </c>
      <c r="F58" s="22">
        <f>SUM(F43-F56)</f>
        <v>1587328901</v>
      </c>
      <c r="G58" s="13">
        <f t="shared" si="57"/>
        <v>-0.001546048465</v>
      </c>
      <c r="H58" s="22">
        <f>SUM(H43-H56)</f>
        <v>1584874814</v>
      </c>
      <c r="I58" s="13">
        <f t="shared" si="58"/>
        <v>0.003901072569</v>
      </c>
      <c r="J58" s="22">
        <f>SUM(J43-J56)</f>
        <v>1591057525</v>
      </c>
      <c r="K58" s="13">
        <f t="shared" si="59"/>
        <v>-0.006891262407</v>
      </c>
      <c r="L58" s="22">
        <f>SUM(L43-L56)</f>
        <v>1580093130</v>
      </c>
      <c r="M58" s="13">
        <f t="shared" si="60"/>
        <v>-0.01074207142</v>
      </c>
      <c r="N58" s="22">
        <f>SUM(N43-N56)</f>
        <v>1563119657</v>
      </c>
      <c r="O58" s="13">
        <f t="shared" si="61"/>
        <v>0.006186428202</v>
      </c>
      <c r="P58" s="22">
        <f>SUM(P43-P56)</f>
        <v>1572789785</v>
      </c>
      <c r="Q58" s="13">
        <f t="shared" si="62"/>
        <v>0</v>
      </c>
      <c r="R58" s="22">
        <f>SUM(R43-R56)</f>
        <v>1572789785</v>
      </c>
      <c r="S58" s="13">
        <f t="shared" si="63"/>
        <v>0</v>
      </c>
      <c r="T58" s="22">
        <f>SUM(T43-T56)</f>
        <v>1572789785</v>
      </c>
      <c r="U58" s="13">
        <f t="shared" si="64"/>
        <v>-0.006148391619</v>
      </c>
      <c r="V58" s="22">
        <f>SUM(V43-V56)</f>
        <v>1563119657</v>
      </c>
      <c r="W58" s="13">
        <f>IFERROR(SUM((X58/V58)-1),0)</f>
        <v>0</v>
      </c>
      <c r="X58" s="22">
        <f>SUM(X43-X56)</f>
        <v>1563119657</v>
      </c>
    </row>
    <row r="59">
      <c r="A59" s="52"/>
      <c r="B59" s="2" t="s">
        <v>1</v>
      </c>
      <c r="C59" s="3">
        <f>$C$1</f>
        <v>46052</v>
      </c>
      <c r="D59" s="2" t="s">
        <v>1</v>
      </c>
      <c r="E59" s="3">
        <f>$E$1</f>
        <v>46085</v>
      </c>
      <c r="F59" s="2" t="s">
        <v>1</v>
      </c>
      <c r="G59" s="3">
        <f>$G$1</f>
        <v>46105</v>
      </c>
      <c r="H59" s="2" t="s">
        <v>1</v>
      </c>
      <c r="I59" s="3">
        <f>$I$1</f>
        <v>46142</v>
      </c>
      <c r="J59" s="2" t="s">
        <v>1</v>
      </c>
      <c r="K59" s="3">
        <f>$K$1</f>
        <v>46163</v>
      </c>
      <c r="L59" s="2" t="s">
        <v>1</v>
      </c>
      <c r="M59" s="3">
        <f>$M$1</f>
        <v>46192</v>
      </c>
      <c r="N59" s="2" t="s">
        <v>1</v>
      </c>
      <c r="O59" s="3">
        <f>$O$1</f>
        <v>46224</v>
      </c>
      <c r="P59" s="2" t="s">
        <v>2</v>
      </c>
      <c r="Q59" s="3">
        <f>$Q$1</f>
        <v>46195</v>
      </c>
      <c r="R59" s="2" t="s">
        <v>3</v>
      </c>
      <c r="S59" s="3">
        <f>$S$1</f>
        <v>46195</v>
      </c>
      <c r="T59" s="2" t="s">
        <v>3</v>
      </c>
      <c r="U59" s="3">
        <f>$U$1</f>
        <v>46195</v>
      </c>
      <c r="V59" s="2" t="s">
        <v>3</v>
      </c>
      <c r="W59" s="3">
        <f>$W$1</f>
        <v>46195</v>
      </c>
      <c r="X59" s="2" t="s">
        <v>3</v>
      </c>
      <c r="Y59" s="3">
        <f>$Y$1</f>
        <v>46195</v>
      </c>
    </row>
    <row r="60">
      <c r="A60" s="1" t="s">
        <v>247</v>
      </c>
      <c r="B60" s="1" t="s">
        <v>5</v>
      </c>
      <c r="C60" s="53"/>
      <c r="D60" s="54" t="s">
        <v>6</v>
      </c>
      <c r="E60" s="55"/>
      <c r="F60" s="54" t="s">
        <v>7</v>
      </c>
      <c r="G60" s="55"/>
      <c r="H60" s="54" t="s">
        <v>8</v>
      </c>
      <c r="I60" s="55"/>
      <c r="J60" s="54" t="s">
        <v>9</v>
      </c>
      <c r="K60" s="55"/>
      <c r="L60" s="54" t="s">
        <v>10</v>
      </c>
      <c r="M60" s="55"/>
      <c r="N60" s="54" t="s">
        <v>11</v>
      </c>
      <c r="O60" s="55"/>
      <c r="P60" s="1" t="s">
        <v>12</v>
      </c>
      <c r="Q60" s="53"/>
      <c r="R60" s="1" t="s">
        <v>13</v>
      </c>
      <c r="S60" s="53"/>
      <c r="T60" s="1" t="s">
        <v>14</v>
      </c>
      <c r="U60" s="53"/>
      <c r="V60" s="1" t="s">
        <v>15</v>
      </c>
      <c r="W60" s="53"/>
      <c r="X60" s="1" t="s">
        <v>16</v>
      </c>
    </row>
    <row r="61">
      <c r="A61" s="4" t="s">
        <v>248</v>
      </c>
    </row>
    <row r="62">
      <c r="A62" s="176" t="s">
        <v>249</v>
      </c>
      <c r="B62" s="176">
        <v>113.0</v>
      </c>
      <c r="C62" s="177">
        <f t="shared" ref="C62:C73" si="65">IFERROR(SUM((D62/B62)-1),0)</f>
        <v>-0.01769911504</v>
      </c>
      <c r="D62" s="176">
        <v>111.0</v>
      </c>
      <c r="E62" s="177">
        <f t="shared" ref="E62:E73" si="66">IFERROR(SUM((F62/D62)-1),0)</f>
        <v>0</v>
      </c>
      <c r="F62" s="176">
        <v>111.0</v>
      </c>
      <c r="G62" s="177">
        <f t="shared" ref="G62:G73" si="67">IFERROR(SUM((H62/F62)-1),0)</f>
        <v>-0.01801801802</v>
      </c>
      <c r="H62" s="176">
        <v>109.0</v>
      </c>
      <c r="I62" s="177">
        <f t="shared" ref="I62:I73" si="68">IFERROR(SUM((J62/H62)-1),0)</f>
        <v>-0.04587155963</v>
      </c>
      <c r="J62" s="176">
        <v>104.0</v>
      </c>
      <c r="K62" s="177">
        <f t="shared" ref="K62:K73" si="69">IFERROR(SUM((L62/J62)-1),0)</f>
        <v>-0.1442307692</v>
      </c>
      <c r="L62" s="176">
        <v>89.0</v>
      </c>
      <c r="M62" s="177">
        <f t="shared" ref="M62:M73" si="70">IFERROR(SUM((N62/L62)-1),0)</f>
        <v>-0.03370786517</v>
      </c>
      <c r="N62" s="176">
        <v>86.0</v>
      </c>
      <c r="O62" s="177">
        <f t="shared" ref="O62:O73" si="71">IFERROR(SUM((P62/N62)-1),0)</f>
        <v>0</v>
      </c>
      <c r="P62" s="176">
        <v>86.0</v>
      </c>
      <c r="Q62" s="177">
        <f t="shared" ref="Q62:Q73" si="72">IFERROR(SUM((R62/P62)-1),0)</f>
        <v>0</v>
      </c>
      <c r="R62" s="176">
        <v>86.0</v>
      </c>
      <c r="S62" s="177">
        <f t="shared" ref="S62:S73" si="73">IFERROR(SUM((T62/R62)-1),0)</f>
        <v>0</v>
      </c>
      <c r="T62" s="176">
        <v>86.0</v>
      </c>
      <c r="U62" s="177">
        <f t="shared" ref="U62:U73" si="74">IFERROR(SUM((V62/T62)-1),0)</f>
        <v>0</v>
      </c>
      <c r="V62" s="176">
        <v>86.0</v>
      </c>
      <c r="W62" s="177">
        <f t="shared" ref="W62:W73" si="75">IFERROR(SUM((X62/V62)-1),0)</f>
        <v>0</v>
      </c>
      <c r="X62" s="176">
        <v>86.0</v>
      </c>
      <c r="Y62" s="180"/>
    </row>
    <row r="63">
      <c r="A63" s="172" t="s">
        <v>251</v>
      </c>
      <c r="B63" s="172">
        <v>5.2</v>
      </c>
      <c r="C63" s="181">
        <f t="shared" si="65"/>
        <v>-0.03846153846</v>
      </c>
      <c r="D63" s="172">
        <v>5.0</v>
      </c>
      <c r="E63" s="181">
        <f t="shared" si="66"/>
        <v>0</v>
      </c>
      <c r="F63" s="172">
        <v>5.0</v>
      </c>
      <c r="G63" s="181">
        <f t="shared" si="67"/>
        <v>0</v>
      </c>
      <c r="H63" s="172">
        <v>5.0</v>
      </c>
      <c r="I63" s="181">
        <f t="shared" si="68"/>
        <v>0</v>
      </c>
      <c r="J63" s="172">
        <v>5.0</v>
      </c>
      <c r="K63" s="181">
        <f t="shared" si="69"/>
        <v>0.06</v>
      </c>
      <c r="L63" s="172">
        <v>5.3</v>
      </c>
      <c r="M63" s="181">
        <f t="shared" si="70"/>
        <v>1</v>
      </c>
      <c r="N63" s="172">
        <v>10.6</v>
      </c>
      <c r="O63" s="181">
        <f t="shared" si="71"/>
        <v>-0.009433962264</v>
      </c>
      <c r="P63" s="172">
        <v>10.5</v>
      </c>
      <c r="Q63" s="181">
        <f t="shared" si="72"/>
        <v>0</v>
      </c>
      <c r="R63" s="172">
        <v>10.5</v>
      </c>
      <c r="S63" s="181">
        <f t="shared" si="73"/>
        <v>0</v>
      </c>
      <c r="T63" s="172">
        <v>10.5</v>
      </c>
      <c r="U63" s="181">
        <f t="shared" si="74"/>
        <v>0.009523809524</v>
      </c>
      <c r="V63" s="172">
        <v>10.6</v>
      </c>
      <c r="W63" s="181">
        <f t="shared" si="75"/>
        <v>0</v>
      </c>
      <c r="X63" s="172">
        <v>10.6</v>
      </c>
    </row>
    <row r="64">
      <c r="A64" s="16" t="s">
        <v>252</v>
      </c>
      <c r="B64" s="64">
        <v>0.06</v>
      </c>
      <c r="C64" s="18">
        <f t="shared" si="65"/>
        <v>0</v>
      </c>
      <c r="D64" s="64">
        <v>0.06</v>
      </c>
      <c r="E64" s="18">
        <f t="shared" si="66"/>
        <v>0</v>
      </c>
      <c r="F64" s="64">
        <v>0.06</v>
      </c>
      <c r="G64" s="18">
        <f t="shared" si="67"/>
        <v>-0.1666666667</v>
      </c>
      <c r="H64" s="64">
        <v>0.05</v>
      </c>
      <c r="I64" s="18">
        <f t="shared" si="68"/>
        <v>0</v>
      </c>
      <c r="J64" s="64">
        <v>0.05</v>
      </c>
      <c r="K64" s="18">
        <f t="shared" si="69"/>
        <v>0</v>
      </c>
      <c r="L64" s="64">
        <v>0.05</v>
      </c>
      <c r="M64" s="18">
        <f t="shared" si="70"/>
        <v>-0.2</v>
      </c>
      <c r="N64" s="64">
        <v>0.04</v>
      </c>
      <c r="O64" s="18">
        <f t="shared" si="71"/>
        <v>0</v>
      </c>
      <c r="P64" s="64">
        <v>0.04</v>
      </c>
      <c r="Q64" s="18">
        <f t="shared" si="72"/>
        <v>0</v>
      </c>
      <c r="R64" s="64">
        <v>0.04</v>
      </c>
      <c r="S64" s="18">
        <f t="shared" si="73"/>
        <v>0</v>
      </c>
      <c r="T64" s="64">
        <v>0.04</v>
      </c>
      <c r="U64" s="18">
        <f t="shared" si="74"/>
        <v>0</v>
      </c>
      <c r="V64" s="64">
        <v>0.04</v>
      </c>
      <c r="W64" s="18">
        <f t="shared" si="75"/>
        <v>0</v>
      </c>
      <c r="X64" s="64">
        <v>0.04</v>
      </c>
    </row>
    <row r="65">
      <c r="A65" s="172" t="s">
        <v>271</v>
      </c>
      <c r="B65" s="183">
        <v>10.3</v>
      </c>
      <c r="C65" s="181">
        <f t="shared" si="65"/>
        <v>0.02912621359</v>
      </c>
      <c r="D65" s="183">
        <v>10.6</v>
      </c>
      <c r="E65" s="181">
        <f t="shared" si="66"/>
        <v>-0.01886792453</v>
      </c>
      <c r="F65" s="183">
        <v>10.4</v>
      </c>
      <c r="G65" s="181">
        <f t="shared" si="67"/>
        <v>-0.009615384615</v>
      </c>
      <c r="H65" s="183">
        <v>10.3</v>
      </c>
      <c r="I65" s="181">
        <f t="shared" si="68"/>
        <v>0.02912621359</v>
      </c>
      <c r="J65" s="183">
        <v>10.6</v>
      </c>
      <c r="K65" s="181">
        <f t="shared" si="69"/>
        <v>-0.05660377358</v>
      </c>
      <c r="L65" s="183">
        <v>10.0</v>
      </c>
      <c r="M65" s="181">
        <f t="shared" si="70"/>
        <v>0.04</v>
      </c>
      <c r="N65" s="183">
        <v>10.4</v>
      </c>
      <c r="O65" s="181">
        <f t="shared" si="71"/>
        <v>0.009615384615</v>
      </c>
      <c r="P65" s="183">
        <v>10.5</v>
      </c>
      <c r="Q65" s="181">
        <f t="shared" si="72"/>
        <v>0</v>
      </c>
      <c r="R65" s="183">
        <v>10.5</v>
      </c>
      <c r="S65" s="181">
        <f t="shared" si="73"/>
        <v>0</v>
      </c>
      <c r="T65" s="183">
        <v>10.5</v>
      </c>
      <c r="U65" s="181">
        <f t="shared" si="74"/>
        <v>-0.009523809524</v>
      </c>
      <c r="V65" s="183">
        <v>10.4</v>
      </c>
      <c r="W65" s="181">
        <f t="shared" si="75"/>
        <v>0</v>
      </c>
      <c r="X65" s="183">
        <v>10.4</v>
      </c>
    </row>
    <row r="66">
      <c r="A66" s="16" t="s">
        <v>272</v>
      </c>
      <c r="B66" s="64">
        <v>0.88</v>
      </c>
      <c r="C66" s="18">
        <f t="shared" si="65"/>
        <v>0.02272727273</v>
      </c>
      <c r="D66" s="64">
        <v>0.9</v>
      </c>
      <c r="E66" s="18">
        <f t="shared" si="66"/>
        <v>0</v>
      </c>
      <c r="F66" s="64">
        <v>0.9</v>
      </c>
      <c r="G66" s="18">
        <f t="shared" si="67"/>
        <v>0</v>
      </c>
      <c r="H66" s="64">
        <v>0.9</v>
      </c>
      <c r="I66" s="18">
        <f t="shared" si="68"/>
        <v>0.01111111111</v>
      </c>
      <c r="J66" s="64">
        <v>0.91</v>
      </c>
      <c r="K66" s="18">
        <f t="shared" si="69"/>
        <v>0.01098901099</v>
      </c>
      <c r="L66" s="64">
        <v>0.92</v>
      </c>
      <c r="M66" s="18">
        <f t="shared" si="70"/>
        <v>0.01086956522</v>
      </c>
      <c r="N66" s="64">
        <v>0.93</v>
      </c>
      <c r="O66" s="18">
        <f t="shared" si="71"/>
        <v>0</v>
      </c>
      <c r="P66" s="64">
        <v>0.93</v>
      </c>
      <c r="Q66" s="18">
        <f t="shared" si="72"/>
        <v>0</v>
      </c>
      <c r="R66" s="64">
        <v>0.93</v>
      </c>
      <c r="S66" s="18">
        <f t="shared" si="73"/>
        <v>0</v>
      </c>
      <c r="T66" s="64">
        <v>0.93</v>
      </c>
      <c r="U66" s="18">
        <f t="shared" si="74"/>
        <v>0</v>
      </c>
      <c r="V66" s="64">
        <v>0.93</v>
      </c>
      <c r="W66" s="18">
        <f t="shared" si="75"/>
        <v>0</v>
      </c>
      <c r="X66" s="64">
        <v>0.93</v>
      </c>
    </row>
    <row r="67">
      <c r="A67" s="172" t="s">
        <v>273</v>
      </c>
      <c r="B67" s="183">
        <v>9.1</v>
      </c>
      <c r="C67" s="181">
        <f t="shared" si="65"/>
        <v>0.04395604396</v>
      </c>
      <c r="D67" s="183">
        <v>9.5</v>
      </c>
      <c r="E67" s="181">
        <f t="shared" si="66"/>
        <v>0.05263157895</v>
      </c>
      <c r="F67" s="183">
        <v>10.0</v>
      </c>
      <c r="G67" s="181">
        <f t="shared" si="67"/>
        <v>0</v>
      </c>
      <c r="H67" s="183">
        <v>10.0</v>
      </c>
      <c r="I67" s="181">
        <f t="shared" si="68"/>
        <v>-0.02</v>
      </c>
      <c r="J67" s="183">
        <v>9.8</v>
      </c>
      <c r="K67" s="181">
        <f t="shared" si="69"/>
        <v>0.09183673469</v>
      </c>
      <c r="L67" s="183">
        <v>10.7</v>
      </c>
      <c r="M67" s="181">
        <f t="shared" si="70"/>
        <v>0.04672897196</v>
      </c>
      <c r="N67" s="183">
        <v>11.2</v>
      </c>
      <c r="O67" s="181">
        <f t="shared" si="71"/>
        <v>-0.02678571429</v>
      </c>
      <c r="P67" s="183">
        <v>10.9</v>
      </c>
      <c r="Q67" s="181">
        <f t="shared" si="72"/>
        <v>0</v>
      </c>
      <c r="R67" s="183">
        <v>10.9</v>
      </c>
      <c r="S67" s="181">
        <f t="shared" si="73"/>
        <v>0</v>
      </c>
      <c r="T67" s="183">
        <v>10.9</v>
      </c>
      <c r="U67" s="181">
        <f t="shared" si="74"/>
        <v>0.02752293578</v>
      </c>
      <c r="V67" s="183">
        <v>11.2</v>
      </c>
      <c r="W67" s="181">
        <f t="shared" si="75"/>
        <v>0</v>
      </c>
      <c r="X67" s="183">
        <v>11.2</v>
      </c>
    </row>
    <row r="68">
      <c r="A68" s="16" t="s">
        <v>274</v>
      </c>
      <c r="B68" s="64">
        <v>0.02</v>
      </c>
      <c r="C68" s="18">
        <f t="shared" si="65"/>
        <v>0</v>
      </c>
      <c r="D68" s="64">
        <v>0.02</v>
      </c>
      <c r="E68" s="18">
        <f t="shared" si="66"/>
        <v>0.5</v>
      </c>
      <c r="F68" s="64">
        <v>0.03</v>
      </c>
      <c r="G68" s="18">
        <f t="shared" si="67"/>
        <v>0</v>
      </c>
      <c r="H68" s="64">
        <v>0.03</v>
      </c>
      <c r="I68" s="18">
        <f t="shared" si="68"/>
        <v>0</v>
      </c>
      <c r="J68" s="64">
        <v>0.03</v>
      </c>
      <c r="K68" s="18">
        <f t="shared" si="69"/>
        <v>0</v>
      </c>
      <c r="L68" s="64">
        <v>0.03</v>
      </c>
      <c r="M68" s="18">
        <f t="shared" si="70"/>
        <v>0</v>
      </c>
      <c r="N68" s="64">
        <v>0.03</v>
      </c>
      <c r="O68" s="18">
        <f t="shared" si="71"/>
        <v>0</v>
      </c>
      <c r="P68" s="64">
        <v>0.03</v>
      </c>
      <c r="Q68" s="18">
        <f t="shared" si="72"/>
        <v>0</v>
      </c>
      <c r="R68" s="64">
        <v>0.03</v>
      </c>
      <c r="S68" s="18">
        <f t="shared" si="73"/>
        <v>0</v>
      </c>
      <c r="T68" s="64">
        <v>0.03</v>
      </c>
      <c r="U68" s="18">
        <f t="shared" si="74"/>
        <v>0</v>
      </c>
      <c r="V68" s="64">
        <v>0.03</v>
      </c>
      <c r="W68" s="18">
        <f t="shared" si="75"/>
        <v>0</v>
      </c>
      <c r="X68" s="64">
        <v>0.03</v>
      </c>
    </row>
    <row r="69">
      <c r="A69" s="176" t="s">
        <v>255</v>
      </c>
      <c r="B69" s="184">
        <v>8.0</v>
      </c>
      <c r="C69" s="177">
        <f t="shared" si="65"/>
        <v>0</v>
      </c>
      <c r="D69" s="184">
        <v>8.0</v>
      </c>
      <c r="E69" s="177">
        <f t="shared" si="66"/>
        <v>0</v>
      </c>
      <c r="F69" s="184">
        <v>8.0</v>
      </c>
      <c r="G69" s="177">
        <f t="shared" si="67"/>
        <v>0</v>
      </c>
      <c r="H69" s="184">
        <v>8.0</v>
      </c>
      <c r="I69" s="177">
        <f t="shared" si="68"/>
        <v>0</v>
      </c>
      <c r="J69" s="184">
        <v>8.0</v>
      </c>
      <c r="K69" s="177">
        <f t="shared" si="69"/>
        <v>0</v>
      </c>
      <c r="L69" s="184">
        <v>8.0</v>
      </c>
      <c r="M69" s="177">
        <f t="shared" si="70"/>
        <v>0</v>
      </c>
      <c r="N69" s="184">
        <v>8.0</v>
      </c>
      <c r="O69" s="177">
        <f t="shared" si="71"/>
        <v>0</v>
      </c>
      <c r="P69" s="184">
        <v>8.0</v>
      </c>
      <c r="Q69" s="177">
        <f t="shared" si="72"/>
        <v>0</v>
      </c>
      <c r="R69" s="184">
        <v>8.0</v>
      </c>
      <c r="S69" s="177">
        <f t="shared" si="73"/>
        <v>0</v>
      </c>
      <c r="T69" s="184">
        <v>8.0</v>
      </c>
      <c r="U69" s="177">
        <f t="shared" si="74"/>
        <v>0</v>
      </c>
      <c r="V69" s="184">
        <v>8.0</v>
      </c>
      <c r="W69" s="177">
        <f t="shared" si="75"/>
        <v>0</v>
      </c>
      <c r="X69" s="184">
        <v>8.0</v>
      </c>
      <c r="Y69" s="180"/>
    </row>
    <row r="70">
      <c r="A70" s="59" t="s">
        <v>258</v>
      </c>
      <c r="B70" s="15">
        <v>58.0</v>
      </c>
      <c r="C70" s="159">
        <f t="shared" si="65"/>
        <v>-0.1034482759</v>
      </c>
      <c r="D70" s="15">
        <v>52.0</v>
      </c>
      <c r="E70" s="159">
        <f t="shared" si="66"/>
        <v>0.07692307692</v>
      </c>
      <c r="F70" s="15">
        <v>56.0</v>
      </c>
      <c r="G70" s="159">
        <f t="shared" si="67"/>
        <v>0.01785714286</v>
      </c>
      <c r="H70" s="15">
        <v>57.0</v>
      </c>
      <c r="I70" s="159">
        <f t="shared" si="68"/>
        <v>-0.08771929825</v>
      </c>
      <c r="J70" s="15">
        <v>52.0</v>
      </c>
      <c r="K70" s="159">
        <f t="shared" si="69"/>
        <v>0.09615384615</v>
      </c>
      <c r="L70" s="15">
        <v>57.0</v>
      </c>
      <c r="M70" s="159">
        <f t="shared" si="70"/>
        <v>0.01754385965</v>
      </c>
      <c r="N70" s="15">
        <v>58.0</v>
      </c>
      <c r="O70" s="159">
        <f t="shared" si="71"/>
        <v>0</v>
      </c>
      <c r="P70" s="15">
        <v>58.0</v>
      </c>
      <c r="Q70" s="159">
        <f t="shared" si="72"/>
        <v>0</v>
      </c>
      <c r="R70" s="15">
        <v>58.0</v>
      </c>
      <c r="S70" s="159">
        <f t="shared" si="73"/>
        <v>0</v>
      </c>
      <c r="T70" s="15">
        <v>58.0</v>
      </c>
      <c r="U70" s="159">
        <f t="shared" si="74"/>
        <v>0</v>
      </c>
      <c r="V70" s="15">
        <v>58.0</v>
      </c>
      <c r="W70" s="159">
        <f t="shared" si="75"/>
        <v>0</v>
      </c>
      <c r="X70" s="15">
        <v>58.0</v>
      </c>
    </row>
    <row r="71">
      <c r="A71" s="4" t="s">
        <v>113</v>
      </c>
      <c r="B71" s="75">
        <v>84.64</v>
      </c>
      <c r="C71" s="13">
        <f t="shared" si="65"/>
        <v>0.04808601134</v>
      </c>
      <c r="D71" s="75">
        <v>88.71</v>
      </c>
      <c r="E71" s="13">
        <f t="shared" si="66"/>
        <v>-0.04441438395</v>
      </c>
      <c r="F71" s="75">
        <v>84.77</v>
      </c>
      <c r="G71" s="13">
        <f t="shared" si="67"/>
        <v>0.004128819158</v>
      </c>
      <c r="H71" s="75">
        <v>85.12</v>
      </c>
      <c r="I71" s="13">
        <f t="shared" si="68"/>
        <v>0.006931390977</v>
      </c>
      <c r="J71" s="75">
        <v>85.71</v>
      </c>
      <c r="K71" s="13">
        <f t="shared" si="69"/>
        <v>-0.02450122506</v>
      </c>
      <c r="L71" s="75">
        <v>83.61</v>
      </c>
      <c r="M71" s="13">
        <f t="shared" si="70"/>
        <v>-0.06111709126</v>
      </c>
      <c r="N71" s="75">
        <v>78.5</v>
      </c>
      <c r="O71" s="13">
        <f t="shared" si="71"/>
        <v>-0.03210191083</v>
      </c>
      <c r="P71" s="75">
        <v>75.98</v>
      </c>
      <c r="Q71" s="13">
        <f t="shared" si="72"/>
        <v>0</v>
      </c>
      <c r="R71" s="75">
        <v>75.98</v>
      </c>
      <c r="S71" s="13">
        <f t="shared" si="73"/>
        <v>0</v>
      </c>
      <c r="T71" s="75">
        <v>75.98</v>
      </c>
      <c r="U71" s="13">
        <f t="shared" si="74"/>
        <v>0.0331666228</v>
      </c>
      <c r="V71" s="75">
        <v>78.5</v>
      </c>
      <c r="W71" s="13">
        <f t="shared" si="75"/>
        <v>0</v>
      </c>
      <c r="X71" s="75">
        <v>78.5</v>
      </c>
      <c r="Y71" s="13"/>
    </row>
    <row r="72">
      <c r="A72" s="4" t="s">
        <v>116</v>
      </c>
      <c r="B72" s="75">
        <v>92.65</v>
      </c>
      <c r="C72" s="13">
        <f t="shared" si="65"/>
        <v>0.0029141932</v>
      </c>
      <c r="D72" s="75">
        <v>92.92</v>
      </c>
      <c r="E72" s="13">
        <f t="shared" si="66"/>
        <v>0.004197158846</v>
      </c>
      <c r="F72" s="75">
        <v>93.31</v>
      </c>
      <c r="G72" s="13">
        <f t="shared" si="67"/>
        <v>-0.001607544743</v>
      </c>
      <c r="H72" s="75">
        <v>93.16</v>
      </c>
      <c r="I72" s="13">
        <f t="shared" si="68"/>
        <v>0.003971661657</v>
      </c>
      <c r="J72" s="75">
        <v>93.53</v>
      </c>
      <c r="K72" s="13">
        <f t="shared" si="69"/>
        <v>-0.006949641826</v>
      </c>
      <c r="L72" s="75">
        <v>92.88</v>
      </c>
      <c r="M72" s="13">
        <f t="shared" si="70"/>
        <v>-0.01076658053</v>
      </c>
      <c r="N72" s="75">
        <v>91.88</v>
      </c>
      <c r="O72" s="13">
        <f t="shared" si="71"/>
        <v>0.006203744014</v>
      </c>
      <c r="P72" s="75">
        <v>92.45</v>
      </c>
      <c r="Q72" s="13">
        <f t="shared" si="72"/>
        <v>0</v>
      </c>
      <c r="R72" s="75">
        <v>92.45</v>
      </c>
      <c r="S72" s="13">
        <f t="shared" si="73"/>
        <v>0</v>
      </c>
      <c r="T72" s="75">
        <v>92.45</v>
      </c>
      <c r="U72" s="13">
        <f t="shared" si="74"/>
        <v>-0.006165494862</v>
      </c>
      <c r="V72" s="75">
        <v>91.88</v>
      </c>
      <c r="W72" s="13">
        <f t="shared" si="75"/>
        <v>0</v>
      </c>
      <c r="X72" s="75">
        <v>91.88</v>
      </c>
      <c r="Y72" s="13"/>
    </row>
    <row r="73">
      <c r="A73" s="4" t="s">
        <v>119</v>
      </c>
      <c r="B73" s="24">
        <f>B71/B72</f>
        <v>0.9135456017</v>
      </c>
      <c r="C73" s="13">
        <f t="shared" si="65"/>
        <v>0.04504056124</v>
      </c>
      <c r="D73" s="24">
        <f>D71/D72</f>
        <v>0.9546922084</v>
      </c>
      <c r="E73" s="13">
        <f t="shared" si="66"/>
        <v>-0.0484083652</v>
      </c>
      <c r="F73" s="24">
        <f>F71/F72</f>
        <v>0.9084771193</v>
      </c>
      <c r="G73" s="13">
        <f t="shared" si="67"/>
        <v>0.00574560021</v>
      </c>
      <c r="H73" s="24">
        <f>H71/H72</f>
        <v>0.9136968656</v>
      </c>
      <c r="I73" s="13">
        <f t="shared" si="68"/>
        <v>0.002948020779</v>
      </c>
      <c r="J73" s="24">
        <f>J71/J72</f>
        <v>0.916390463</v>
      </c>
      <c r="K73" s="13">
        <f t="shared" si="69"/>
        <v>-0.01767441408</v>
      </c>
      <c r="L73" s="24">
        <f>L71/L72</f>
        <v>0.9001937984</v>
      </c>
      <c r="M73" s="13">
        <f t="shared" si="70"/>
        <v>-0.05089851367</v>
      </c>
      <c r="N73" s="24">
        <f>N71/N72</f>
        <v>0.8543752721</v>
      </c>
      <c r="O73" s="13">
        <f t="shared" si="71"/>
        <v>-0.03806948152</v>
      </c>
      <c r="P73" s="24">
        <f>P71/P72</f>
        <v>0.8218496485</v>
      </c>
      <c r="Q73" s="13">
        <f t="shared" si="72"/>
        <v>0</v>
      </c>
      <c r="R73" s="24">
        <f>R71/R72</f>
        <v>0.8218496485</v>
      </c>
      <c r="S73" s="13">
        <f t="shared" si="73"/>
        <v>0</v>
      </c>
      <c r="T73" s="24">
        <f>T71/T72</f>
        <v>0.8218496485</v>
      </c>
      <c r="U73" s="13">
        <f t="shared" si="74"/>
        <v>0.03957612405</v>
      </c>
      <c r="V73" s="24">
        <f>V71/V72</f>
        <v>0.8543752721</v>
      </c>
      <c r="W73" s="13">
        <f t="shared" si="75"/>
        <v>0</v>
      </c>
      <c r="X73" s="24">
        <f>X71/X72</f>
        <v>0.8543752721</v>
      </c>
      <c r="Y73" s="13"/>
    </row>
    <row r="74">
      <c r="A74" s="4" t="s">
        <v>121</v>
      </c>
      <c r="B74" s="4" t="s">
        <v>270</v>
      </c>
      <c r="C74" s="187"/>
      <c r="D74" s="187"/>
      <c r="E74" s="187"/>
      <c r="F74" s="187"/>
    </row>
    <row r="75">
      <c r="A75" s="5" t="s">
        <v>123</v>
      </c>
      <c r="B75" s="4" t="s">
        <v>275</v>
      </c>
      <c r="F75" s="6"/>
      <c r="G75" s="6"/>
    </row>
    <row r="76">
      <c r="A76" s="4" t="s">
        <v>125</v>
      </c>
      <c r="B76" s="90">
        <v>0.0</v>
      </c>
      <c r="D76" s="6"/>
      <c r="E76" s="6"/>
      <c r="F76" s="6"/>
      <c r="G76" s="6"/>
    </row>
    <row r="77" ht="22.5" customHeight="1">
      <c r="A77" s="4" t="s">
        <v>126</v>
      </c>
      <c r="B77" s="42">
        <f>SUM(B26,D26,F26,H26,J26,L26,N26,P26,R26,T26,V26,X26)</f>
        <v>204270979</v>
      </c>
      <c r="D77" s="86" t="s">
        <v>128</v>
      </c>
      <c r="E77" s="86" t="s">
        <v>113</v>
      </c>
      <c r="F77" s="86" t="s">
        <v>116</v>
      </c>
      <c r="G77" s="86" t="s">
        <v>119</v>
      </c>
      <c r="H77" s="86" t="s">
        <v>129</v>
      </c>
      <c r="I77" s="86" t="s">
        <v>131</v>
      </c>
      <c r="J77" s="87" t="s">
        <v>132</v>
      </c>
      <c r="K77" s="87" t="s">
        <v>133</v>
      </c>
      <c r="L77" s="198" t="s">
        <v>134</v>
      </c>
    </row>
    <row r="78" ht="22.5" customHeight="1">
      <c r="A78" s="4" t="s">
        <v>135</v>
      </c>
      <c r="B78" s="42">
        <f>SUM(B51,D51,F51,H51,J51,L51,N51,P51,R51,T51,V51,X51)</f>
        <v>14080102.48</v>
      </c>
      <c r="D78" s="175" t="s">
        <v>276</v>
      </c>
      <c r="E78" s="199">
        <f>IFERROR(__xludf.DUMMYFUNCTION("GOOGLEFINANCE(D78)"),71.61)</f>
        <v>71.61</v>
      </c>
      <c r="F78" s="199">
        <f t="array" ref="F78">IFERROR(INDEX(Indicador_Fii[], MATCH(D78, Indicador_Fii[Fii], 0), MATCH(Indicador_Fii[[#HEADERS],[VP/Cota]], Indicador_Fii[#HEADERS], 0)),"")</f>
        <v>100.81</v>
      </c>
      <c r="G78" s="200">
        <f t="shared" ref="G78:G80" si="76">E78/F78</f>
        <v>0.7103461958</v>
      </c>
      <c r="H78" s="115">
        <f t="shared" ref="H78:H80" si="77">I78/F78</f>
        <v>0</v>
      </c>
      <c r="I78" s="201" t="str">
        <f t="array" ref="I78">IFERROR(INDEX(FCD[], MATCH(D78, FCD[FIIs], 0), MATCH(FCD[[#HEADERS],[Preço_Justo]], FCD[#HEADERS], 0)),"")</f>
        <v/>
      </c>
      <c r="J78" s="98">
        <f t="array" ref="J78">IFERROR(INDEX(Indicador_Fii[], MATCH(D78, Indicador_Fii[Fii], 0), MATCH(Indicador_Fii[[#HEADERS],[FFO_Yield]], Indicador_Fii[#HEADERS], 0)),"")</f>
        <v>16.74</v>
      </c>
      <c r="K78" s="98">
        <f t="array" ref="K78">IFERROR(INDEX(Indicador_Fii[], MATCH(D78, Indicador_Fii[Fii], 0), MATCH(Indicador_Fii[[#HEADERS],[DIV_Yield]], Indicador_Fii[#HEADERS], 0)),"")</f>
        <v>13</v>
      </c>
      <c r="L78" s="202">
        <f>IFERROR(__xludf.DUMMYFUNCTION("GOOGLEFINANCE(D78, ""volumeavg"")"),13471.0)</f>
        <v>13471</v>
      </c>
    </row>
    <row r="79" ht="22.5" customHeight="1">
      <c r="A79" s="4" t="s">
        <v>144</v>
      </c>
      <c r="B79" s="40">
        <f>B78/B77</f>
        <v>0.06892855044</v>
      </c>
      <c r="D79" s="188" t="s">
        <v>260</v>
      </c>
      <c r="E79" s="189">
        <f>IFERROR(__xludf.DUMMYFUNCTION("GOOGLEFINANCE(D79)"),72.0)</f>
        <v>72</v>
      </c>
      <c r="F79" s="189">
        <f t="array" ref="F79">IFERROR(INDEX(Indicador_Fii[], MATCH(D79, Indicador_Fii[Fii], 0), MATCH(Indicador_Fii[[#HEADERS],[VP/Cota]], Indicador_Fii[#HEADERS], 0)),"")</f>
        <v>93.29</v>
      </c>
      <c r="G79" s="94">
        <f t="shared" si="76"/>
        <v>0.7717869011</v>
      </c>
      <c r="H79" s="94">
        <f t="shared" si="77"/>
        <v>0</v>
      </c>
      <c r="I79" s="201" t="str">
        <f t="array" ref="I79">IFERROR(INDEX(FCD[], MATCH(D79, FCD[FIIs], 0), MATCH(FCD[[#HEADERS],[Preço_Justo]], FCD[#HEADERS], 0)),"")</f>
        <v/>
      </c>
      <c r="J79" s="98">
        <f t="array" ref="J79">IFERROR(INDEX(Indicador_Fii[], MATCH(D79, Indicador_Fii[Fii], 0), MATCH(Indicador_Fii[[#HEADERS],[FFO_Yield]], Indicador_Fii[#HEADERS], 0)),"")</f>
        <v>9.51</v>
      </c>
      <c r="K79" s="98">
        <f t="array" ref="K79">IFERROR(INDEX(Indicador_Fii[], MATCH(D79, Indicador_Fii[Fii], 0), MATCH(Indicador_Fii[[#HEADERS],[DIV_Yield]], Indicador_Fii[#HEADERS], 0)),"")</f>
        <v>10.6</v>
      </c>
      <c r="L79" s="203">
        <f>IFERROR(__xludf.DUMMYFUNCTION("GOOGLEFINANCE(D79, ""volumeavg"")"),64856.0)</f>
        <v>64856</v>
      </c>
    </row>
    <row r="80" ht="22.5" customHeight="1">
      <c r="A80" s="4" t="s">
        <v>146</v>
      </c>
      <c r="B80" s="105">
        <f>IFERROR(__xludf.DUMMYFUNCTION("GOOGLEFINANCE(B74)*B82"),1.2501903474299998E9)</f>
        <v>1250190347</v>
      </c>
      <c r="D80" s="175" t="s">
        <v>270</v>
      </c>
      <c r="E80" s="131">
        <f t="array" ref="E80">IFERROR(INDEX(FCD[], MATCH(D80, FCD[FIIs], 0), MATCH(FCD[[#HEADERS],[V/Mercado]], FCD[#HEADERS], 0)),"")</f>
        <v>73.49</v>
      </c>
      <c r="F80" s="199">
        <f t="array" ref="F80">IFERROR(INDEX(Indicador_Fii[], MATCH(D80, Indicador_Fii[Fii], 0), MATCH(Indicador_Fii[[#HEADERS],[VP/Cota]], Indicador_Fii[#HEADERS], 0)),"")</f>
        <v>92.88</v>
      </c>
      <c r="G80" s="200">
        <f t="shared" si="76"/>
        <v>0.7912360034</v>
      </c>
      <c r="H80" s="115">
        <f t="shared" si="77"/>
        <v>0.8156564771</v>
      </c>
      <c r="I80" s="201">
        <f t="array" ref="I80">IFERROR(INDEX(FCD[], MATCH(D80, FCD[FIIs], 0), MATCH(FCD[[#HEADERS],[Preço_Justo]], FCD[#HEADERS], 0)),"")</f>
        <v>75.7581736</v>
      </c>
      <c r="J80" s="98">
        <f t="array" ref="J80">IFERROR(INDEX(Indicador_Fii[], MATCH(D80, Indicador_Fii[Fii], 0), MATCH(Indicador_Fii[[#HEADERS],[FFO_Yield]], Indicador_Fii[#HEADERS], 0)),"")</f>
        <v>13.27</v>
      </c>
      <c r="K80" s="98">
        <f t="array" ref="K80">IFERROR(INDEX(Indicador_Fii[], MATCH(D80, Indicador_Fii[Fii], 0), MATCH(Indicador_Fii[[#HEADERS],[DIV_Yield]], Indicador_Fii[#HEADERS], 0)),"")</f>
        <v>11.3</v>
      </c>
      <c r="L80" s="202">
        <f>IFERROR(__xludf.DUMMYFUNCTION("GOOGLEFINANCE(D80, ""volumeavg"")"),41344.0)</f>
        <v>41344</v>
      </c>
    </row>
    <row r="81" ht="22.5" customHeight="1">
      <c r="A81" s="4" t="s">
        <v>147</v>
      </c>
      <c r="B81" s="40">
        <f>B78/B80</f>
        <v>0.01126236697</v>
      </c>
      <c r="D81" s="118"/>
      <c r="E81" s="131"/>
      <c r="F81" s="131"/>
      <c r="G81" s="108"/>
      <c r="H81" s="108"/>
      <c r="I81" s="101"/>
      <c r="L81" s="203"/>
    </row>
    <row r="82" ht="22.5" customHeight="1">
      <c r="A82" s="4" t="s">
        <v>149</v>
      </c>
      <c r="B82" s="24">
        <f t="array" ref="B82">IFERROR(INDEX(Indicador_Fii[], MATCH(B74, Indicador_Fii[Fii], 0), MATCH(Indicador_Fii[[#HEADERS],[Qtd_Cotas]], Indicador_Fii[#HEADERS], 0)),"")</f>
        <v>17011707</v>
      </c>
      <c r="D82" s="118" t="s">
        <v>259</v>
      </c>
      <c r="E82" s="131">
        <f t="array" ref="E82">IFERROR(INDEX(FCD[], MATCH(D82, FCD[FIIs], 0), MATCH(FCD[[#HEADERS],[V/Mercado]], FCD[#HEADERS], 0)),"")</f>
        <v>9.16</v>
      </c>
      <c r="F82" s="131">
        <f t="array" ref="F82">IFERROR(INDEX(Indicador_Fii[], MATCH(D82, Indicador_Fii[Fii], 0), MATCH(Indicador_Fii[[#HEADERS],[VP/Cota]], Indicador_Fii[#HEADERS], 0)),"")</f>
        <v>9.37</v>
      </c>
      <c r="G82" s="108">
        <f t="shared" ref="G82:G84" si="78">E82/F82</f>
        <v>0.977588047</v>
      </c>
      <c r="H82" s="108">
        <f t="shared" ref="H82:H84" si="79">I82/F82</f>
        <v>0.9853817937</v>
      </c>
      <c r="I82" s="101">
        <f t="array" ref="I82">IFERROR(INDEX(FCD[], MATCH(D82, FCD[FIIs], 0), MATCH(FCD[[#HEADERS],[Preço_Justo]], FCD[#HEADERS], 0)),"")</f>
        <v>9.233027407</v>
      </c>
      <c r="J82" s="98">
        <f t="array" ref="J82">IFERROR(INDEX(Indicador_Fii[], MATCH(D82, Indicador_Fii[Fii], 0), MATCH(Indicador_Fii[[#HEADERS],[FFO_Yield]], Indicador_Fii[#HEADERS], 0)),"")</f>
        <v>11.46</v>
      </c>
      <c r="K82" s="98">
        <f t="array" ref="K82">IFERROR(INDEX(Indicador_Fii[], MATCH(D82, Indicador_Fii[Fii], 0), MATCH(Indicador_Fii[[#HEADERS],[DIV_Yield]], Indicador_Fii[#HEADERS], 0)),"")</f>
        <v>11.6</v>
      </c>
      <c r="L82" s="203">
        <f>IFERROR(__xludf.DUMMYFUNCTION("GOOGLEFINANCE(D82, ""volumeavg"")"),1877755.0)</f>
        <v>1877755</v>
      </c>
    </row>
    <row r="83" ht="22.5" customHeight="1">
      <c r="A83" s="4" t="s">
        <v>150</v>
      </c>
      <c r="B83" s="24">
        <f t="array" ref="B83">IFERROR(INDEX(Indicador_Fii[], MATCH(B74, Indicador_Fii[Fii], 0), MATCH(Indicador_Fii[[#HEADERS],[Patrimonio_Liq]], Indicador_Fii[#HEADERS], 0)),"")</f>
        <v>1580090000</v>
      </c>
      <c r="D83" s="175" t="s">
        <v>277</v>
      </c>
      <c r="E83" s="133">
        <f>IFERROR(__xludf.DUMMYFUNCTION("GOOGLEFINANCE(D83)"),106.86)</f>
        <v>106.86</v>
      </c>
      <c r="F83" s="133" t="str">
        <f t="array" ref="F83">IFERROR(INDEX(Indicador_Fii[], MATCH(D83, Indicador_Fii[Fii], 0), MATCH(Indicador_Fii[[#HEADERS],[VP/Cota]], Indicador_Fii[#HEADERS], 0)),"")</f>
        <v/>
      </c>
      <c r="G83" s="115" t="str">
        <f t="shared" si="78"/>
        <v>#DIV/0!</v>
      </c>
      <c r="H83" s="115" t="str">
        <f t="shared" si="79"/>
        <v>#DIV/0!</v>
      </c>
      <c r="I83" s="101" t="str">
        <f t="array" ref="I83">IFERROR(INDEX(FCD[], MATCH(D83, FCD[FIIs], 0), MATCH(FCD[[#HEADERS],[Preço_Justo]], FCD[#HEADERS], 0)),"")</f>
        <v/>
      </c>
      <c r="J83" s="98" t="str">
        <f t="array" ref="J83">IFERROR(INDEX(Indicador_Fii[], MATCH(D83, Indicador_Fii[Fii], 0), MATCH(Indicador_Fii[[#HEADERS],[FFO_Yield]], Indicador_Fii[#HEADERS], 0)),"")</f>
        <v/>
      </c>
      <c r="K83" s="98" t="str">
        <f t="array" ref="K83">IFERROR(INDEX(Indicador_Fii[], MATCH(D83, Indicador_Fii[Fii], 0), MATCH(Indicador_Fii[[#HEADERS],[DIV_Yield]], Indicador_Fii[#HEADERS], 0)),"")</f>
        <v/>
      </c>
      <c r="L83" s="203">
        <f>IFERROR(__xludf.DUMMYFUNCTION("GOOGLEFINANCE(D83, ""volumeavg"")"),190911.0)</f>
        <v>190911</v>
      </c>
    </row>
    <row r="84" ht="22.5" customHeight="1">
      <c r="A84" s="4" t="s">
        <v>151</v>
      </c>
      <c r="B84" s="40">
        <f>B77/B83</f>
        <v>0.1292780658</v>
      </c>
      <c r="D84" s="175" t="s">
        <v>281</v>
      </c>
      <c r="E84" s="199">
        <f>IFERROR(__xludf.DUMMYFUNCTION("GOOGLEFINANCE(D84)"),67.25)</f>
        <v>67.25</v>
      </c>
      <c r="F84" s="199">
        <f t="array" ref="F84">IFERROR(INDEX(Indicador_Fii[], MATCH(D84, Indicador_Fii[Fii], 0), MATCH(Indicador_Fii[[#HEADERS],[VP/Cota]], Indicador_Fii[#HEADERS], 0)),"")</f>
        <v>93.66</v>
      </c>
      <c r="G84" s="200">
        <f t="shared" si="78"/>
        <v>0.7180226351</v>
      </c>
      <c r="H84" s="115">
        <f t="shared" si="79"/>
        <v>0</v>
      </c>
      <c r="I84" s="101" t="str">
        <f t="array" ref="I84">IFERROR(INDEX(FCD[], MATCH(D84, FCD[FIIs], 0), MATCH(FCD[[#HEADERS],[Preço_Justo]], FCD[#HEADERS], 0)),"")</f>
        <v/>
      </c>
      <c r="J84" s="98">
        <f t="array" ref="J84">IFERROR(INDEX(Indicador_Fii[], MATCH(D84, Indicador_Fii[Fii], 0), MATCH(Indicador_Fii[[#HEADERS],[FFO_Yield]], Indicador_Fii[#HEADERS], 0)),"")</f>
        <v>14.79</v>
      </c>
      <c r="K84" s="98">
        <f t="array" ref="K84">IFERROR(INDEX(Indicador_Fii[], MATCH(D84, Indicador_Fii[Fii], 0), MATCH(Indicador_Fii[[#HEADERS],[DIV_Yield]], Indicador_Fii[#HEADERS], 0)),"")</f>
        <v>12.8</v>
      </c>
      <c r="L84" s="203">
        <f>IFERROR(__xludf.DUMMYFUNCTION("GOOGLEFINANCE(D84, ""volumeavg"")"),51837.0)</f>
        <v>51837</v>
      </c>
    </row>
    <row r="85">
      <c r="A85" s="4" t="s">
        <v>63</v>
      </c>
      <c r="B85" s="24">
        <f>SUM(B32,D32,F32,H32,J32,L32,N32,P32,R32,T32,V32,X32)</f>
        <v>193082873</v>
      </c>
    </row>
    <row r="86">
      <c r="A86" s="4" t="s">
        <v>152</v>
      </c>
      <c r="B86" s="40">
        <f>B85/B77</f>
        <v>0.9452290969</v>
      </c>
      <c r="H86" s="6" t="s">
        <v>159</v>
      </c>
      <c r="I86" s="123">
        <f>F78/F80</f>
        <v>1.085378984</v>
      </c>
      <c r="J86" s="6" t="s">
        <v>159</v>
      </c>
      <c r="K86" s="123">
        <f>F79/F80</f>
        <v>1.004414298</v>
      </c>
      <c r="L86" s="6" t="s">
        <v>159</v>
      </c>
      <c r="M86" s="123">
        <f>F84/F80</f>
        <v>1.008397933</v>
      </c>
    </row>
    <row r="87">
      <c r="A87" s="4" t="s">
        <v>153</v>
      </c>
      <c r="B87" s="4" t="s">
        <v>154</v>
      </c>
      <c r="H87" s="204" t="s">
        <v>270</v>
      </c>
      <c r="I87" s="42">
        <f>I88/I86</f>
        <v>65.97695467</v>
      </c>
      <c r="J87" s="204" t="s">
        <v>270</v>
      </c>
      <c r="K87" s="42">
        <f>K88/K86</f>
        <v>71.68356737</v>
      </c>
      <c r="L87" s="204" t="s">
        <v>270</v>
      </c>
      <c r="M87" s="42">
        <f>M88/M86</f>
        <v>66.68994234</v>
      </c>
    </row>
    <row r="88">
      <c r="A88" s="4" t="s">
        <v>155</v>
      </c>
      <c r="B88" s="4" t="s">
        <v>3</v>
      </c>
      <c r="H88" s="204" t="s">
        <v>276</v>
      </c>
      <c r="I88" s="42">
        <f>E78</f>
        <v>71.61</v>
      </c>
      <c r="J88" s="205" t="s">
        <v>260</v>
      </c>
      <c r="K88" s="42">
        <f>E79</f>
        <v>72</v>
      </c>
      <c r="L88" s="204" t="s">
        <v>281</v>
      </c>
      <c r="M88" s="42">
        <f>E84</f>
        <v>67.25</v>
      </c>
    </row>
    <row r="89">
      <c r="A89" s="4" t="s">
        <v>156</v>
      </c>
      <c r="B89" s="4" t="s">
        <v>3</v>
      </c>
      <c r="H89" s="4" t="s">
        <v>119</v>
      </c>
      <c r="I89" s="24">
        <f>I87/F80</f>
        <v>0.7103461958</v>
      </c>
      <c r="J89" s="4" t="s">
        <v>119</v>
      </c>
      <c r="K89" s="24">
        <f>K87/F80</f>
        <v>0.7717869011</v>
      </c>
      <c r="L89" s="4" t="s">
        <v>119</v>
      </c>
      <c r="M89" s="24">
        <f>M87/F80</f>
        <v>0.7180226351</v>
      </c>
    </row>
    <row r="90">
      <c r="B90" s="124" t="s">
        <v>282</v>
      </c>
      <c r="H90" s="6" t="s">
        <v>164</v>
      </c>
      <c r="I90" s="42">
        <f>E80-I87</f>
        <v>7.513045333</v>
      </c>
      <c r="J90" s="6" t="s">
        <v>164</v>
      </c>
      <c r="K90" s="42">
        <f>E80-K87</f>
        <v>1.806432629</v>
      </c>
      <c r="L90" s="6" t="s">
        <v>164</v>
      </c>
      <c r="M90" s="42">
        <f>E80-M87</f>
        <v>6.800057655</v>
      </c>
    </row>
    <row r="91">
      <c r="H91" s="4" t="s">
        <v>286</v>
      </c>
      <c r="I91" s="40">
        <f>I90/I88</f>
        <v>0.1049161476</v>
      </c>
      <c r="J91" s="4" t="s">
        <v>286</v>
      </c>
      <c r="K91" s="40">
        <f>K90/K88</f>
        <v>0.02508934208</v>
      </c>
      <c r="L91" s="4" t="s">
        <v>286</v>
      </c>
      <c r="M91" s="40">
        <f>M90/M88</f>
        <v>0.101116099</v>
      </c>
    </row>
  </sheetData>
  <mergeCells count="2">
    <mergeCell ref="B75:E75"/>
    <mergeCell ref="B90:G95"/>
  </mergeCells>
  <dataValidations>
    <dataValidation type="list" allowBlank="1" showErrorMessage="1" sqref="B1 D1 F1 H1 J1 L1 N1 P1 R1 T1 V1 X1 B38 D38 F38 H38 J38 L38 N38 P38 R38 T38 V38 X38 B59 D59 F59 H59 J59 L59 N59 P59 R59 T59 V59 X59">
      <formula1>"Feito,Não,Atual"</formula1>
    </dataValidation>
    <dataValidation type="list" allowBlank="1" showErrorMessage="1" sqref="B87">
      <formula1>"Bom,Normal,Cuidado_Ver_DRE"</formula1>
    </dataValidation>
    <dataValidation type="list" allowBlank="1" showErrorMessage="1" sqref="B88:B89">
      <formula1>"Feito,Não"</formula1>
    </dataValidation>
    <dataValidation type="custom" allowBlank="1" showDropDown="1" sqref="E78:G84">
      <formula1>AND(ISNUMBER(E78),(NOT(OR(NOT(ISERROR(DATEVALUE(E78))), AND(ISNUMBER(E78), LEFT(CELL("format", E78))="D")))))</formula1>
    </dataValidation>
  </dataValidations>
  <drawing r:id="rId2"/>
  <legacyDrawing r:id="rId3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0"/>
    <col customWidth="1" min="2" max="2" width="16.38"/>
    <col customWidth="1" min="3" max="3" width="16.0"/>
    <col customWidth="1" min="4" max="4" width="17.88"/>
    <col customWidth="1" min="5" max="5" width="21.75"/>
    <col customWidth="1" min="6" max="6" width="22.88"/>
    <col customWidth="1" min="7" max="7" width="16.63"/>
    <col customWidth="1" min="8" max="8" width="21.38"/>
    <col customWidth="1" min="9" max="9" width="23.25"/>
    <col customWidth="1" min="10" max="10" width="17.38"/>
    <col customWidth="1" min="11" max="11" width="18.63"/>
    <col customWidth="1" min="12" max="12" width="18.0"/>
    <col customWidth="1" min="13" max="13" width="15.25"/>
    <col customWidth="1" min="14" max="14" width="16.75"/>
    <col customWidth="1" min="15" max="15" width="15.25"/>
    <col customWidth="1" min="16" max="16" width="16.5"/>
    <col customWidth="1" min="17" max="17" width="88.25"/>
    <col customWidth="1" min="18" max="18" width="23.63"/>
    <col customWidth="1" min="19" max="19" width="20.25"/>
    <col customWidth="1" min="20" max="20" width="18.0"/>
    <col customWidth="1" min="21" max="21" width="17.5"/>
  </cols>
  <sheetData>
    <row r="2" ht="22.5" customHeight="1">
      <c r="B2" s="85" t="s">
        <v>278</v>
      </c>
      <c r="C2" s="87" t="s">
        <v>279</v>
      </c>
      <c r="D2" s="85" t="s">
        <v>116</v>
      </c>
      <c r="E2" s="87" t="s">
        <v>280</v>
      </c>
      <c r="F2" s="187"/>
      <c r="H2" s="187"/>
      <c r="I2" s="187"/>
    </row>
    <row r="3" ht="22.5" customHeight="1">
      <c r="B3" s="88" t="s">
        <v>137</v>
      </c>
      <c r="C3" s="97">
        <f>IFERROR(__xludf.DUMMYFUNCTION("IFERROR(QUERY(IMPORTRANGE(""https://docs.google.com/spreadsheets/d/1miDY7IXuiTPfAb936_X-aGe-di66Souzw213ySD983Y/edit?usp=sharing"", ""HOME!A51:W""), ""SELECT Col10 WHERE Col2 = '""&amp;B3  &amp;""'"", 0), 0)"),10.406107308496235)</f>
        <v>10.40610731</v>
      </c>
      <c r="D3" s="97">
        <f t="array" ref="D3">IFERROR(INDEX(Indicador_Fii[], MATCH(B3, Indicador_Fii[Fii], 0), MATCH(Indicador_Fii[[#HEADERS],[VP/Cota]], Indicador_Fii[#HEADERS], 0)),"")</f>
        <v>11.03</v>
      </c>
      <c r="E3" s="97">
        <f>IFERROR(__xludf.DUMMYFUNCTION("GOOGLEFINANCE(B3)"),9.0)</f>
        <v>9</v>
      </c>
      <c r="F3" s="187"/>
      <c r="H3" s="187"/>
      <c r="I3" s="187"/>
    </row>
    <row r="4" ht="22.5" customHeight="1">
      <c r="B4" s="88" t="s">
        <v>189</v>
      </c>
      <c r="C4" s="97">
        <f>IFERROR(__xludf.DUMMYFUNCTION("IFERROR(QUERY(IMPORTRANGE(""https://docs.google.com/spreadsheets/d/1miDY7IXuiTPfAb936_X-aGe-di66Souzw213ySD983Y/edit?usp=sharing"", ""HOME!A51:W""), ""SELECT Col10 WHERE Col2 = '""&amp;B4  &amp;""'"", 0), 0)"),8.611950875996882)</f>
        <v>8.611950876</v>
      </c>
      <c r="D4" s="97">
        <f t="array" ref="D4">IFERROR(INDEX(Indicador_Fii[], MATCH(B4, Indicador_Fii[Fii], 0), MATCH(Indicador_Fii[[#HEADERS],[VP/Cota]], Indicador_Fii[#HEADERS], 0)),"")</f>
        <v>9.27</v>
      </c>
      <c r="E4" s="97">
        <f>IFERROR(__xludf.DUMMYFUNCTION("GOOGLEFINANCE(B4)"),8.4)</f>
        <v>8.4</v>
      </c>
      <c r="F4" s="187"/>
      <c r="H4" s="187"/>
      <c r="I4" s="187"/>
    </row>
    <row r="5" ht="22.5" customHeight="1">
      <c r="B5" s="88" t="s">
        <v>145</v>
      </c>
      <c r="C5" s="97">
        <f>IFERROR(__xludf.DUMMYFUNCTION("IFERROR(QUERY(IMPORTRANGE(""https://docs.google.com/spreadsheets/d/1miDY7IXuiTPfAb936_X-aGe-di66Souzw213ySD983Y/edit?usp=sharing"", ""HOME!A51:W""), ""SELECT Col10 WHERE Col2 = '""&amp;B5  &amp;""'"", 0), 0)"),101.65872915602388)</f>
        <v>101.6587292</v>
      </c>
      <c r="D5" s="97">
        <f t="array" ref="D5">IFERROR(INDEX(Indicador_Fii[], MATCH(B5, Indicador_Fii[Fii], 0), MATCH(Indicador_Fii[[#HEADERS],[VP/Cota]], Indicador_Fii[#HEADERS], 0)),"")</f>
        <v>102.4</v>
      </c>
      <c r="E5" s="97">
        <f>IFERROR(__xludf.DUMMYFUNCTION("GOOGLEFINANCE(B5)"),100.09)</f>
        <v>100.09</v>
      </c>
      <c r="F5" s="187"/>
      <c r="H5" s="187"/>
      <c r="I5" s="187"/>
    </row>
    <row r="6" ht="22.5" customHeight="1">
      <c r="B6" s="88" t="s">
        <v>138</v>
      </c>
      <c r="C6" s="97">
        <f>IFERROR(__xludf.DUMMYFUNCTION("IFERROR(QUERY(IMPORTRANGE(""https://docs.google.com/spreadsheets/d/1miDY7IXuiTPfAb936_X-aGe-di66Souzw213ySD983Y/edit?usp=sharing"", ""HOME!A51:W""), ""SELECT Col10 WHERE Col2 = '""&amp;B6  &amp;""'"", 0), 0)"),98.13481607502231)</f>
        <v>98.13481608</v>
      </c>
      <c r="D6" s="97">
        <f t="array" ref="D6">IFERROR(INDEX(Indicador_Fii[], MATCH(B6, Indicador_Fii[Fii], 0), MATCH(Indicador_Fii[[#HEADERS],[VP/Cota]], Indicador_Fii[#HEADERS], 0)),"")</f>
        <v>105.25</v>
      </c>
      <c r="E6" s="97">
        <f>IFERROR(__xludf.DUMMYFUNCTION("GOOGLEFINANCE(B6)"),91.6)</f>
        <v>91.6</v>
      </c>
      <c r="F6" s="187"/>
    </row>
    <row r="7" ht="22.5" customHeight="1">
      <c r="B7" s="88" t="s">
        <v>148</v>
      </c>
      <c r="C7" s="97">
        <f>IFERROR(__xludf.DUMMYFUNCTION("IFERROR(QUERY(IMPORTRANGE(""https://docs.google.com/spreadsheets/d/1miDY7IXuiTPfAb936_X-aGe-di66Souzw213ySD983Y/edit?usp=sharing"", ""HOME!A51:W""), ""SELECT Col10 WHERE Col2 = '""&amp;B7  &amp;""'"", 0), 0)"),112.2054561001647)</f>
        <v>112.2054561</v>
      </c>
      <c r="D7" s="97">
        <f t="array" ref="D7">IFERROR(INDEX(Indicador_Fii[], MATCH(B7, Indicador_Fii[Fii], 0), MATCH(Indicador_Fii[[#HEADERS],[VP/Cota]], Indicador_Fii[#HEADERS], 0)),"")</f>
        <v>115.72</v>
      </c>
      <c r="E7" s="97">
        <f>IFERROR(__xludf.DUMMYFUNCTION("GOOGLEFINANCE(B7)"),110.21)</f>
        <v>110.21</v>
      </c>
    </row>
    <row r="8" ht="22.5" customHeight="1">
      <c r="B8" s="88" t="s">
        <v>246</v>
      </c>
      <c r="C8" s="97">
        <f>IFERROR(__xludf.DUMMYFUNCTION("IFERROR(QUERY(IMPORTRANGE(""https://docs.google.com/spreadsheets/d/1miDY7IXuiTPfAb936_X-aGe-di66Souzw213ySD983Y/edit?usp=sharing"", ""HOME!A51:W""), ""SELECT Col10 WHERE Col2 = '""&amp;B8  &amp;""'"", 0), 0)"),19.295006120458936)</f>
        <v>19.29500612</v>
      </c>
      <c r="D8" s="97">
        <f t="array" ref="D8">IFERROR(INDEX(Indicador_Fii[], MATCH(B8, Indicador_Fii[Fii], 0), MATCH(Indicador_Fii[[#HEADERS],[VP/Cota]], Indicador_Fii[#HEADERS], 0)),"")</f>
        <v>20.38</v>
      </c>
      <c r="E8" s="97">
        <f>IFERROR(__xludf.DUMMYFUNCTION("GOOGLEFINANCE(B8)"),18.68)</f>
        <v>18.68</v>
      </c>
    </row>
    <row r="9" ht="22.5" customHeight="1">
      <c r="B9" s="88" t="s">
        <v>140</v>
      </c>
      <c r="C9" s="97">
        <f>IFERROR(__xludf.DUMMYFUNCTION("IFERROR(QUERY(IMPORTRANGE(""https://docs.google.com/spreadsheets/d/1miDY7IXuiTPfAb936_X-aGe-di66Souzw213ySD983Y/edit?usp=sharing"", ""HOME!A51:W""), ""SELECT Col10 WHERE Col2 = '""&amp;B9  &amp;""'"", 0), 0)"),154.11738607572752)</f>
        <v>154.1173861</v>
      </c>
      <c r="D9" s="97">
        <f t="array" ref="D9">IFERROR(INDEX(Indicador_Fii[], MATCH(B9, Indicador_Fii[Fii], 0), MATCH(Indicador_Fii[[#HEADERS],[VP/Cota]], Indicador_Fii[#HEADERS], 0)),"")</f>
        <v>166</v>
      </c>
      <c r="E9" s="97">
        <f>IFERROR(__xludf.DUMMYFUNCTION("GOOGLEFINANCE(B9)"),146.52)</f>
        <v>146.52</v>
      </c>
    </row>
    <row r="10" ht="22.5" customHeight="1">
      <c r="B10" s="88" t="s">
        <v>259</v>
      </c>
      <c r="C10" s="97">
        <f>IFERROR(__xludf.DUMMYFUNCTION("IFERROR(QUERY(IMPORTRANGE(""https://docs.google.com/spreadsheets/d/1miDY7IXuiTPfAb936_X-aGe-di66Souzw213ySD983Y/edit?usp=sharing"", ""HOME!A51:W""), ""SELECT Col10 WHERE Col2 = '""&amp;B10  &amp;""'"", 0), 0)"),9.233027407097591)</f>
        <v>9.233027407</v>
      </c>
      <c r="D10" s="97">
        <f t="array" ref="D10">IFERROR(INDEX(Indicador_Fii[], MATCH(B10, Indicador_Fii[Fii], 0), MATCH(Indicador_Fii[[#HEADERS],[VP/Cota]], Indicador_Fii[#HEADERS], 0)),"")</f>
        <v>9.37</v>
      </c>
      <c r="E10" s="97">
        <f>IFERROR(__xludf.DUMMYFUNCTION("GOOGLEFINANCE(B10)"),9.16)</f>
        <v>9.16</v>
      </c>
    </row>
    <row r="11" ht="22.5" customHeight="1">
      <c r="B11" s="88" t="s">
        <v>240</v>
      </c>
      <c r="C11" s="97">
        <f>IFERROR(__xludf.DUMMYFUNCTION("IFERROR(QUERY(IMPORTRANGE(""https://docs.google.com/spreadsheets/d/1miDY7IXuiTPfAb936_X-aGe-di66Souzw213ySD983Y/edit?usp=sharing"", ""HOME!A51:W""), ""SELECT Col10 WHERE Col2 = '""&amp;B11  &amp;""'"", 0), 0)"),103.49453999737203)</f>
        <v>103.49454</v>
      </c>
      <c r="D11" s="97">
        <f t="array" ref="D11">IFERROR(INDEX(Indicador_Fii[], MATCH(B11, Indicador_Fii[Fii], 0), MATCH(Indicador_Fii[[#HEADERS],[VP/Cota]], Indicador_Fii[#HEADERS], 0)),"")</f>
        <v>116.67</v>
      </c>
      <c r="E11" s="97">
        <f>IFERROR(__xludf.DUMMYFUNCTION("GOOGLEFINANCE(B11)"),102.66)</f>
        <v>102.66</v>
      </c>
    </row>
    <row r="12" ht="22.5" customHeight="1">
      <c r="B12" s="88" t="s">
        <v>122</v>
      </c>
      <c r="C12" s="97">
        <f>IFERROR(__xludf.DUMMYFUNCTION("IFERROR(QUERY(IMPORTRANGE(""https://docs.google.com/spreadsheets/d/1miDY7IXuiTPfAb936_X-aGe-di66Souzw213ySD983Y/edit?usp=sharing"", ""HOME!A51:W""), ""SELECT Col10 WHERE Col2 = '""&amp;B12  &amp;""'"", 0), 0)"),152.06230980453904)</f>
        <v>152.0623098</v>
      </c>
      <c r="D12" s="97">
        <f t="array" ref="D12">IFERROR(INDEX(Indicador_Fii[], MATCH(B12, Indicador_Fii[Fii], 0), MATCH(Indicador_Fii[[#HEADERS],[VP/Cota]], Indicador_Fii[#HEADERS], 0)),"")</f>
        <v>163.15</v>
      </c>
      <c r="E12" s="97">
        <f>IFERROR(__xludf.DUMMYFUNCTION("GOOGLEFINANCE(B12)"),156.75)</f>
        <v>156.75</v>
      </c>
    </row>
    <row r="13" ht="22.5" customHeight="1">
      <c r="B13" s="88" t="s">
        <v>187</v>
      </c>
      <c r="C13" s="97">
        <f>IFERROR(__xludf.DUMMYFUNCTION("IFERROR(QUERY(IMPORTRANGE(""https://docs.google.com/spreadsheets/d/1miDY7IXuiTPfAb936_X-aGe-di66Souzw213ySD983Y/edit?usp=sharing"", ""HOME!A51:W""), ""SELECT Col10 WHERE Col2 = '""&amp;B13  &amp;""'"", 0), 0)"),118.25971493184508)</f>
        <v>118.2597149</v>
      </c>
      <c r="D13" s="97">
        <f t="array" ref="D13">IFERROR(INDEX(Indicador_Fii[], MATCH(B13, Indicador_Fii[Fii], 0), MATCH(Indicador_Fii[[#HEADERS],[VP/Cota]], Indicador_Fii[#HEADERS], 0)),"")</f>
        <v>128.9</v>
      </c>
      <c r="E13" s="97">
        <f>IFERROR(__xludf.DUMMYFUNCTION("GOOGLEFINANCE(B13)"),114.31)</f>
        <v>114.31</v>
      </c>
    </row>
    <row r="14" ht="22.5" customHeight="1">
      <c r="B14" s="88" t="s">
        <v>143</v>
      </c>
      <c r="C14" s="97">
        <f>IFERROR(__xludf.DUMMYFUNCTION("IFERROR(QUERY(IMPORTRANGE(""https://docs.google.com/spreadsheets/d/1miDY7IXuiTPfAb936_X-aGe-di66Souzw213ySD983Y/edit?usp=sharing"", ""HOME!A51:W""), ""SELECT Col10 WHERE Col2 = '""&amp;B14  &amp;""'"", 0), 0)"),93.36293284093033)</f>
        <v>93.36293284</v>
      </c>
      <c r="D14" s="97">
        <f t="array" ref="D14">IFERROR(INDEX(Indicador_Fii[], MATCH(B14, Indicador_Fii[Fii], 0), MATCH(Indicador_Fii[[#HEADERS],[VP/Cota]], Indicador_Fii[#HEADERS], 0)),"")</f>
        <v>120.46</v>
      </c>
      <c r="E14" s="97">
        <f>IFERROR(__xludf.DUMMYFUNCTION("GOOGLEFINANCE(B14)"),97.28)</f>
        <v>97.28</v>
      </c>
    </row>
    <row r="15" ht="22.5" customHeight="1">
      <c r="B15" s="88" t="s">
        <v>270</v>
      </c>
      <c r="C15" s="97">
        <f>IFERROR(__xludf.DUMMYFUNCTION("IFERROR(QUERY(IMPORTRANGE(""https://docs.google.com/spreadsheets/d/1miDY7IXuiTPfAb936_X-aGe-di66Souzw213ySD983Y/edit?usp=sharing"", ""HOME!A51:W""), ""SELECT Col10 WHERE Col2 = '""&amp;B15  &amp;""'"", 0), 0)"),75.75817359669819)</f>
        <v>75.7581736</v>
      </c>
      <c r="D15" s="97">
        <f t="array" ref="D15">IFERROR(INDEX(Indicador_Fii[], MATCH(B15, Indicador_Fii[Fii], 0), MATCH(Indicador_Fii[[#HEADERS],[VP/Cota]], Indicador_Fii[#HEADERS], 0)),"")</f>
        <v>92.88</v>
      </c>
      <c r="E15" s="97">
        <f>IFERROR(__xludf.DUMMYFUNCTION("GOOGLEFINANCE(B15)"),73.49)</f>
        <v>73.49</v>
      </c>
    </row>
    <row r="20">
      <c r="G20" s="40"/>
    </row>
    <row r="21">
      <c r="G21" s="40"/>
    </row>
    <row r="22">
      <c r="A22" s="4"/>
      <c r="B22" s="4"/>
      <c r="C22" s="4"/>
      <c r="D22" s="206"/>
      <c r="E22" s="206"/>
      <c r="F22" s="206"/>
      <c r="G22" s="40"/>
      <c r="H22" s="206"/>
      <c r="I22" s="206"/>
      <c r="J22" s="206"/>
      <c r="K22" s="206"/>
      <c r="L22" s="206"/>
    </row>
    <row r="23" ht="22.5" customHeight="1">
      <c r="A23" s="85" t="s">
        <v>283</v>
      </c>
      <c r="B23" s="85" t="s">
        <v>116</v>
      </c>
      <c r="C23" s="207" t="s">
        <v>132</v>
      </c>
      <c r="D23" s="207" t="s">
        <v>133</v>
      </c>
      <c r="E23" s="85" t="s">
        <v>284</v>
      </c>
      <c r="F23" s="87" t="s">
        <v>150</v>
      </c>
      <c r="G23" s="87" t="s">
        <v>285</v>
      </c>
      <c r="H23" s="87" t="s">
        <v>287</v>
      </c>
      <c r="I23" s="87" t="s">
        <v>288</v>
      </c>
      <c r="J23" s="87" t="s">
        <v>289</v>
      </c>
      <c r="K23" s="87" t="s">
        <v>290</v>
      </c>
      <c r="L23" s="87" t="s">
        <v>151</v>
      </c>
      <c r="M23" s="87" t="s">
        <v>291</v>
      </c>
      <c r="N23" s="87" t="s">
        <v>292</v>
      </c>
      <c r="O23" s="87" t="s">
        <v>293</v>
      </c>
      <c r="P23" s="208" t="s">
        <v>294</v>
      </c>
      <c r="Q23" s="87" t="s">
        <v>295</v>
      </c>
    </row>
    <row r="24" ht="22.5" customHeight="1">
      <c r="A24" s="209" t="s">
        <v>148</v>
      </c>
      <c r="B24" s="210">
        <v>115.72</v>
      </c>
      <c r="C24" s="210">
        <v>7.31</v>
      </c>
      <c r="D24" s="210">
        <v>8.0</v>
      </c>
      <c r="E24" s="210">
        <v>2.57409E9</v>
      </c>
      <c r="F24" s="210">
        <v>2.08547E9</v>
      </c>
      <c r="G24" s="210">
        <v>6.19819E7</v>
      </c>
      <c r="H24" s="211">
        <v>1.47175E7</v>
      </c>
      <c r="I24" s="210">
        <v>4.82874E7</v>
      </c>
      <c r="J24" s="210">
        <v>1.89224E7</v>
      </c>
      <c r="K24" s="210">
        <v>1.59192E8</v>
      </c>
      <c r="L24" s="210">
        <v>7.7</v>
      </c>
      <c r="M24" s="210">
        <v>12.6</v>
      </c>
      <c r="N24" s="210">
        <v>14.0</v>
      </c>
      <c r="O24" s="210">
        <v>20.0</v>
      </c>
      <c r="P24" s="211">
        <v>1.8021303E7</v>
      </c>
      <c r="Q24" s="212" t="s">
        <v>296</v>
      </c>
    </row>
    <row r="25" ht="22.5" customHeight="1">
      <c r="A25" s="209" t="s">
        <v>145</v>
      </c>
      <c r="B25" s="210">
        <v>102.4</v>
      </c>
      <c r="C25" s="210">
        <v>6.08</v>
      </c>
      <c r="D25" s="210">
        <v>7.9</v>
      </c>
      <c r="E25" s="210">
        <v>7.32121E9</v>
      </c>
      <c r="F25" s="210">
        <v>7.10523E9</v>
      </c>
      <c r="G25" s="210">
        <v>1.46358E8</v>
      </c>
      <c r="H25" s="211">
        <v>-4839430.0</v>
      </c>
      <c r="I25" s="210">
        <v>1.25081E8</v>
      </c>
      <c r="J25" s="210">
        <v>5.62056E7</v>
      </c>
      <c r="K25" s="210">
        <v>4.38764E8</v>
      </c>
      <c r="L25" s="210">
        <v>7.7</v>
      </c>
      <c r="M25" s="210">
        <v>5.1</v>
      </c>
      <c r="N25" s="210">
        <v>31.0</v>
      </c>
      <c r="O25" s="210">
        <v>237.0</v>
      </c>
      <c r="P25" s="211">
        <v>6.9389648E7</v>
      </c>
      <c r="Q25" s="212" t="s">
        <v>297</v>
      </c>
    </row>
    <row r="26" ht="22.5" customHeight="1">
      <c r="A26" s="209" t="s">
        <v>189</v>
      </c>
      <c r="B26" s="210">
        <v>9.27</v>
      </c>
      <c r="C26" s="210">
        <v>5.11</v>
      </c>
      <c r="D26" s="210">
        <v>9.6</v>
      </c>
      <c r="E26" s="210">
        <v>2.75199E9</v>
      </c>
      <c r="F26" s="210">
        <v>2.68091E9</v>
      </c>
      <c r="G26" s="210">
        <v>9021970.0</v>
      </c>
      <c r="H26" s="211">
        <v>508053.0</v>
      </c>
      <c r="I26" s="210">
        <v>3.90046E7</v>
      </c>
      <c r="J26" s="210">
        <v>2.40025E7</v>
      </c>
      <c r="K26" s="210">
        <v>2.23649E8</v>
      </c>
      <c r="L26" s="210">
        <v>7.3</v>
      </c>
      <c r="M26" s="210">
        <v>0.0</v>
      </c>
      <c r="N26" s="210">
        <v>3.0</v>
      </c>
      <c r="O26" s="210">
        <v>3.0</v>
      </c>
      <c r="P26" s="211">
        <v>2.89186438E8</v>
      </c>
      <c r="Q26" s="212" t="s">
        <v>298</v>
      </c>
    </row>
    <row r="27" ht="22.5" customHeight="1">
      <c r="A27" s="209" t="s">
        <v>137</v>
      </c>
      <c r="B27" s="210">
        <v>11.03</v>
      </c>
      <c r="C27" s="210">
        <v>6.11</v>
      </c>
      <c r="D27" s="210">
        <v>11.8</v>
      </c>
      <c r="E27" s="210">
        <v>3.48726E9</v>
      </c>
      <c r="F27" s="210">
        <v>2.3636E9</v>
      </c>
      <c r="G27" s="210">
        <v>1.23974E7</v>
      </c>
      <c r="H27" s="211">
        <v>959737.0</v>
      </c>
      <c r="I27" s="210">
        <v>1.08475E7</v>
      </c>
      <c r="J27" s="210">
        <v>4.28499E7</v>
      </c>
      <c r="K27" s="210">
        <v>2.31403E8</v>
      </c>
      <c r="L27" s="210">
        <v>8.0</v>
      </c>
      <c r="M27" s="210">
        <v>0.0</v>
      </c>
      <c r="N27" s="210">
        <v>42.0</v>
      </c>
      <c r="O27" s="210">
        <v>41.0</v>
      </c>
      <c r="P27" s="211">
        <v>2.14249664E8</v>
      </c>
      <c r="Q27" s="212" t="s">
        <v>299</v>
      </c>
    </row>
    <row r="28" ht="22.5" customHeight="1">
      <c r="A28" s="209" t="s">
        <v>246</v>
      </c>
      <c r="B28" s="210">
        <v>20.38</v>
      </c>
      <c r="C28" s="210">
        <v>8.17</v>
      </c>
      <c r="D28" s="210">
        <v>8.4</v>
      </c>
      <c r="E28" s="210">
        <v>3.6203E9</v>
      </c>
      <c r="F28" s="210">
        <v>2.942E9</v>
      </c>
      <c r="G28" s="210">
        <v>8.0793E7</v>
      </c>
      <c r="H28" s="211">
        <v>1809710.0</v>
      </c>
      <c r="I28" s="210">
        <v>6.3802E7</v>
      </c>
      <c r="J28" s="210">
        <v>2.45405E7</v>
      </c>
      <c r="K28" s="210">
        <v>2.1308E8</v>
      </c>
      <c r="L28" s="210">
        <v>10.5</v>
      </c>
      <c r="M28" s="210">
        <v>4.3</v>
      </c>
      <c r="N28" s="210">
        <v>16.0</v>
      </c>
      <c r="O28" s="210">
        <v>2604.0</v>
      </c>
      <c r="P28" s="211">
        <v>1.44355726E8</v>
      </c>
      <c r="Q28" s="212" t="s">
        <v>300</v>
      </c>
    </row>
    <row r="29" ht="22.5" customHeight="1">
      <c r="A29" s="209" t="s">
        <v>140</v>
      </c>
      <c r="B29" s="210">
        <v>166.0</v>
      </c>
      <c r="C29" s="210">
        <v>6.55</v>
      </c>
      <c r="D29" s="210">
        <v>7.2</v>
      </c>
      <c r="E29" s="210">
        <v>8.86853E9</v>
      </c>
      <c r="F29" s="210">
        <v>7.57006E9</v>
      </c>
      <c r="G29" s="210">
        <v>1.43645E8</v>
      </c>
      <c r="H29" s="211">
        <v>6045210.0</v>
      </c>
      <c r="I29" s="210">
        <v>1.18777E8</v>
      </c>
      <c r="J29" s="210">
        <v>5.01619E7</v>
      </c>
      <c r="K29" s="210">
        <v>4.55683E8</v>
      </c>
      <c r="L29" s="210">
        <v>7.6</v>
      </c>
      <c r="M29" s="210">
        <v>3.2</v>
      </c>
      <c r="N29" s="210">
        <v>60.0</v>
      </c>
      <c r="O29" s="210">
        <v>60.0</v>
      </c>
      <c r="P29" s="211">
        <v>4.5601745E7</v>
      </c>
      <c r="Q29" s="213" t="s">
        <v>301</v>
      </c>
    </row>
    <row r="30" ht="22.5" customHeight="1">
      <c r="A30" s="214" t="s">
        <v>187</v>
      </c>
      <c r="B30" s="210">
        <v>128.9</v>
      </c>
      <c r="C30" s="210">
        <v>8.65</v>
      </c>
      <c r="D30" s="210">
        <v>8.5</v>
      </c>
      <c r="E30" s="210">
        <v>3.35231E9</v>
      </c>
      <c r="F30" s="210">
        <v>2.99542E9</v>
      </c>
      <c r="G30" s="210">
        <v>7.50436E7</v>
      </c>
      <c r="H30" s="211">
        <v>-1374730.0</v>
      </c>
      <c r="I30" s="210">
        <v>5.82539E7</v>
      </c>
      <c r="J30" s="210">
        <v>2.20761E7</v>
      </c>
      <c r="K30" s="210">
        <v>2.3238E8</v>
      </c>
      <c r="L30" s="210">
        <v>10.5</v>
      </c>
      <c r="M30" s="210">
        <v>0.8</v>
      </c>
      <c r="N30" s="210">
        <v>100.0</v>
      </c>
      <c r="O30" s="210">
        <v>100.0</v>
      </c>
      <c r="P30" s="211">
        <v>2.3238024E7</v>
      </c>
      <c r="Q30" s="212" t="s">
        <v>302</v>
      </c>
    </row>
    <row r="31" ht="22.5" customHeight="1">
      <c r="A31" s="214" t="s">
        <v>122</v>
      </c>
      <c r="B31" s="210">
        <v>163.15</v>
      </c>
      <c r="C31" s="210">
        <v>7.34</v>
      </c>
      <c r="D31" s="210">
        <v>6.8</v>
      </c>
      <c r="E31" s="210">
        <v>5.0271E9</v>
      </c>
      <c r="F31" s="210">
        <v>4.60142E9</v>
      </c>
      <c r="G31" s="210">
        <v>8.61047E7</v>
      </c>
      <c r="H31" s="211">
        <v>4.83168E7</v>
      </c>
      <c r="I31" s="210">
        <v>7.46672E7</v>
      </c>
      <c r="J31" s="210">
        <v>3.89216E7</v>
      </c>
      <c r="K31" s="210">
        <v>3.07706E8</v>
      </c>
      <c r="L31" s="210">
        <v>7.8</v>
      </c>
      <c r="M31" s="210">
        <v>0.1</v>
      </c>
      <c r="N31" s="210">
        <v>18.0</v>
      </c>
      <c r="O31" s="210">
        <v>467.0</v>
      </c>
      <c r="P31" s="211">
        <v>2.8204047E7</v>
      </c>
      <c r="Q31" s="212" t="s">
        <v>303</v>
      </c>
    </row>
    <row r="32" ht="22.5" customHeight="1">
      <c r="A32" s="209" t="s">
        <v>143</v>
      </c>
      <c r="B32" s="210">
        <v>120.46</v>
      </c>
      <c r="C32" s="210">
        <v>9.12</v>
      </c>
      <c r="D32" s="210">
        <v>7.5</v>
      </c>
      <c r="E32" s="210">
        <v>1.96017E9</v>
      </c>
      <c r="F32" s="210">
        <v>1.94163E9</v>
      </c>
      <c r="G32" s="210">
        <v>4.3232E7</v>
      </c>
      <c r="H32" s="211">
        <v>0.0</v>
      </c>
      <c r="I32" s="210">
        <v>3.52173E7</v>
      </c>
      <c r="J32" s="210">
        <v>1.20889E7</v>
      </c>
      <c r="K32" s="210">
        <v>1.20889E8</v>
      </c>
      <c r="L32" s="210">
        <v>10.5</v>
      </c>
      <c r="M32" s="210">
        <v>5.8</v>
      </c>
      <c r="N32" s="210">
        <v>13.0</v>
      </c>
      <c r="O32" s="210">
        <v>58.0</v>
      </c>
      <c r="P32" s="211">
        <v>1.6118565E7</v>
      </c>
      <c r="Q32" s="213" t="s">
        <v>304</v>
      </c>
    </row>
    <row r="33" ht="22.5" customHeight="1">
      <c r="A33" s="209" t="s">
        <v>259</v>
      </c>
      <c r="B33" s="210">
        <v>9.37</v>
      </c>
      <c r="C33" s="210">
        <v>11.46</v>
      </c>
      <c r="D33" s="210">
        <v>11.6</v>
      </c>
      <c r="E33" s="210">
        <v>4.42765E9</v>
      </c>
      <c r="F33" s="210">
        <v>4.31369E9</v>
      </c>
      <c r="G33" s="210">
        <v>1.26301E8</v>
      </c>
      <c r="H33" s="211">
        <v>1.71323E7</v>
      </c>
      <c r="I33" s="210">
        <v>1.15164E8</v>
      </c>
      <c r="J33" s="210">
        <v>4.6027E7</v>
      </c>
      <c r="K33" s="210">
        <v>4.97112E8</v>
      </c>
      <c r="L33" s="210">
        <v>0.0</v>
      </c>
      <c r="M33" s="210"/>
      <c r="N33" s="210">
        <v>0.0</v>
      </c>
      <c r="O33" s="210">
        <v>0.0</v>
      </c>
      <c r="P33" s="211">
        <v>4.60269531E8</v>
      </c>
      <c r="Q33" s="212" t="s">
        <v>305</v>
      </c>
    </row>
    <row r="34" ht="22.5" customHeight="1">
      <c r="A34" s="214" t="s">
        <v>270</v>
      </c>
      <c r="B34" s="210">
        <v>92.88</v>
      </c>
      <c r="C34" s="210">
        <v>13.27</v>
      </c>
      <c r="D34" s="210">
        <v>11.3</v>
      </c>
      <c r="E34" s="210">
        <v>1.59642E9</v>
      </c>
      <c r="F34" s="210">
        <v>1.58009E9</v>
      </c>
      <c r="G34" s="210">
        <v>4.51897E7</v>
      </c>
      <c r="H34" s="211">
        <v>-27889.0</v>
      </c>
      <c r="I34" s="210">
        <v>4.81039E7</v>
      </c>
      <c r="J34" s="210">
        <v>1.51404E7</v>
      </c>
      <c r="K34" s="210">
        <v>1.49193E8</v>
      </c>
      <c r="L34" s="210"/>
      <c r="M34" s="210"/>
      <c r="N34" s="210">
        <v>0.0</v>
      </c>
      <c r="O34" s="210">
        <v>0.0</v>
      </c>
      <c r="P34" s="211">
        <v>1.7011707E7</v>
      </c>
      <c r="Q34" s="212" t="s">
        <v>306</v>
      </c>
    </row>
    <row r="35" ht="22.5" customHeight="1">
      <c r="A35" s="214" t="s">
        <v>240</v>
      </c>
      <c r="B35" s="210">
        <v>116.67</v>
      </c>
      <c r="C35" s="210">
        <v>10.21</v>
      </c>
      <c r="D35" s="210">
        <v>9.0</v>
      </c>
      <c r="E35" s="210">
        <v>1.81626E9</v>
      </c>
      <c r="F35" s="210">
        <v>1.63127E9</v>
      </c>
      <c r="G35" s="210">
        <v>4.8292E7</v>
      </c>
      <c r="H35" s="211">
        <v>8109610.0</v>
      </c>
      <c r="I35" s="210">
        <v>4.41715E7</v>
      </c>
      <c r="J35" s="210">
        <v>1.39821E7</v>
      </c>
      <c r="K35" s="210">
        <v>1.31991E8</v>
      </c>
      <c r="L35" s="210">
        <v>10.9</v>
      </c>
      <c r="M35" s="210">
        <v>3.7</v>
      </c>
      <c r="N35" s="210">
        <v>12.0</v>
      </c>
      <c r="O35" s="210">
        <v>1428.0</v>
      </c>
      <c r="P35" s="211">
        <v>1.3982093E7</v>
      </c>
      <c r="Q35" s="212" t="s">
        <v>307</v>
      </c>
    </row>
    <row r="36" ht="22.5" customHeight="1">
      <c r="A36" s="214" t="s">
        <v>260</v>
      </c>
      <c r="B36" s="210">
        <v>93.29</v>
      </c>
      <c r="C36" s="210">
        <v>9.51</v>
      </c>
      <c r="D36" s="210">
        <v>10.6</v>
      </c>
      <c r="E36" s="210">
        <v>1.52195E9</v>
      </c>
      <c r="F36" s="210">
        <v>1.52065E9</v>
      </c>
      <c r="G36" s="210">
        <v>4.08945E7</v>
      </c>
      <c r="H36" s="211">
        <v>6171660.0</v>
      </c>
      <c r="I36" s="210">
        <v>3.14441E7</v>
      </c>
      <c r="J36" s="210">
        <v>1.54853E7</v>
      </c>
      <c r="K36" s="210">
        <v>1.28351E8</v>
      </c>
      <c r="L36" s="210"/>
      <c r="M36" s="210"/>
      <c r="N36" s="210">
        <v>0.0</v>
      </c>
      <c r="O36" s="210">
        <v>0.0</v>
      </c>
      <c r="P36" s="211">
        <v>1.6300275E7</v>
      </c>
      <c r="Q36" s="212" t="s">
        <v>308</v>
      </c>
    </row>
    <row r="37" ht="22.5" customHeight="1">
      <c r="A37" s="214" t="s">
        <v>276</v>
      </c>
      <c r="B37" s="210">
        <v>100.81</v>
      </c>
      <c r="C37" s="210">
        <v>16.74</v>
      </c>
      <c r="D37" s="210">
        <v>13.0</v>
      </c>
      <c r="E37" s="210">
        <v>3.53518E8</v>
      </c>
      <c r="F37" s="210">
        <v>3.49994E8</v>
      </c>
      <c r="G37" s="210">
        <v>1.25005E7</v>
      </c>
      <c r="H37" s="211">
        <v>41519.0</v>
      </c>
      <c r="I37" s="210">
        <v>1.12017E7</v>
      </c>
      <c r="J37" s="210">
        <v>4860420.0</v>
      </c>
      <c r="K37" s="210">
        <v>3.41792E7</v>
      </c>
      <c r="L37" s="210"/>
      <c r="M37" s="210"/>
      <c r="N37" s="210">
        <v>0.0</v>
      </c>
      <c r="O37" s="210">
        <v>0.0</v>
      </c>
      <c r="P37" s="211">
        <v>3471728.0</v>
      </c>
      <c r="Q37" s="212" t="s">
        <v>309</v>
      </c>
    </row>
    <row r="38" ht="22.5" customHeight="1">
      <c r="A38" s="214" t="s">
        <v>281</v>
      </c>
      <c r="B38" s="210">
        <v>93.66</v>
      </c>
      <c r="C38" s="210">
        <v>14.79</v>
      </c>
      <c r="D38" s="210">
        <v>12.8</v>
      </c>
      <c r="E38" s="210">
        <v>1.39573E9</v>
      </c>
      <c r="F38" s="210">
        <v>1.37908E9</v>
      </c>
      <c r="G38" s="210">
        <v>4.02565E7</v>
      </c>
      <c r="H38" s="211">
        <v>9518820.0</v>
      </c>
      <c r="I38" s="210">
        <v>3.4349E7</v>
      </c>
      <c r="J38" s="210">
        <v>1.8405E7</v>
      </c>
      <c r="K38" s="210">
        <v>1.33546E8</v>
      </c>
      <c r="L38" s="210"/>
      <c r="M38" s="210"/>
      <c r="N38" s="210">
        <v>0.0</v>
      </c>
      <c r="O38" s="210">
        <v>0.0</v>
      </c>
      <c r="P38" s="211">
        <v>1.472397E7</v>
      </c>
      <c r="Q38" s="212" t="s">
        <v>310</v>
      </c>
    </row>
    <row r="39" ht="22.5" customHeight="1">
      <c r="A39" s="209" t="s">
        <v>138</v>
      </c>
      <c r="B39" s="210">
        <v>105.25</v>
      </c>
      <c r="C39" s="210">
        <v>6.94</v>
      </c>
      <c r="D39" s="210">
        <v>8.8</v>
      </c>
      <c r="E39" s="210">
        <v>6.26926E9</v>
      </c>
      <c r="F39" s="210">
        <v>5.40872E9</v>
      </c>
      <c r="G39" s="210">
        <v>1.26631E8</v>
      </c>
      <c r="H39" s="211">
        <v>3290280.0</v>
      </c>
      <c r="I39" s="210">
        <v>9.94289E7</v>
      </c>
      <c r="J39" s="210">
        <v>4.21399E7</v>
      </c>
      <c r="K39" s="210">
        <v>3.35954E8</v>
      </c>
      <c r="L39" s="210">
        <v>6.7</v>
      </c>
      <c r="M39" s="210">
        <v>9.3</v>
      </c>
      <c r="N39" s="210">
        <v>24.0</v>
      </c>
      <c r="O39" s="210">
        <v>113.0</v>
      </c>
      <c r="P39" s="211">
        <v>5.1390098E7</v>
      </c>
      <c r="Q39" s="212" t="s">
        <v>311</v>
      </c>
    </row>
  </sheetData>
  <dataValidations>
    <dataValidation type="custom" allowBlank="1" showDropDown="1" sqref="C3:E15 B24:B39 E24:G39 I24:J39 L24:O39">
      <formula1>AND(ISNUMBER(B3),(NOT(OR(NOT(ISERROR(DATEVALUE(B3))), AND(ISNUMBER(B3), LEFT(CELL("format", B3))="D")))))</formula1>
    </dataValidation>
    <dataValidation allowBlank="1" showDropDown="1" sqref="Q24:Q39"/>
  </dataValidations>
  <hyperlinks>
    <hyperlink r:id="rId1" ref="Q24"/>
    <hyperlink r:id="rId2" ref="Q25"/>
    <hyperlink r:id="rId3" ref="Q26"/>
    <hyperlink r:id="rId4" ref="Q27"/>
    <hyperlink r:id="rId5" ref="Q28"/>
    <hyperlink r:id="rId6" ref="Q29"/>
    <hyperlink r:id="rId7" ref="Q30"/>
    <hyperlink r:id="rId8" ref="Q31"/>
    <hyperlink r:id="rId9" ref="Q32"/>
    <hyperlink r:id="rId10" ref="Q33"/>
    <hyperlink r:id="rId11" ref="Q34"/>
    <hyperlink r:id="rId12" ref="Q35"/>
    <hyperlink r:id="rId13" ref="Q36"/>
    <hyperlink r:id="rId14" ref="Q37"/>
    <hyperlink r:id="rId15" ref="Q38"/>
    <hyperlink r:id="rId16" ref="Q39"/>
  </hyperlinks>
  <drawing r:id="rId17"/>
  <tableParts count="2">
    <tablePart r:id="rId20"/>
    <tablePart r:id="rId2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6.63"/>
    <col customWidth="1" min="4" max="4" width="21.5"/>
    <col customWidth="1" min="5" max="5" width="21.88"/>
    <col customWidth="1" min="7" max="7" width="17.88"/>
    <col customWidth="1" min="8" max="8" width="19.5"/>
    <col customWidth="1" min="9" max="9" width="24.5"/>
    <col customWidth="1" min="10" max="10" width="22.25"/>
    <col customWidth="1" min="11" max="11" width="15.13"/>
    <col customWidth="1" min="12" max="12" width="15.38"/>
  </cols>
  <sheetData>
    <row r="1">
      <c r="A1" s="4" t="s">
        <v>128</v>
      </c>
      <c r="B1" s="4" t="s">
        <v>261</v>
      </c>
      <c r="C1" s="4" t="s">
        <v>262</v>
      </c>
      <c r="D1" s="4" t="s">
        <v>263</v>
      </c>
      <c r="E1" s="4" t="s">
        <v>264</v>
      </c>
      <c r="G1" s="190" t="s">
        <v>148</v>
      </c>
    </row>
    <row r="2">
      <c r="A2" s="7" t="s">
        <v>246</v>
      </c>
      <c r="B2" s="191">
        <v>46268.0</v>
      </c>
      <c r="C2" s="7" t="s">
        <v>265</v>
      </c>
      <c r="D2" s="7" t="s">
        <v>266</v>
      </c>
      <c r="E2" s="192" t="str">
        <f>HYPERLINK("https://fnet.bmfbovespa.com.br/fnet/publico/exibirDocumento?id=1309543", "Visualizar PDF 📄")</f>
        <v>Visualizar PDF 📄</v>
      </c>
      <c r="G2" s="187"/>
      <c r="H2" s="193"/>
      <c r="I2" s="187"/>
      <c r="J2" s="187"/>
      <c r="K2" s="187"/>
      <c r="L2" s="4"/>
      <c r="M2" s="4"/>
    </row>
    <row r="3">
      <c r="A3" s="7" t="s">
        <v>122</v>
      </c>
      <c r="B3" s="191">
        <v>46267.0</v>
      </c>
      <c r="C3" s="7" t="s">
        <v>265</v>
      </c>
      <c r="D3" s="7" t="s">
        <v>267</v>
      </c>
      <c r="E3" s="192" t="str">
        <f>HYPERLINK("https://fnet.bmfbovespa.com.br/fnet/publico/exibirDocumento?id=1308346", "Visualizar PDF 📄")</f>
        <v>Visualizar PDF 📄</v>
      </c>
      <c r="G3" s="187"/>
      <c r="H3" s="193"/>
      <c r="I3" s="187"/>
      <c r="J3" s="187"/>
      <c r="K3" s="187"/>
      <c r="L3" s="4"/>
      <c r="M3" s="4"/>
    </row>
    <row r="4">
      <c r="A4" s="7" t="s">
        <v>259</v>
      </c>
      <c r="B4" s="191">
        <v>46266.0</v>
      </c>
      <c r="C4" s="7" t="s">
        <v>265</v>
      </c>
      <c r="D4" s="7" t="s">
        <v>268</v>
      </c>
      <c r="E4" s="192" t="str">
        <f>HYPERLINK("https://fnet.bmfbovespa.com.br/fnet/publico/exibirDocumento?id=1307338", "Visualizar PDF 📄")</f>
        <v>Visualizar PDF 📄</v>
      </c>
      <c r="G4" s="187"/>
      <c r="H4" s="193"/>
      <c r="I4" s="187"/>
      <c r="J4" s="187"/>
      <c r="K4" s="187"/>
    </row>
    <row r="5">
      <c r="A5" s="187"/>
      <c r="B5" s="193"/>
      <c r="C5" s="187"/>
      <c r="D5" s="187"/>
      <c r="G5" s="187"/>
      <c r="H5" s="193"/>
      <c r="I5" s="187"/>
      <c r="J5" s="187"/>
      <c r="K5" s="187"/>
    </row>
    <row r="6">
      <c r="A6" s="187"/>
      <c r="B6" s="193"/>
      <c r="C6" s="187"/>
      <c r="D6" s="187"/>
    </row>
    <row r="7">
      <c r="A7" s="187"/>
      <c r="B7" s="193"/>
      <c r="C7" s="187"/>
      <c r="D7" s="187"/>
    </row>
    <row r="8">
      <c r="A8" s="187"/>
      <c r="B8" s="193"/>
      <c r="C8" s="187"/>
      <c r="D8" s="187"/>
    </row>
    <row r="9">
      <c r="A9" s="187"/>
      <c r="B9" s="193"/>
      <c r="C9" s="187"/>
      <c r="D9" s="187"/>
    </row>
    <row r="10" ht="22.5" customHeight="1">
      <c r="A10" s="187"/>
      <c r="B10" s="193"/>
      <c r="C10" s="187"/>
      <c r="D10" s="187"/>
      <c r="G10" s="85" t="s">
        <v>121</v>
      </c>
      <c r="H10" s="85" t="s">
        <v>155</v>
      </c>
      <c r="I10" s="85" t="s">
        <v>156</v>
      </c>
      <c r="J10" s="87" t="s">
        <v>269</v>
      </c>
    </row>
    <row r="11" ht="22.5" customHeight="1">
      <c r="A11" s="187"/>
      <c r="B11" s="193"/>
      <c r="C11" s="187"/>
      <c r="D11" s="187"/>
      <c r="G11" s="194" t="s">
        <v>138</v>
      </c>
      <c r="H11" s="195" t="str">
        <f t="array" ref="H11">INDIRECT(G11 &amp; "!B101")</f>
        <v>Não</v>
      </c>
      <c r="I11" s="196" t="str">
        <f t="array" ref="I11">INDIRECT(G11 &amp; "!B102")</f>
        <v>Não</v>
      </c>
      <c r="J11" s="98" t="str">
        <f t="array" ref="J11">INDIRECT(G11 &amp; "!B100")</f>
        <v>Normal</v>
      </c>
    </row>
    <row r="12" ht="22.5" customHeight="1">
      <c r="A12" s="187"/>
      <c r="B12" s="193"/>
      <c r="C12" s="187"/>
      <c r="D12" s="187"/>
      <c r="G12" s="194" t="s">
        <v>145</v>
      </c>
      <c r="H12" s="195" t="str">
        <f t="array" ref="H12">INDIRECT(G12 &amp; "!B98")</f>
        <v>Não</v>
      </c>
      <c r="I12" s="196" t="str">
        <f t="array" ref="I12">INDIRECT(G12 &amp; "!B99")</f>
        <v>Não</v>
      </c>
      <c r="J12" s="98" t="str">
        <f t="array" ref="J12">INDIRECT(G12 &amp; "!B97")</f>
        <v>Bom</v>
      </c>
    </row>
    <row r="13" ht="22.5" customHeight="1">
      <c r="A13" s="187"/>
      <c r="B13" s="193"/>
      <c r="C13" s="187"/>
      <c r="D13" s="187"/>
      <c r="G13" s="194" t="s">
        <v>246</v>
      </c>
      <c r="H13" s="195" t="str">
        <f t="array" ref="H13">INDIRECT(G13 &amp; "!B103")</f>
        <v>Não</v>
      </c>
      <c r="I13" s="196" t="str">
        <f t="array" ref="I13">INDIRECT(G13 &amp; "!B104")</f>
        <v>Não</v>
      </c>
      <c r="J13" s="98" t="str">
        <f t="array" ref="J13">INDIRECT(G13 &amp; "!B102")</f>
        <v>Normal</v>
      </c>
    </row>
    <row r="14" ht="22.5" customHeight="1">
      <c r="A14" s="187"/>
      <c r="B14" s="193"/>
      <c r="C14" s="187"/>
      <c r="D14" s="187"/>
      <c r="G14" s="194" t="s">
        <v>140</v>
      </c>
      <c r="H14" s="195" t="str">
        <f t="array" ref="H14">INDIRECT(G14 &amp; "!B104")</f>
        <v>Não</v>
      </c>
      <c r="I14" s="196" t="str">
        <f t="array" ref="I14">INDIRECT(G14 &amp; "!B105")</f>
        <v>Não</v>
      </c>
      <c r="J14" s="98" t="str">
        <f t="array" ref="J14">INDIRECT(G14 &amp; "!B103")</f>
        <v>Normal</v>
      </c>
    </row>
    <row r="15" ht="22.5" customHeight="1">
      <c r="A15" s="187"/>
      <c r="B15" s="193"/>
      <c r="C15" s="187"/>
      <c r="D15" s="187"/>
      <c r="G15" s="194" t="s">
        <v>259</v>
      </c>
      <c r="H15" s="195" t="str">
        <f t="array" ref="H15">INDIRECT(G15 &amp; "!B85")</f>
        <v>Não</v>
      </c>
      <c r="I15" s="196" t="str">
        <f t="array" ref="I15">INDIRECT(G15 &amp; "!B86")</f>
        <v>Não</v>
      </c>
      <c r="J15" s="98" t="str">
        <f t="array" ref="J15">INDIRECT(G15 &amp; "!B84")</f>
        <v>Normal</v>
      </c>
    </row>
    <row r="16" ht="22.5" customHeight="1">
      <c r="A16" s="187"/>
      <c r="B16" s="193"/>
      <c r="C16" s="187"/>
      <c r="D16" s="187"/>
      <c r="G16" s="194" t="s">
        <v>240</v>
      </c>
      <c r="H16" s="195" t="str">
        <f t="array" ref="H16">INDIRECT(G16 &amp; "!B94")</f>
        <v>Não</v>
      </c>
      <c r="I16" s="196" t="str">
        <f t="array" ref="I16">INDIRECT(G16 &amp; "!B95")</f>
        <v>Não</v>
      </c>
      <c r="J16" s="98" t="str">
        <f t="array" ref="J16">INDIRECT(G16 &amp; "!B93")</f>
        <v>Normal</v>
      </c>
    </row>
    <row r="17" ht="22.5" customHeight="1">
      <c r="A17" s="187"/>
      <c r="B17" s="193"/>
      <c r="C17" s="187"/>
      <c r="D17" s="187"/>
      <c r="G17" s="194" t="s">
        <v>148</v>
      </c>
      <c r="H17" s="195" t="str">
        <f t="array" ref="H17">INDIRECT(G17 &amp; "!B105")</f>
        <v>Não</v>
      </c>
      <c r="I17" s="196" t="str">
        <f t="array" ref="I17">INDIRECT(G17 &amp; "!B106")</f>
        <v>Não</v>
      </c>
      <c r="J17" s="98" t="str">
        <f t="array" ref="J17">INDIRECT(G17 &amp; "!B104")</f>
        <v>Bom</v>
      </c>
    </row>
    <row r="18" ht="22.5" customHeight="1">
      <c r="A18" s="187"/>
      <c r="B18" s="193"/>
      <c r="C18" s="187"/>
      <c r="D18" s="187"/>
      <c r="G18" s="194" t="s">
        <v>122</v>
      </c>
      <c r="H18" s="195" t="str">
        <f t="shared" ref="H18:H19" si="1">INDIRECT(G18 &amp; "!B95")</f>
        <v>Não</v>
      </c>
      <c r="I18" s="196" t="str">
        <f t="shared" ref="I18:I19" si="2">INDIRECT(G18 &amp; "!B96")</f>
        <v>Não</v>
      </c>
      <c r="J18" s="98" t="str">
        <f t="shared" ref="J18:J19" si="3">INDIRECT(G18 &amp; "!B94")</f>
        <v>Normal</v>
      </c>
    </row>
    <row r="19" ht="22.5" customHeight="1">
      <c r="A19" s="187"/>
      <c r="B19" s="193"/>
      <c r="C19" s="187"/>
      <c r="D19" s="187"/>
      <c r="G19" s="194" t="s">
        <v>187</v>
      </c>
      <c r="H19" s="195" t="str">
        <f t="shared" si="1"/>
        <v>Não</v>
      </c>
      <c r="I19" s="196" t="str">
        <f t="shared" si="2"/>
        <v>Não</v>
      </c>
      <c r="J19" s="98" t="str">
        <f t="shared" si="3"/>
        <v>Normal</v>
      </c>
    </row>
    <row r="20" ht="22.5" customHeight="1">
      <c r="A20" s="187"/>
      <c r="B20" s="193"/>
      <c r="C20" s="187"/>
      <c r="D20" s="187"/>
      <c r="G20" s="194" t="s">
        <v>270</v>
      </c>
      <c r="H20" s="195" t="str">
        <f t="array" ref="H20">INDIRECT(G20 &amp; "!B88")</f>
        <v>Não</v>
      </c>
      <c r="I20" s="196" t="str">
        <f t="array" ref="I20">INDIRECT(G20 &amp; "!B89")</f>
        <v>Não</v>
      </c>
      <c r="J20" s="98" t="str">
        <f t="array" ref="J20">INDIRECT(G20 &amp; "!B87")</f>
        <v>Normal</v>
      </c>
    </row>
    <row r="21" ht="22.5" customHeight="1">
      <c r="A21" s="187"/>
      <c r="B21" s="193"/>
      <c r="C21" s="187"/>
      <c r="D21" s="187"/>
      <c r="G21" s="194" t="s">
        <v>137</v>
      </c>
      <c r="H21" s="101" t="str">
        <f t="array" ref="H21">INDIRECT(G21 &amp; "!B100")</f>
        <v>Não</v>
      </c>
      <c r="I21" s="98" t="str">
        <f t="array" ref="I21">INDIRECT(G21 &amp; "!B101")</f>
        <v>Não</v>
      </c>
      <c r="J21" s="98" t="str">
        <f t="array" ref="J21">INDIRECT(G21 &amp; "!B99")</f>
        <v>Normal</v>
      </c>
    </row>
    <row r="22" ht="22.5" customHeight="1">
      <c r="A22" s="187"/>
      <c r="B22" s="193"/>
      <c r="C22" s="187"/>
      <c r="D22" s="187"/>
      <c r="G22" s="194" t="s">
        <v>189</v>
      </c>
      <c r="H22" s="195" t="str">
        <f t="array" ref="H22">INDIRECT(G22 &amp; "!B102")</f>
        <v>Não</v>
      </c>
      <c r="I22" s="196" t="str">
        <f t="array" ref="I22">INDIRECT(G22 &amp; "!B103")</f>
        <v>Não</v>
      </c>
      <c r="J22" s="98" t="str">
        <f t="array" ref="J22">INDIRECT(G22 &amp; "!B101")</f>
        <v>Normal</v>
      </c>
    </row>
    <row r="23">
      <c r="A23" s="187"/>
      <c r="B23" s="193"/>
      <c r="C23" s="187"/>
      <c r="D23" s="187"/>
    </row>
    <row r="24">
      <c r="A24" s="187"/>
      <c r="B24" s="193"/>
      <c r="C24" s="187"/>
      <c r="D24" s="187"/>
    </row>
    <row r="25">
      <c r="A25" s="187"/>
      <c r="B25" s="193"/>
      <c r="C25" s="187"/>
      <c r="D25" s="187"/>
    </row>
    <row r="26">
      <c r="A26" s="187"/>
      <c r="B26" s="193"/>
      <c r="C26" s="187"/>
      <c r="D26" s="187"/>
    </row>
    <row r="27">
      <c r="A27" s="187"/>
      <c r="B27" s="193"/>
      <c r="C27" s="187"/>
      <c r="D27" s="187"/>
    </row>
    <row r="28">
      <c r="A28" s="187"/>
      <c r="B28" s="193"/>
      <c r="C28" s="187"/>
      <c r="D28" s="187"/>
    </row>
    <row r="29">
      <c r="A29" s="187"/>
      <c r="B29" s="193"/>
      <c r="C29" s="187"/>
      <c r="D29" s="187"/>
    </row>
    <row r="30">
      <c r="A30" s="187"/>
      <c r="B30" s="193"/>
      <c r="C30" s="187"/>
      <c r="D30" s="187"/>
    </row>
    <row r="31">
      <c r="A31" s="187"/>
      <c r="B31" s="193"/>
      <c r="C31" s="187"/>
      <c r="D31" s="187"/>
    </row>
    <row r="32">
      <c r="A32" s="187"/>
      <c r="B32" s="193"/>
      <c r="C32" s="187"/>
      <c r="D32" s="187"/>
    </row>
    <row r="33">
      <c r="A33" s="187"/>
      <c r="B33" s="193"/>
      <c r="C33" s="187"/>
      <c r="D33" s="187"/>
    </row>
    <row r="34">
      <c r="A34" s="187"/>
      <c r="B34" s="193"/>
      <c r="C34" s="187"/>
      <c r="D34" s="187"/>
    </row>
    <row r="35">
      <c r="A35" s="187"/>
      <c r="B35" s="193"/>
      <c r="C35" s="187"/>
      <c r="D35" s="187"/>
    </row>
    <row r="36">
      <c r="A36" s="187"/>
      <c r="B36" s="193"/>
      <c r="C36" s="187"/>
      <c r="D36" s="187"/>
    </row>
    <row r="37">
      <c r="A37" s="187"/>
      <c r="B37" s="193"/>
      <c r="C37" s="187"/>
      <c r="D37" s="187"/>
    </row>
    <row r="38">
      <c r="A38" s="187"/>
      <c r="B38" s="193"/>
      <c r="C38" s="187"/>
      <c r="D38" s="187"/>
    </row>
    <row r="39">
      <c r="A39" s="187"/>
      <c r="B39" s="193"/>
      <c r="C39" s="187"/>
      <c r="D39" s="187"/>
    </row>
    <row r="40">
      <c r="A40" s="187"/>
      <c r="B40" s="193"/>
      <c r="C40" s="187"/>
      <c r="D40" s="187"/>
    </row>
    <row r="41">
      <c r="A41" s="187"/>
      <c r="B41" s="193"/>
      <c r="C41" s="187"/>
      <c r="D41" s="187"/>
    </row>
    <row r="42">
      <c r="A42" s="187"/>
      <c r="B42" s="193"/>
      <c r="C42" s="187"/>
      <c r="D42" s="187"/>
    </row>
    <row r="43">
      <c r="A43" s="187"/>
      <c r="B43" s="193"/>
      <c r="C43" s="187"/>
      <c r="D43" s="187"/>
    </row>
  </sheetData>
  <autoFilter ref="$A$1:$E$4"/>
  <conditionalFormatting sqref="H8:I22">
    <cfRule type="containsText" dxfId="5" priority="1" operator="containsText" text="Feito">
      <formula>NOT(ISERROR(SEARCH(("Feito"),(H8))))</formula>
    </cfRule>
  </conditionalFormatting>
  <conditionalFormatting sqref="H8:I22">
    <cfRule type="containsText" dxfId="6" priority="2" operator="containsText" text="Não">
      <formula>NOT(ISERROR(SEARCH(("Não"),(H8))))</formula>
    </cfRule>
  </conditionalFormatting>
  <conditionalFormatting sqref="J8:J22">
    <cfRule type="containsText" dxfId="7" priority="3" operator="containsText" text="Normal">
      <formula>NOT(ISERROR(SEARCH(("Normal"),(J8))))</formula>
    </cfRule>
  </conditionalFormatting>
  <conditionalFormatting sqref="J8:J22">
    <cfRule type="containsText" dxfId="8" priority="4" operator="containsText" text="Cuidado_Ver_DRE">
      <formula>NOT(ISERROR(SEARCH(("Cuidado_Ver_DRE"),(J8))))</formula>
    </cfRule>
  </conditionalFormatting>
  <conditionalFormatting sqref="J8:J22">
    <cfRule type="containsText" dxfId="9" priority="5" operator="containsText" text="Bom">
      <formula>NOT(ISERROR(SEARCH(("Bom"),(J8))))</formula>
    </cfRule>
  </conditionalFormatting>
  <dataValidations>
    <dataValidation type="list" allowBlank="1" showErrorMessage="1" sqref="G1">
      <formula1>"HGLG11,BRCO11,BTCI11,BTLG11,GARE11,GGRC11,HGBS11,HGLG11,HGRU11,KNRI11,MXRF11,PCIP11,PMLL11,XPLG11"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3" width="17.13"/>
  </cols>
  <sheetData>
    <row r="1">
      <c r="A1" s="4" t="s">
        <v>312</v>
      </c>
      <c r="B1" s="4" t="s">
        <v>269</v>
      </c>
      <c r="C1" s="4" t="s">
        <v>313</v>
      </c>
    </row>
    <row r="2">
      <c r="A2" s="4" t="s">
        <v>314</v>
      </c>
      <c r="B2" s="4" t="s">
        <v>315</v>
      </c>
      <c r="C2" s="215">
        <v>46269.45157829861</v>
      </c>
    </row>
    <row r="3">
      <c r="A3" s="4" t="s">
        <v>316</v>
      </c>
      <c r="B3" s="4" t="s">
        <v>315</v>
      </c>
      <c r="C3" s="216">
        <v>46270.78802712963</v>
      </c>
    </row>
    <row r="4">
      <c r="C4" s="215"/>
    </row>
    <row r="5">
      <c r="A5" s="217"/>
      <c r="C5" s="215"/>
    </row>
    <row r="6">
      <c r="A6" s="187"/>
      <c r="B6" s="187"/>
      <c r="C6" s="218"/>
    </row>
    <row r="7">
      <c r="A7" s="187"/>
      <c r="B7" s="187"/>
      <c r="C7" s="218"/>
    </row>
    <row r="8">
      <c r="A8" s="187"/>
      <c r="B8" s="187"/>
      <c r="C8" s="218"/>
    </row>
    <row r="9">
      <c r="A9" s="187"/>
      <c r="B9" s="187"/>
      <c r="C9" s="218"/>
    </row>
    <row r="10">
      <c r="A10" s="187"/>
      <c r="B10" s="187"/>
      <c r="C10" s="218"/>
    </row>
    <row r="11">
      <c r="A11" s="187"/>
      <c r="B11" s="187"/>
      <c r="C11" s="218"/>
    </row>
    <row r="12">
      <c r="A12" s="187"/>
      <c r="B12" s="187"/>
      <c r="C12" s="218"/>
    </row>
    <row r="13">
      <c r="A13" s="187"/>
      <c r="B13" s="187"/>
      <c r="C13" s="218"/>
    </row>
    <row r="14">
      <c r="A14" s="187"/>
      <c r="B14" s="187"/>
      <c r="C14" s="218"/>
    </row>
    <row r="15">
      <c r="A15" s="187"/>
      <c r="B15" s="187"/>
      <c r="C15" s="218"/>
    </row>
    <row r="16">
      <c r="A16" s="187"/>
      <c r="B16" s="187"/>
      <c r="C16" s="218"/>
    </row>
    <row r="17">
      <c r="A17" s="187"/>
      <c r="B17" s="187"/>
      <c r="C17" s="218"/>
    </row>
    <row r="18">
      <c r="A18" s="187"/>
      <c r="B18" s="187"/>
      <c r="C18" s="218"/>
    </row>
    <row r="19">
      <c r="A19" s="187"/>
      <c r="B19" s="187"/>
      <c r="C19" s="218"/>
    </row>
    <row r="20">
      <c r="A20" s="187"/>
      <c r="B20" s="187"/>
      <c r="C20" s="218"/>
    </row>
    <row r="21">
      <c r="A21" s="187"/>
      <c r="B21" s="187"/>
      <c r="C21" s="218"/>
    </row>
    <row r="22">
      <c r="A22" s="187"/>
      <c r="B22" s="187"/>
      <c r="C22" s="218"/>
    </row>
    <row r="23">
      <c r="A23" s="187"/>
      <c r="B23" s="187"/>
      <c r="C23" s="218"/>
    </row>
    <row r="24">
      <c r="A24" s="187"/>
      <c r="B24" s="187"/>
      <c r="C24" s="218"/>
    </row>
  </sheetData>
  <drawing r:id="rId1"/>
</worksheet>
</file>